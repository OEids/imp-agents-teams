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mon Shared Resources\Finance\TEACH MAT from Sept 2016\CFO\Hayley\Migration Data\"/>
    </mc:Choice>
  </mc:AlternateContent>
  <xr:revisionPtr revIDLastSave="0" documentId="8_{9F9AE88C-FC2E-457B-9A3C-26D6E1886CA8}" xr6:coauthVersionLast="47" xr6:coauthVersionMax="47" xr10:uidLastSave="{00000000-0000-0000-0000-000000000000}"/>
  <bookViews>
    <workbookView xWindow="-120" yWindow="-120" windowWidth="29040" windowHeight="15720" activeTab="2" xr2:uid="{0A2EAD27-6790-48F1-836E-74AB69192969}"/>
  </bookViews>
  <sheets>
    <sheet name="Support" sheetId="1" r:id="rId1"/>
    <sheet name="CFO N SCALE" sheetId="2" r:id="rId2"/>
    <sheet name="Soulbu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  <c r="D4" i="2"/>
  <c r="D3" i="2"/>
  <c r="D2" i="2"/>
</calcChain>
</file>

<file path=xl/sharedStrings.xml><?xml version="1.0" encoding="utf-8"?>
<sst xmlns="http://schemas.openxmlformats.org/spreadsheetml/2006/main" count="27" uniqueCount="22">
  <si>
    <t xml:space="preserve"> GRADE</t>
  </si>
  <si>
    <t>SCP</t>
  </si>
  <si>
    <t xml:space="preserve">HOURLY RATE </t>
  </si>
  <si>
    <t>2025 AGREED</t>
  </si>
  <si>
    <t>Grade A</t>
  </si>
  <si>
    <t>Grade B</t>
  </si>
  <si>
    <t>Grade C</t>
  </si>
  <si>
    <t>Grade D</t>
  </si>
  <si>
    <t>Grade E</t>
  </si>
  <si>
    <t>Grade F</t>
  </si>
  <si>
    <t>Grade G</t>
  </si>
  <si>
    <t>Grade H</t>
  </si>
  <si>
    <t>Grade I</t>
  </si>
  <si>
    <t>Grade J</t>
  </si>
  <si>
    <t>Grade K</t>
  </si>
  <si>
    <t>Grade L</t>
  </si>
  <si>
    <t>Grade M</t>
  </si>
  <si>
    <t>Grade N</t>
  </si>
  <si>
    <t>01.09.24</t>
  </si>
  <si>
    <t>51125*</t>
  </si>
  <si>
    <t>58400**</t>
  </si>
  <si>
    <t>67439***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</si>
</sst>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25303B"/>
      <name val="Inherit"/>
    </font>
    <font>
      <b/>
      <sz val="14"/>
      <color rgb="FF25303B"/>
      <name val="Inherit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2" fontId="0" fillId="0" borderId="0" xfId="0" applyNumberFormat="1"/>
    <xf numFmtId="0" fontId="1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2" fontId="1" fillId="3" borderId="2" xfId="0" applyNumberFormat="1" applyFont="1" applyFill="1" applyBorder="1"/>
    <xf numFmtId="2" fontId="0" fillId="3" borderId="1" xfId="0" applyNumberFormat="1" applyFill="1" applyBorder="1"/>
    <xf numFmtId="2" fontId="0" fillId="3" borderId="3" xfId="0" applyNumberFormat="1" applyFill="1" applyBorder="1"/>
    <xf numFmtId="2" fontId="0" fillId="3" borderId="4" xfId="0" applyNumberFormat="1" applyFill="1" applyBorder="1"/>
    <xf numFmtId="2" fontId="0" fillId="3" borderId="5" xfId="0" applyNumberFormat="1" applyFill="1" applyBorder="1"/>
    <xf numFmtId="2" fontId="0" fillId="3" borderId="6" xfId="0" applyNumberFormat="1" applyFill="1" applyBorder="1"/>
    <xf numFmtId="0" fontId="1" fillId="0" borderId="3" xfId="0" applyFont="1" applyBorder="1"/>
    <xf numFmtId="0" fontId="1" fillId="0" borderId="1" xfId="0" applyFont="1" applyBorder="1"/>
    <xf numFmtId="2" fontId="1" fillId="3" borderId="7" xfId="0" applyNumberFormat="1" applyFont="1" applyFill="1" applyBorder="1"/>
    <xf numFmtId="2" fontId="0" fillId="3" borderId="8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10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2" fillId="5" borderId="15" xfId="0" applyFont="1" applyFill="1" applyBorder="1" applyAlignment="1">
      <alignment vertical="top" wrapText="1"/>
    </xf>
    <xf numFmtId="0" fontId="2" fillId="4" borderId="15" xfId="0" applyFont="1" applyFill="1" applyBorder="1" applyAlignment="1">
      <alignment vertical="top" wrapText="1"/>
    </xf>
    <xf numFmtId="0" fontId="3" fillId="4" borderId="1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17</xdr:col>
      <xdr:colOff>239264</xdr:colOff>
      <xdr:row>12</xdr:row>
      <xdr:rowOff>76542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BC119-8BB5-49E7-BA62-D0F8A0DFD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2275" y="676275"/>
          <a:ext cx="8164064" cy="2448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58C0-4753-4006-B9C1-71CE536608A5}">
  <sheetPr>
    <pageSetUpPr fitToPage="1"/>
  </sheetPr>
  <dimension ref="A1:D48"/>
  <sheetViews>
    <sheetView workbookViewId="0">
      <selection activeCell="F2" sqref="F2:I6"/>
    </sheetView>
  </sheetViews>
  <sheetFormatPr defaultRowHeight="15"/>
  <cols>
    <col min="3" max="3" width="12.42578125" bestFit="1" customWidth="1"/>
    <col min="4" max="4" width="13.42578125" style="1" bestFit="1" customWidth="1"/>
    <col min="8" max="8" width="12.5703125" bestFit="1" customWidth="1"/>
    <col min="9" max="9" width="13.7109375" bestFit="1" customWidth="1"/>
  </cols>
  <sheetData>
    <row r="1" spans="1:4" ht="15.75" thickBot="1">
      <c r="A1" s="2" t="s">
        <v>0</v>
      </c>
      <c r="B1" s="2" t="s">
        <v>1</v>
      </c>
      <c r="C1" s="8" t="s">
        <v>3</v>
      </c>
      <c r="D1" s="14" t="s">
        <v>2</v>
      </c>
    </row>
    <row r="2" spans="1:4" ht="15.75" thickBot="1">
      <c r="A2" s="21" t="s">
        <v>4</v>
      </c>
      <c r="B2" s="3">
        <v>1</v>
      </c>
      <c r="C2" s="9">
        <v>23557</v>
      </c>
      <c r="D2" s="15">
        <v>12.210887527343225</v>
      </c>
    </row>
    <row r="3" spans="1:4" ht="15.75" thickBot="1">
      <c r="A3" s="21" t="s">
        <v>5</v>
      </c>
      <c r="B3" s="3">
        <v>2</v>
      </c>
      <c r="C3" s="9">
        <v>24404</v>
      </c>
      <c r="D3" s="15">
        <v>12.64993416892151</v>
      </c>
    </row>
    <row r="4" spans="1:4">
      <c r="A4" s="20" t="s">
        <v>6</v>
      </c>
      <c r="B4" s="4">
        <v>3</v>
      </c>
      <c r="C4" s="10">
        <v>24796</v>
      </c>
      <c r="D4" s="16">
        <v>12.853129308825512</v>
      </c>
    </row>
    <row r="5" spans="1:4" ht="15.75" thickBot="1">
      <c r="A5" s="5"/>
      <c r="B5" s="5">
        <v>4</v>
      </c>
      <c r="C5" s="11">
        <v>25185</v>
      </c>
      <c r="D5" s="17">
        <v>13.054769383883308</v>
      </c>
    </row>
    <row r="6" spans="1:4">
      <c r="A6" s="20" t="s">
        <v>7</v>
      </c>
      <c r="B6" s="4">
        <v>5</v>
      </c>
      <c r="C6" s="10">
        <v>25584</v>
      </c>
      <c r="D6" s="16">
        <v>13.261593008428452</v>
      </c>
    </row>
    <row r="7" spans="1:4" ht="15.75" thickBot="1">
      <c r="A7" s="5"/>
      <c r="B7" s="5">
        <v>6</v>
      </c>
      <c r="C7" s="11">
        <v>25989</v>
      </c>
      <c r="D7" s="17">
        <v>13.471526762666002</v>
      </c>
    </row>
    <row r="8" spans="1:4">
      <c r="A8" s="20" t="s">
        <v>8</v>
      </c>
      <c r="B8" s="4">
        <v>7</v>
      </c>
      <c r="C8" s="10">
        <v>26403</v>
      </c>
      <c r="D8" s="16">
        <v>13.686125711442168</v>
      </c>
    </row>
    <row r="9" spans="1:4">
      <c r="A9" s="6"/>
      <c r="B9" s="6">
        <v>8</v>
      </c>
      <c r="C9" s="12">
        <v>26824</v>
      </c>
      <c r="D9" s="18">
        <v>13.904353144859472</v>
      </c>
    </row>
    <row r="10" spans="1:4">
      <c r="A10" s="6"/>
      <c r="B10" s="6">
        <v>9</v>
      </c>
      <c r="C10" s="12">
        <v>27255</v>
      </c>
      <c r="D10" s="18">
        <v>14.127764127764129</v>
      </c>
    </row>
    <row r="11" spans="1:4">
      <c r="A11" s="6"/>
      <c r="B11" s="6">
        <v>10</v>
      </c>
      <c r="C11" s="12">
        <v>27694</v>
      </c>
      <c r="D11" s="18">
        <v>14.355321950258661</v>
      </c>
    </row>
    <row r="12" spans="1:4" ht="15.75" thickBot="1">
      <c r="A12" s="5"/>
      <c r="B12" s="5">
        <v>11</v>
      </c>
      <c r="C12" s="11">
        <v>28142</v>
      </c>
      <c r="D12" s="17">
        <v>14.587544967291803</v>
      </c>
    </row>
    <row r="13" spans="1:4">
      <c r="A13" s="20" t="s">
        <v>9</v>
      </c>
      <c r="B13" s="4">
        <v>12</v>
      </c>
      <c r="C13" s="10">
        <v>28598</v>
      </c>
      <c r="D13" s="16">
        <v>14.823914823914825</v>
      </c>
    </row>
    <row r="14" spans="1:4">
      <c r="A14" s="6"/>
      <c r="B14" s="6">
        <v>13</v>
      </c>
      <c r="C14" s="12">
        <v>29065</v>
      </c>
      <c r="D14" s="18">
        <v>15.065986584973926</v>
      </c>
    </row>
    <row r="15" spans="1:4">
      <c r="A15" s="6"/>
      <c r="B15" s="6">
        <v>14</v>
      </c>
      <c r="C15" s="12">
        <v>29540</v>
      </c>
      <c r="D15" s="18">
        <v>15.312205185622908</v>
      </c>
    </row>
    <row r="16" spans="1:4">
      <c r="A16" s="6"/>
      <c r="B16" s="6">
        <v>15</v>
      </c>
      <c r="C16" s="12">
        <v>30024</v>
      </c>
      <c r="D16" s="18">
        <v>15.5630889808105</v>
      </c>
    </row>
    <row r="17" spans="1:4">
      <c r="A17" s="6"/>
      <c r="B17" s="6">
        <v>16</v>
      </c>
      <c r="C17" s="12">
        <v>30519</v>
      </c>
      <c r="D17" s="18">
        <v>15.819674680434176</v>
      </c>
    </row>
    <row r="18" spans="1:4" ht="15.75" thickBot="1">
      <c r="A18" s="5"/>
      <c r="B18" s="5">
        <v>17</v>
      </c>
      <c r="C18" s="11">
        <v>31022</v>
      </c>
      <c r="D18" s="17">
        <v>16.080407219647725</v>
      </c>
    </row>
    <row r="19" spans="1:4">
      <c r="A19" s="20" t="s">
        <v>10</v>
      </c>
      <c r="B19" s="4">
        <v>18</v>
      </c>
      <c r="C19" s="10">
        <v>31537</v>
      </c>
      <c r="D19" s="16">
        <v>16.347360018246093</v>
      </c>
    </row>
    <row r="20" spans="1:4">
      <c r="A20" s="6"/>
      <c r="B20" s="6">
        <v>19</v>
      </c>
      <c r="C20" s="12">
        <v>32062</v>
      </c>
      <c r="D20" s="18">
        <v>16.619496366331809</v>
      </c>
    </row>
    <row r="21" spans="1:4">
      <c r="A21" s="6"/>
      <c r="B21" s="6">
        <v>20</v>
      </c>
      <c r="C21" s="12">
        <v>32597</v>
      </c>
      <c r="D21" s="18">
        <v>16.896816263904874</v>
      </c>
    </row>
    <row r="22" spans="1:4">
      <c r="A22" s="6"/>
      <c r="B22" s="6">
        <v>21</v>
      </c>
      <c r="C22" s="12">
        <v>33143</v>
      </c>
      <c r="D22" s="18">
        <v>17.179838065914016</v>
      </c>
    </row>
    <row r="23" spans="1:4">
      <c r="A23" s="6"/>
      <c r="B23" s="6">
        <v>22</v>
      </c>
      <c r="C23" s="12">
        <v>33699</v>
      </c>
      <c r="D23" s="18">
        <v>17.468043417410506</v>
      </c>
    </row>
    <row r="24" spans="1:4" ht="15.75" thickBot="1">
      <c r="A24" s="5"/>
      <c r="B24" s="5">
        <v>23</v>
      </c>
      <c r="C24" s="11">
        <v>34434</v>
      </c>
      <c r="D24" s="17">
        <v>17.849034304730509</v>
      </c>
    </row>
    <row r="25" spans="1:4">
      <c r="A25" s="20" t="s">
        <v>11</v>
      </c>
      <c r="B25" s="4">
        <v>24</v>
      </c>
      <c r="C25" s="10">
        <v>35413</v>
      </c>
      <c r="D25" s="16">
        <v>18.356503799541773</v>
      </c>
    </row>
    <row r="26" spans="1:4">
      <c r="A26" s="6"/>
      <c r="B26" s="6">
        <v>25</v>
      </c>
      <c r="C26" s="12">
        <v>36363</v>
      </c>
      <c r="D26" s="18">
        <v>18.848941000839737</v>
      </c>
    </row>
    <row r="27" spans="1:4">
      <c r="A27" s="6"/>
      <c r="B27" s="6">
        <v>26</v>
      </c>
      <c r="C27" s="12">
        <v>37280</v>
      </c>
      <c r="D27" s="18">
        <v>19.32427248882945</v>
      </c>
    </row>
    <row r="28" spans="1:4" ht="15.75" thickBot="1">
      <c r="A28" s="5"/>
      <c r="B28" s="5">
        <v>27</v>
      </c>
      <c r="C28" s="11">
        <v>38221</v>
      </c>
      <c r="D28" s="17">
        <v>19.8120444955888</v>
      </c>
    </row>
    <row r="29" spans="1:4">
      <c r="A29" s="20" t="s">
        <v>12</v>
      </c>
      <c r="B29" s="4">
        <v>28</v>
      </c>
      <c r="C29" s="10">
        <v>39153</v>
      </c>
      <c r="D29" s="16">
        <v>20.295151307809537</v>
      </c>
    </row>
    <row r="30" spans="1:4">
      <c r="A30" s="6"/>
      <c r="B30" s="6">
        <v>29</v>
      </c>
      <c r="C30" s="12">
        <v>39863</v>
      </c>
      <c r="D30" s="18">
        <v>20.663183321411168</v>
      </c>
    </row>
    <row r="31" spans="1:4">
      <c r="A31" s="6"/>
      <c r="B31" s="6">
        <v>30</v>
      </c>
      <c r="C31" s="12">
        <v>40778</v>
      </c>
      <c r="D31" s="18">
        <v>21.137478099503415</v>
      </c>
    </row>
    <row r="32" spans="1:4" ht="15.75" thickBot="1">
      <c r="A32" s="5"/>
      <c r="B32" s="5">
        <v>31</v>
      </c>
      <c r="C32" s="11">
        <v>41772</v>
      </c>
      <c r="D32" s="17">
        <v>21.652722918545702</v>
      </c>
    </row>
    <row r="33" spans="1:4">
      <c r="A33" s="20" t="s">
        <v>13</v>
      </c>
      <c r="B33" s="4">
        <v>32</v>
      </c>
      <c r="C33" s="10">
        <v>42840</v>
      </c>
      <c r="D33" s="16">
        <v>22.206326003794359</v>
      </c>
    </row>
    <row r="34" spans="1:4">
      <c r="A34" s="6"/>
      <c r="B34" s="6">
        <v>33</v>
      </c>
      <c r="C34" s="12">
        <v>44075</v>
      </c>
      <c r="D34" s="18">
        <v>22.846494365481707</v>
      </c>
    </row>
    <row r="35" spans="1:4">
      <c r="A35" s="6"/>
      <c r="B35" s="6">
        <v>34</v>
      </c>
      <c r="C35" s="12">
        <v>45092</v>
      </c>
      <c r="D35" s="18">
        <v>23.373661348344893</v>
      </c>
    </row>
    <row r="36" spans="1:4" ht="15.75" thickBot="1">
      <c r="A36" s="5"/>
      <c r="B36" s="5">
        <v>35</v>
      </c>
      <c r="C36" s="11">
        <v>46142</v>
      </c>
      <c r="D36" s="17">
        <v>23.917934044516322</v>
      </c>
    </row>
    <row r="37" spans="1:4">
      <c r="A37" s="20" t="s">
        <v>14</v>
      </c>
      <c r="B37" s="4">
        <v>36</v>
      </c>
      <c r="C37" s="10">
        <v>47181</v>
      </c>
      <c r="D37" s="16">
        <v>24.456504836251671</v>
      </c>
    </row>
    <row r="38" spans="1:4">
      <c r="A38" s="6"/>
      <c r="B38" s="6">
        <v>37</v>
      </c>
      <c r="C38" s="12">
        <v>48227</v>
      </c>
      <c r="D38" s="18">
        <v>24.998704112628165</v>
      </c>
    </row>
    <row r="39" spans="1:4">
      <c r="A39" s="6"/>
      <c r="B39" s="6">
        <v>38</v>
      </c>
      <c r="C39" s="12">
        <v>49283</v>
      </c>
      <c r="D39" s="18">
        <v>25.546086938492003</v>
      </c>
    </row>
    <row r="40" spans="1:4" ht="15.75" thickBot="1">
      <c r="A40" s="5"/>
      <c r="B40" s="5">
        <v>39</v>
      </c>
      <c r="C40" s="11">
        <v>50269</v>
      </c>
      <c r="D40" s="17">
        <v>26.057184917944411</v>
      </c>
    </row>
    <row r="41" spans="1:4">
      <c r="A41" s="20" t="s">
        <v>15</v>
      </c>
      <c r="B41" s="4">
        <v>40</v>
      </c>
      <c r="C41" s="10">
        <v>51357</v>
      </c>
      <c r="D41" s="16">
        <v>26.621155102167759</v>
      </c>
    </row>
    <row r="42" spans="1:4">
      <c r="A42" s="6"/>
      <c r="B42" s="6">
        <v>41</v>
      </c>
      <c r="C42" s="12">
        <v>52414</v>
      </c>
      <c r="D42" s="18">
        <v>27.169056282980332</v>
      </c>
    </row>
    <row r="43" spans="1:4">
      <c r="A43" s="6"/>
      <c r="B43" s="6">
        <v>42</v>
      </c>
      <c r="C43" s="12">
        <v>53460</v>
      </c>
      <c r="D43" s="18">
        <v>27.711255559356822</v>
      </c>
    </row>
    <row r="44" spans="1:4" ht="15.75" thickBot="1">
      <c r="A44" s="7"/>
      <c r="B44" s="7">
        <v>43</v>
      </c>
      <c r="C44" s="13">
        <v>55025</v>
      </c>
      <c r="D44" s="19">
        <v>28.522481054126626</v>
      </c>
    </row>
    <row r="45" spans="1:4">
      <c r="A45" s="20" t="s">
        <v>16</v>
      </c>
      <c r="B45" s="4">
        <v>44</v>
      </c>
      <c r="C45" s="10">
        <v>56153</v>
      </c>
      <c r="D45" s="16">
        <v>29.107185436299361</v>
      </c>
    </row>
    <row r="46" spans="1:4">
      <c r="A46" s="6"/>
      <c r="B46" s="6">
        <v>45</v>
      </c>
      <c r="C46" s="12">
        <v>57319</v>
      </c>
      <c r="D46" s="18">
        <v>29.711587306524017</v>
      </c>
    </row>
    <row r="47" spans="1:4">
      <c r="A47" s="6"/>
      <c r="B47" s="6">
        <v>46</v>
      </c>
      <c r="C47" s="12">
        <v>58501</v>
      </c>
      <c r="D47" s="18">
        <v>30.324282855928427</v>
      </c>
    </row>
    <row r="48" spans="1:4" ht="15.75" thickBot="1">
      <c r="A48" s="5"/>
      <c r="B48" s="5">
        <v>47</v>
      </c>
      <c r="C48" s="11">
        <v>59718</v>
      </c>
      <c r="D48" s="17">
        <v>30.955120828538551</v>
      </c>
    </row>
  </sheetData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6CB5-F262-464A-B2CC-E071509F000E}">
  <dimension ref="A1:D5"/>
  <sheetViews>
    <sheetView workbookViewId="0">
      <selection activeCell="G20" sqref="G20"/>
    </sheetView>
  </sheetViews>
  <sheetFormatPr defaultRowHeight="15"/>
  <cols>
    <col min="4" max="4" width="13.7109375" bestFit="1" customWidth="1"/>
  </cols>
  <sheetData>
    <row r="1" spans="1:4">
      <c r="A1" s="20" t="s">
        <v>0</v>
      </c>
      <c r="B1" s="20" t="s">
        <v>1</v>
      </c>
      <c r="C1" s="28" t="s">
        <v>3</v>
      </c>
      <c r="D1" s="22" t="s">
        <v>2</v>
      </c>
    </row>
    <row r="2" spans="1:4">
      <c r="A2" s="25" t="s">
        <v>17</v>
      </c>
      <c r="B2" s="6">
        <v>1</v>
      </c>
      <c r="C2" s="29">
        <v>68979</v>
      </c>
      <c r="D2" s="23">
        <f>C2/52.14/37</f>
        <v>35.755606008770563</v>
      </c>
    </row>
    <row r="3" spans="1:4">
      <c r="A3" s="26"/>
      <c r="B3" s="6">
        <v>2</v>
      </c>
      <c r="C3" s="29">
        <v>70358</v>
      </c>
      <c r="D3" s="23">
        <f>C3/52.14/37</f>
        <v>36.470417483075714</v>
      </c>
    </row>
    <row r="4" spans="1:4">
      <c r="A4" s="26"/>
      <c r="B4" s="6">
        <v>3</v>
      </c>
      <c r="C4" s="29">
        <v>71765</v>
      </c>
      <c r="D4" s="23">
        <f>C4/52.14/37</f>
        <v>37.199742895945427</v>
      </c>
    </row>
    <row r="5" spans="1:4" ht="15.75" thickBot="1">
      <c r="A5" s="27"/>
      <c r="B5" s="5">
        <v>4</v>
      </c>
      <c r="C5" s="30">
        <v>73200</v>
      </c>
      <c r="D5" s="24">
        <f>C5/52.14/37</f>
        <v>37.943582247379716</v>
      </c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9212-A5F9-4F4A-AA77-2C09D9A6E506}">
  <dimension ref="A1:B23"/>
  <sheetViews>
    <sheetView tabSelected="1" workbookViewId="0">
      <selection activeCell="E22" sqref="E22"/>
    </sheetView>
  </sheetViews>
  <sheetFormatPr defaultRowHeight="15"/>
  <cols>
    <col min="1" max="1" width="7" bestFit="1" customWidth="1"/>
    <col min="2" max="2" width="19.140625" customWidth="1"/>
  </cols>
  <sheetData>
    <row r="1" spans="1:2" ht="15.75" thickBot="1"/>
    <row r="2" spans="1:2" ht="18.75" thickBot="1">
      <c r="A2" s="33" t="s">
        <v>1</v>
      </c>
      <c r="B2" s="33" t="s">
        <v>18</v>
      </c>
    </row>
    <row r="3" spans="1:2" ht="18.75" thickBot="1">
      <c r="A3" s="31">
        <v>1</v>
      </c>
      <c r="B3" s="31">
        <v>41554</v>
      </c>
    </row>
    <row r="4" spans="1:2" ht="18.75" thickBot="1">
      <c r="A4" s="32">
        <v>2</v>
      </c>
      <c r="B4" s="32">
        <v>42968</v>
      </c>
    </row>
    <row r="5" spans="1:2" ht="18.75" thickBot="1">
      <c r="A5" s="31">
        <v>3</v>
      </c>
      <c r="B5" s="31">
        <v>44305</v>
      </c>
    </row>
    <row r="6" spans="1:2" ht="18.75" thickBot="1">
      <c r="A6" s="32">
        <v>4</v>
      </c>
      <c r="B6" s="32">
        <v>45659</v>
      </c>
    </row>
    <row r="7" spans="1:2" ht="18.75" thickBot="1">
      <c r="A7" s="31">
        <v>5</v>
      </c>
      <c r="B7" s="31">
        <v>47003</v>
      </c>
    </row>
    <row r="8" spans="1:2" ht="18.75" thickBot="1">
      <c r="A8" s="32">
        <v>6</v>
      </c>
      <c r="B8" s="32">
        <v>48349</v>
      </c>
    </row>
    <row r="9" spans="1:2" ht="18.75" thickBot="1">
      <c r="A9" s="31">
        <v>7</v>
      </c>
      <c r="B9" s="31">
        <v>49764</v>
      </c>
    </row>
    <row r="10" spans="1:2" ht="36.75" thickBot="1">
      <c r="A10" s="32">
        <v>8</v>
      </c>
      <c r="B10" s="32" t="s">
        <v>19</v>
      </c>
    </row>
    <row r="11" spans="1:2" ht="18.75" thickBot="1">
      <c r="A11" s="31">
        <v>9</v>
      </c>
      <c r="B11" s="31">
        <v>52711</v>
      </c>
    </row>
    <row r="12" spans="1:2" ht="18.75" thickBot="1">
      <c r="A12" s="32">
        <v>10</v>
      </c>
      <c r="B12" s="32">
        <v>54125</v>
      </c>
    </row>
    <row r="13" spans="1:2" ht="18.75" thickBot="1">
      <c r="A13" s="31">
        <v>11</v>
      </c>
      <c r="B13" s="31">
        <v>55520</v>
      </c>
    </row>
    <row r="14" spans="1:2" ht="18.75" thickBot="1">
      <c r="A14" s="32">
        <v>12</v>
      </c>
      <c r="B14" s="32">
        <v>56871</v>
      </c>
    </row>
    <row r="15" spans="1:2" ht="36.75" thickBot="1">
      <c r="A15" s="31">
        <v>13</v>
      </c>
      <c r="B15" s="31" t="s">
        <v>20</v>
      </c>
    </row>
    <row r="16" spans="1:2" ht="18.75" thickBot="1">
      <c r="A16" s="32">
        <v>14</v>
      </c>
      <c r="B16" s="32">
        <v>59766</v>
      </c>
    </row>
    <row r="17" spans="1:2" ht="18.75" thickBot="1">
      <c r="A17" s="31">
        <v>15</v>
      </c>
      <c r="B17" s="31">
        <v>61271</v>
      </c>
    </row>
    <row r="18" spans="1:2" ht="18.75" thickBot="1">
      <c r="A18" s="32">
        <v>16</v>
      </c>
      <c r="B18" s="32">
        <v>62634</v>
      </c>
    </row>
    <row r="19" spans="1:2" ht="18.75" thickBot="1">
      <c r="A19" s="31">
        <v>17</v>
      </c>
      <c r="B19" s="31">
        <v>64001</v>
      </c>
    </row>
    <row r="20" spans="1:2" ht="18.75" thickBot="1">
      <c r="A20" s="32">
        <v>18</v>
      </c>
      <c r="B20" s="32">
        <v>65342</v>
      </c>
    </row>
    <row r="21" spans="1:2" ht="18.75" thickBot="1">
      <c r="A21" s="31">
        <v>19</v>
      </c>
      <c r="B21" s="31">
        <v>66724</v>
      </c>
    </row>
    <row r="22" spans="1:2" ht="36.75" thickBot="1">
      <c r="A22" s="32">
        <v>20</v>
      </c>
      <c r="B22" s="32" t="s">
        <v>21</v>
      </c>
    </row>
    <row r="23" spans="1:2" ht="18.75" thickBot="1">
      <c r="A23" s="31">
        <v>21</v>
      </c>
      <c r="B23" s="31">
        <v>68813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8370F2-7656-4C45-B6DB-2D3F5A5C0E8A}"/>
</file>

<file path=customXml/itemProps2.xml><?xml version="1.0" encoding="utf-8"?>
<ds:datastoreItem xmlns:ds="http://schemas.openxmlformats.org/officeDocument/2006/customXml" ds:itemID="{10B6E4F6-3044-4BAB-9255-93F647465B6B}"/>
</file>

<file path=customXml/itemProps3.xml><?xml version="1.0" encoding="utf-8"?>
<ds:datastoreItem xmlns:ds="http://schemas.openxmlformats.org/officeDocument/2006/customXml" ds:itemID="{991AE8F3-FFB8-44D6-B2BA-78384E284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Support</vt:lpstr>
      <vt:lpstr>CFO N SCALE</vt:lpstr>
      <vt:lpstr>Soulbury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Hemmings</dc:creator>
  <cp:lastModifiedBy>H Hemmings</cp:lastModifiedBy>
  <cp:lastPrinted>2025-10-16T10:03:24Z</cp:lastPrinted>
  <dcterms:created xsi:type="dcterms:W3CDTF">2025-10-15T06:57:23Z</dcterms:created>
  <dcterms:modified xsi:type="dcterms:W3CDTF">2026-01-29T13:57:21Z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