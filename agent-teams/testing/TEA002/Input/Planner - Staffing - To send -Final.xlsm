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defaultThemeVersion="166925"/>
  <mc:AlternateContent xmlns:mc="http://schemas.openxmlformats.org/markup-compatibility/2006">
    <mc:Choice Requires="x15">
      <x15ac:absPath xmlns:x15ac="http://schemas.microsoft.com/office/spreadsheetml/2010/11/ac" url="https://impsoftwarecouk.sharepoint.com/Implementations/0.Planner Build Stage/TEA002 - Teach Poole/Customer Supplied Data/Strand 2/Staff Contract Data/"/>
    </mc:Choice>
  </mc:AlternateContent>
  <xr:revisionPtr revIDLastSave="40" documentId="13_ncr:1_{1A11D8F0-85CF-4950-98CA-59CAE3C7D7C2}" xr6:coauthVersionLast="47" xr6:coauthVersionMax="47" xr10:uidLastSave="{54329D00-C82C-4939-B43D-B01191A4E026}"/>
  <bookViews>
    <workbookView xWindow="-108" yWindow="-108" windowWidth="23256" windowHeight="12456" tabRatio="682" firstSheet="1" activeTab="4" xr2:uid="{C4FCA620-F2C4-48D9-9085-A12EFCF288FB}"/>
  </bookViews>
  <sheets>
    <sheet name="Guidance Notes" sheetId="19" r:id="rId1"/>
    <sheet name="Staff Contract Checklist" sheetId="15" r:id="rId2"/>
    <sheet name="Staff Contract Information" sheetId="13" r:id="rId3"/>
    <sheet name="LGPS Information" sheetId="17" r:id="rId4"/>
    <sheet name="Statutory Leave" sheetId="2" r:id="rId5"/>
    <sheet name="Equated Weeks Example" sheetId="16" r:id="rId6"/>
    <sheet name="CENCHG" sheetId="18" state="hidden" r:id="rId7"/>
  </sheets>
  <definedNames>
    <definedName name="_xlnm._FilterDatabase" localSheetId="4" hidden="1">'Statutory Leave'!$B$4:$M$4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8" i="16" l="1"/>
  <c r="A28" i="16" l="1"/>
  <c r="C21" i="16"/>
  <c r="C20" i="16"/>
  <c r="C19" i="16"/>
  <c r="U204" i="13" l="1"/>
  <c r="U271" i="13"/>
  <c r="U250" i="13"/>
  <c r="U116" i="13"/>
  <c r="U248" i="13"/>
  <c r="U295" i="13"/>
  <c r="U255" i="13"/>
  <c r="U144" i="13"/>
  <c r="U106" i="13"/>
  <c r="U84" i="13"/>
  <c r="U73" i="13"/>
  <c r="U33" i="13"/>
  <c r="U40" i="13"/>
  <c r="U8" i="13"/>
  <c r="U6" i="13"/>
  <c r="U7" i="13"/>
  <c r="U9" i="13"/>
  <c r="U10" i="13"/>
  <c r="U11" i="13"/>
  <c r="U12" i="13"/>
  <c r="U13" i="13"/>
  <c r="U14" i="13"/>
  <c r="U15" i="13"/>
  <c r="U16" i="13"/>
  <c r="U17" i="13"/>
  <c r="U19" i="13"/>
  <c r="U20" i="13"/>
  <c r="U22" i="13"/>
  <c r="U23" i="13"/>
  <c r="U25" i="13"/>
  <c r="U26" i="13"/>
  <c r="U27" i="13"/>
  <c r="U28" i="13"/>
  <c r="U29" i="13"/>
  <c r="U30" i="13"/>
  <c r="U34" i="13"/>
  <c r="U35" i="13"/>
  <c r="U36" i="13"/>
  <c r="U37" i="13"/>
  <c r="U38" i="13"/>
  <c r="U39" i="13"/>
  <c r="U42" i="13"/>
  <c r="U44" i="13"/>
  <c r="U47" i="13"/>
  <c r="U18" i="13"/>
  <c r="U51" i="13"/>
  <c r="U52" i="13"/>
  <c r="U53" i="13"/>
  <c r="U55" i="13"/>
  <c r="U56" i="13"/>
  <c r="U58" i="13"/>
  <c r="U59" i="13"/>
  <c r="U61" i="13"/>
  <c r="U64" i="13"/>
  <c r="U65" i="13"/>
  <c r="U66" i="13"/>
  <c r="U67" i="13"/>
  <c r="U68" i="13"/>
  <c r="U69" i="13"/>
  <c r="U71" i="13"/>
  <c r="U74" i="13"/>
  <c r="U75" i="13"/>
  <c r="U77" i="13"/>
  <c r="U78" i="13"/>
  <c r="U79" i="13"/>
  <c r="U80" i="13"/>
  <c r="U81" i="13"/>
  <c r="U83" i="13"/>
  <c r="U85" i="13"/>
  <c r="U86" i="13"/>
  <c r="U87" i="13"/>
  <c r="U88" i="13"/>
  <c r="U91" i="13"/>
  <c r="U92" i="13"/>
  <c r="U94" i="13"/>
  <c r="U95" i="13"/>
  <c r="U97" i="13"/>
  <c r="U98" i="13"/>
  <c r="U99" i="13"/>
  <c r="U100" i="13"/>
  <c r="U101" i="13"/>
  <c r="U102" i="13"/>
  <c r="U43" i="13"/>
  <c r="U104" i="13"/>
  <c r="U105" i="13"/>
  <c r="U107" i="13"/>
  <c r="U108" i="13"/>
  <c r="U109" i="13"/>
  <c r="U110" i="13"/>
  <c r="U112" i="13"/>
  <c r="U113" i="13"/>
  <c r="U114" i="13"/>
  <c r="U115" i="13"/>
  <c r="U118" i="13"/>
  <c r="U119" i="13"/>
  <c r="U120" i="13"/>
  <c r="U122" i="13"/>
  <c r="U124" i="13"/>
  <c r="U127" i="13"/>
  <c r="U129" i="13"/>
  <c r="U130" i="13"/>
  <c r="U50" i="13"/>
  <c r="U132" i="13"/>
  <c r="U133" i="13"/>
  <c r="U134" i="13"/>
  <c r="U135" i="13"/>
  <c r="U136" i="13"/>
  <c r="U137" i="13"/>
  <c r="U139" i="13"/>
  <c r="U141" i="13"/>
  <c r="U142" i="13"/>
  <c r="U143" i="13"/>
  <c r="U145" i="13"/>
  <c r="U146" i="13"/>
  <c r="U148" i="13"/>
  <c r="U150" i="13"/>
  <c r="U151" i="13"/>
  <c r="U152" i="13"/>
  <c r="U154" i="13"/>
  <c r="U156" i="13"/>
  <c r="U157" i="13"/>
  <c r="U158" i="13"/>
  <c r="U160" i="13"/>
  <c r="U161" i="13"/>
  <c r="U162" i="13"/>
  <c r="U163" i="13"/>
  <c r="U165" i="13"/>
  <c r="U166" i="13"/>
  <c r="U167" i="13"/>
  <c r="U168" i="13"/>
  <c r="U171" i="13"/>
  <c r="U172" i="13"/>
  <c r="U173" i="13"/>
  <c r="U174" i="13"/>
  <c r="U175" i="13"/>
  <c r="U176" i="13"/>
  <c r="U177" i="13"/>
  <c r="U178" i="13"/>
  <c r="U179" i="13"/>
  <c r="U180" i="13"/>
  <c r="U181" i="13"/>
  <c r="U182" i="13"/>
  <c r="U183" i="13"/>
  <c r="U184" i="13"/>
  <c r="U186" i="13"/>
  <c r="U187" i="13"/>
  <c r="U188" i="13"/>
  <c r="U189" i="13"/>
  <c r="U194" i="13"/>
  <c r="U195" i="13"/>
  <c r="U197" i="13"/>
  <c r="U198" i="13"/>
  <c r="U199" i="13"/>
  <c r="U200" i="13"/>
  <c r="U201" i="13"/>
  <c r="U202" i="13"/>
  <c r="U203" i="13"/>
  <c r="U205" i="13"/>
  <c r="U207" i="13"/>
  <c r="U208" i="13"/>
  <c r="U211" i="13"/>
  <c r="U212" i="13"/>
  <c r="U213" i="13"/>
  <c r="U214" i="13"/>
  <c r="U215" i="13"/>
  <c r="U218" i="13"/>
  <c r="U221" i="13"/>
  <c r="U222" i="13"/>
  <c r="U225" i="13"/>
  <c r="U226" i="13"/>
  <c r="U228" i="13"/>
  <c r="U230" i="13"/>
  <c r="U231" i="13"/>
  <c r="U232" i="13"/>
  <c r="U233" i="13"/>
  <c r="U235" i="13"/>
  <c r="U236" i="13"/>
  <c r="U237" i="13"/>
  <c r="U238" i="13"/>
  <c r="U240" i="13"/>
  <c r="U241" i="13"/>
  <c r="U243" i="13"/>
  <c r="U244" i="13"/>
  <c r="U63" i="13"/>
  <c r="U93" i="13"/>
  <c r="U249" i="13"/>
  <c r="U251" i="13"/>
  <c r="U253" i="13"/>
  <c r="U254" i="13"/>
  <c r="U256" i="13"/>
  <c r="U258" i="13"/>
  <c r="U259" i="13"/>
  <c r="U260" i="13"/>
  <c r="U261" i="13"/>
  <c r="U262" i="13"/>
  <c r="U266" i="13"/>
  <c r="U270" i="13"/>
  <c r="U274" i="13"/>
  <c r="U276" i="13"/>
  <c r="U277" i="13"/>
  <c r="U278" i="13"/>
  <c r="U280" i="13"/>
  <c r="U281" i="13"/>
  <c r="U282" i="13"/>
  <c r="U284" i="13"/>
  <c r="U285" i="13"/>
  <c r="U288" i="13"/>
  <c r="U291" i="13"/>
  <c r="U296"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D76CEC4-091C-45F7-9211-76A5D41BD21D}" keepAlive="1" name="Query - fnGetParameter" description="Connection to the 'fnGetParameter' query in the workbook." type="5" refreshedVersion="0" background="1">
    <dbPr connection="Provider=Microsoft.Mashup.OleDb.1;Data Source=$Workbook$;Location=fnGetParameter;Extended Properties=&quot;&quot;" command="SELECT * FROM [fnGetParameter]"/>
  </connection>
  <connection id="2" xr16:uid="{35D83D1F-8751-4CB6-92B5-59F7F7115F3F}" keepAlive="1" name="Query - ScenarioBudget" description="Connection to the 'ScenarioBudget' query in the workbook." type="5" refreshedVersion="7" background="1" saveData="1">
    <dbPr connection="Provider=Microsoft.Mashup.OleDb.1;Data Source=$Workbook$;Location=ScenarioBudget;Extended Properties=&quot;&quot;" command="SELECT * FROM [ScenarioBudget]"/>
  </connection>
  <connection id="3" xr16:uid="{3D0F2A2F-A5D5-41AA-B9F5-1175B2111CDF}" keepAlive="1" name="Query - YearGridReport" description="Connection to the 'YearGridReport' query in the workbook." type="5" refreshedVersion="0" background="1">
    <dbPr connection="Provider=Microsoft.Mashup.OleDb.1;Data Source=$Workbook$;Location=YearGridReport;Extended Properties=&quot;&quot;" command="SELECT * FROM [YearGridReport]"/>
  </connection>
</connections>
</file>

<file path=xl/sharedStrings.xml><?xml version="1.0" encoding="utf-8"?>
<sst xmlns="http://schemas.openxmlformats.org/spreadsheetml/2006/main" count="4176" uniqueCount="1518">
  <si>
    <t>Description</t>
  </si>
  <si>
    <t>Essential</t>
  </si>
  <si>
    <t>Optional</t>
  </si>
  <si>
    <t>Example</t>
  </si>
  <si>
    <t>Percentage</t>
  </si>
  <si>
    <t>Top Slice</t>
  </si>
  <si>
    <t>Percentage of school income is allocated to the central location (E.g. 5% of GAG)</t>
  </si>
  <si>
    <t>GAG Pool</t>
  </si>
  <si>
    <t>Reserves Pool</t>
  </si>
  <si>
    <t>Surplus/Deficit for each school is pooled to the central location.</t>
  </si>
  <si>
    <t>GAG Income is allocated to the central location then distributed to the schools by a specific calculation. (E.g. By pupil numbers)</t>
  </si>
  <si>
    <t>Other</t>
  </si>
  <si>
    <t>Other method. Please provide details.</t>
  </si>
  <si>
    <t>Type</t>
  </si>
  <si>
    <t>Finance codes</t>
  </si>
  <si>
    <t>Please enter percentage</t>
  </si>
  <si>
    <t>Not required</t>
  </si>
  <si>
    <t>Add if relevant</t>
  </si>
  <si>
    <t>Please add finance codes used in calculation</t>
  </si>
  <si>
    <r>
      <t xml:space="preserve">IMP </t>
    </r>
    <r>
      <rPr>
        <sz val="28"/>
        <color rgb="FF251241"/>
        <rFont val="Kamerik 105"/>
      </rPr>
      <t>Software</t>
    </r>
  </si>
  <si>
    <t>Staffing Data Requirements</t>
  </si>
  <si>
    <t>This example provides all of the heading information both Essential and Desirable that should be included for your staff contract information. This can be used as a template to provide your contract information if this is preferable</t>
  </si>
  <si>
    <t>Staff Contract Information</t>
  </si>
  <si>
    <t>Unique payroll number / person identifier</t>
  </si>
  <si>
    <t>Continuous Service start (dd/mm/yyyy)</t>
  </si>
  <si>
    <t>Work location (school name or code)</t>
  </si>
  <si>
    <t>Smith</t>
  </si>
  <si>
    <t>Jane</t>
  </si>
  <si>
    <t>Person information</t>
  </si>
  <si>
    <t>Core</t>
  </si>
  <si>
    <t>Core/mappable</t>
  </si>
  <si>
    <t>Role information</t>
  </si>
  <si>
    <t>Contract Hours / Weeks paid</t>
  </si>
  <si>
    <t>Salary information</t>
  </si>
  <si>
    <t>Core (one of, or both)</t>
  </si>
  <si>
    <t>Contract reference (unique to individual) (if applicable)</t>
  </si>
  <si>
    <t>Staff Role or Job Title name</t>
  </si>
  <si>
    <t>Gross Salary Finance Code / Nominal</t>
  </si>
  <si>
    <t>Department Code / cost centre</t>
  </si>
  <si>
    <t>Fund Code (if applicable)</t>
  </si>
  <si>
    <t>Full time hours for role</t>
  </si>
  <si>
    <t xml:space="preserve">Weekly Hours </t>
  </si>
  <si>
    <t>Weekly FTE</t>
  </si>
  <si>
    <t xml:space="preserve">Pay Scale name </t>
  </si>
  <si>
    <t>Current Scale Point</t>
  </si>
  <si>
    <t xml:space="preserve">Grade title / max scale point </t>
  </si>
  <si>
    <t>L'ship - individual min-max range / max point</t>
  </si>
  <si>
    <t>First Aid</t>
  </si>
  <si>
    <t>LGPS</t>
  </si>
  <si>
    <t>M</t>
  </si>
  <si>
    <t>Perm</t>
  </si>
  <si>
    <t>M6</t>
  </si>
  <si>
    <t>U3</t>
  </si>
  <si>
    <t>TPS</t>
  </si>
  <si>
    <t>F</t>
  </si>
  <si>
    <t>Fixed Term</t>
  </si>
  <si>
    <t>Allowances / Payments</t>
  </si>
  <si>
    <t>Pension Information</t>
  </si>
  <si>
    <t>Other Information</t>
  </si>
  <si>
    <t>Allowance name / code/ type being paid</t>
  </si>
  <si>
    <t>Any Notes for other payments</t>
  </si>
  <si>
    <t>Scheme TPS/ LGPS/ Other</t>
  </si>
  <si>
    <t>Pension Opt Out</t>
  </si>
  <si>
    <t>OTHER scheme name</t>
  </si>
  <si>
    <t>OTHER scheme employer %</t>
  </si>
  <si>
    <t>Gender</t>
  </si>
  <si>
    <t>Date of Birth (dd/mm/yyyy)</t>
  </si>
  <si>
    <t>Contract type (perm, fixed term etc)</t>
  </si>
  <si>
    <t>Contract Start (if after budget period start date)</t>
  </si>
  <si>
    <t>Contract End (if in budget period)</t>
  </si>
  <si>
    <t>Apprenticeship contract - T/F</t>
  </si>
  <si>
    <t>Casual worker contract - T/F</t>
  </si>
  <si>
    <t>We have included a handy checklist for each of the headings in the Contract Information tab to help you</t>
  </si>
  <si>
    <t>STAFFING INFORMATION AT INDIVIDUAL EMPLOYEE LEVEL - effective at build date, on line by line basis for each contract</t>
  </si>
  <si>
    <t>Essential /  Desirable (optional)</t>
  </si>
  <si>
    <t>If Desirable / Optional not provided</t>
  </si>
  <si>
    <t>Person Information</t>
  </si>
  <si>
    <t>Core data</t>
  </si>
  <si>
    <t>Work location for contract (school name or code)</t>
  </si>
  <si>
    <t>Continuous Service start date</t>
  </si>
  <si>
    <t>Core / Mappable</t>
  </si>
  <si>
    <t xml:space="preserve">Gender </t>
  </si>
  <si>
    <t>Desirable / optional</t>
  </si>
  <si>
    <t>We will code as ZZZ</t>
  </si>
  <si>
    <t xml:space="preserve">Date of Birth </t>
  </si>
  <si>
    <t>We will leave blank</t>
  </si>
  <si>
    <t>Contract type (perm, fixed term, temp etc)</t>
  </si>
  <si>
    <t>Role Information</t>
  </si>
  <si>
    <t>Role or Job Title name</t>
  </si>
  <si>
    <t>Role - Gross Salary Finance Code / Nominal</t>
  </si>
  <si>
    <t>Role - Department Code / cost centre</t>
  </si>
  <si>
    <r>
      <t xml:space="preserve">Role - </t>
    </r>
    <r>
      <rPr>
        <sz val="11"/>
        <color theme="1"/>
        <rFont val="Calibri"/>
        <family val="2"/>
        <scheme val="minor"/>
      </rPr>
      <t>Fund Code (if applicable)</t>
    </r>
  </si>
  <si>
    <t>Essential (if applicable)</t>
  </si>
  <si>
    <t>If blank, we will assume no fund</t>
  </si>
  <si>
    <t>Full time weekly hours for role</t>
  </si>
  <si>
    <t>Contract Start date (if after budget period start date)</t>
  </si>
  <si>
    <t>We will use build effective date</t>
  </si>
  <si>
    <t>Contract End date (if in budget period)</t>
  </si>
  <si>
    <t>Weekly hours worked</t>
  </si>
  <si>
    <t>Weekly FTE worked</t>
  </si>
  <si>
    <t>Essential (one of, or both)</t>
  </si>
  <si>
    <t>Salary Information</t>
  </si>
  <si>
    <t>Current Pay Scale Point</t>
  </si>
  <si>
    <t xml:space="preserve">Pay Grade title / max scale point </t>
  </si>
  <si>
    <t>Leadership / Lead Practitioner scale  - individual min-max range / max point</t>
  </si>
  <si>
    <t>We will map type to values where possible</t>
  </si>
  <si>
    <t>Desirable / optional (one of, or both)</t>
  </si>
  <si>
    <t>If no value we will assume none paid</t>
  </si>
  <si>
    <t>Allowance Start date (if after budget period start date)</t>
  </si>
  <si>
    <t>Allowance End date (if in budget period)</t>
  </si>
  <si>
    <t>Add any notes for other payments</t>
  </si>
  <si>
    <t>We will assume TPS/LGPS per job type</t>
  </si>
  <si>
    <t>Pension opt out</t>
  </si>
  <si>
    <t>We will assume not opted out</t>
  </si>
  <si>
    <t>We will assume none</t>
  </si>
  <si>
    <t>Apprenticeship contract - true/false</t>
  </si>
  <si>
    <t>We will assume in line with pay scale in contract</t>
  </si>
  <si>
    <t>Casual worker contract - true/false</t>
  </si>
  <si>
    <t>We will assume TRUE where contract elements not provided</t>
  </si>
  <si>
    <t>This example provides all the detail we will need for your LGPS information</t>
  </si>
  <si>
    <t>School Name or Code</t>
  </si>
  <si>
    <t>Scheme Name</t>
  </si>
  <si>
    <t>Rate Date From</t>
  </si>
  <si>
    <t>Rate Date To</t>
  </si>
  <si>
    <t>Employer Contribution Percentage</t>
  </si>
  <si>
    <t>Statutory Leave</t>
  </si>
  <si>
    <t>Leave information</t>
  </si>
  <si>
    <t>Employee Reference Number</t>
  </si>
  <si>
    <t>Name</t>
  </si>
  <si>
    <t>Teaching / Support</t>
  </si>
  <si>
    <t>Leave Type</t>
  </si>
  <si>
    <t>Leave Date From</t>
  </si>
  <si>
    <t>Leave Date To (if known)</t>
  </si>
  <si>
    <t>Example Person A</t>
  </si>
  <si>
    <t>Teaching</t>
  </si>
  <si>
    <t>Maternity</t>
  </si>
  <si>
    <t>Example Person B</t>
  </si>
  <si>
    <t>Support</t>
  </si>
  <si>
    <t>Adoption</t>
  </si>
  <si>
    <t>1. Staff Contract Information</t>
  </si>
  <si>
    <t>2. Staff Contract Checklist</t>
  </si>
  <si>
    <t>3. LGPS Pension Information</t>
  </si>
  <si>
    <t>4. Statutory Leave</t>
  </si>
  <si>
    <t>5. Equated Weeks</t>
  </si>
  <si>
    <t>From   Core Data / Mappable</t>
  </si>
  <si>
    <t>If you do not have this type of table, please speak to your lead consultant who will be able to provide you with an alternative method of calculating this information</t>
  </si>
  <si>
    <t>In each of the following tabs you will find an example of the data requirements for your IMP Planner build. The templates are designed to help you understand the data we will be looking for in your exisiting formats and do not need to be completed unless you would prefer to use them</t>
  </si>
  <si>
    <t>FTE Annual salary rate</t>
  </si>
  <si>
    <r>
      <t xml:space="preserve">Support - TTO Weeks </t>
    </r>
    <r>
      <rPr>
        <b/>
        <sz val="11"/>
        <rFont val="Calibri"/>
        <family val="2"/>
        <scheme val="minor"/>
      </rPr>
      <t>worked</t>
    </r>
    <r>
      <rPr>
        <sz val="11"/>
        <rFont val="Calibri"/>
        <family val="2"/>
        <scheme val="minor"/>
      </rPr>
      <t xml:space="preserve"> per year (Teacher can be left blank)</t>
    </r>
  </si>
  <si>
    <r>
      <t>Support - TTO Weeks</t>
    </r>
    <r>
      <rPr>
        <b/>
        <sz val="11"/>
        <color theme="1"/>
        <rFont val="Calibri"/>
        <family val="2"/>
        <scheme val="minor"/>
      </rPr>
      <t xml:space="preserve"> paid</t>
    </r>
    <r>
      <rPr>
        <sz val="11"/>
        <color theme="1"/>
        <rFont val="Calibri"/>
        <family val="2"/>
        <scheme val="minor"/>
      </rPr>
      <t xml:space="preserve"> per year (Teacher can be left blank)</t>
    </r>
  </si>
  <si>
    <t>Actual Annual salary</t>
  </si>
  <si>
    <t>If no value we will be unable to do a value comparison at the end of the build</t>
  </si>
  <si>
    <t>Allowance Annual Rate (Full time)</t>
  </si>
  <si>
    <t>Allowance Annual value paid (Actual)</t>
  </si>
  <si>
    <t>EQWP/ TTO Weeks paid per year</t>
  </si>
  <si>
    <t>EQWP/ TTO Weeks worked per year</t>
  </si>
  <si>
    <t>First Name</t>
  </si>
  <si>
    <t>Last Name</t>
  </si>
  <si>
    <t>Allowance 1 - Annual value (Actual)</t>
  </si>
  <si>
    <t>Allowance 2 - name / code/ type being paid</t>
  </si>
  <si>
    <t>Allowance 2 - Annual Rate (FTE)</t>
  </si>
  <si>
    <t>Allowance 2 - Annual value (Actual)</t>
  </si>
  <si>
    <t>Allowance 2 - Start (if after budget period start date)</t>
  </si>
  <si>
    <t>Allowance 1 -   End (if in budget period)</t>
  </si>
  <si>
    <t>Allowance 1 -   Annual Rate (FTE)</t>
  </si>
  <si>
    <t>Allowance 1 -               name / code/ type being paid</t>
  </si>
  <si>
    <t>Allowance 1 -             Start (if after budget period start date)</t>
  </si>
  <si>
    <t>Allowance 2 -    End (if in budget period)</t>
  </si>
  <si>
    <t xml:space="preserve">This tab provides an example of the type of table we are looking for to build your equated weeks. Equated weeks patterns are allocated to Staff Contracts and contain the number of equated weeks to be paid dependant on length of service of the Staff Member. </t>
  </si>
  <si>
    <t>This example provides the Essential and Desirable information we will need for anyone included in the budget, on statutory leave</t>
  </si>
  <si>
    <t>Desirable</t>
  </si>
  <si>
    <t>End Date</t>
  </si>
  <si>
    <t>EP203</t>
  </si>
  <si>
    <t>EP94</t>
  </si>
  <si>
    <t>EP98</t>
  </si>
  <si>
    <t>EP142</t>
  </si>
  <si>
    <t>EP408</t>
  </si>
  <si>
    <t>EP210</t>
  </si>
  <si>
    <t>EP44</t>
  </si>
  <si>
    <t>EP71</t>
  </si>
  <si>
    <t>EP346</t>
  </si>
  <si>
    <t>EP184</t>
  </si>
  <si>
    <t>EP304</t>
  </si>
  <si>
    <t>EP208</t>
  </si>
  <si>
    <t>EP30</t>
  </si>
  <si>
    <t>EP395</t>
  </si>
  <si>
    <t>EP378</t>
  </si>
  <si>
    <t>EP328</t>
  </si>
  <si>
    <t>EP80</t>
  </si>
  <si>
    <t>EP367</t>
  </si>
  <si>
    <t>EP193</t>
  </si>
  <si>
    <t>EP360</t>
  </si>
  <si>
    <t>EP41</t>
  </si>
  <si>
    <t>EP186</t>
  </si>
  <si>
    <t>EP370</t>
  </si>
  <si>
    <t>EP140</t>
  </si>
  <si>
    <t>EP69</t>
  </si>
  <si>
    <t>EP213</t>
  </si>
  <si>
    <t>EP300</t>
  </si>
  <si>
    <t>EP380</t>
  </si>
  <si>
    <t>EP48</t>
  </si>
  <si>
    <t>EP226</t>
  </si>
  <si>
    <t>EP219</t>
  </si>
  <si>
    <t>EP316</t>
  </si>
  <si>
    <t>EP2</t>
  </si>
  <si>
    <t>EP79</t>
  </si>
  <si>
    <t>EP225</t>
  </si>
  <si>
    <t>EP201</t>
  </si>
  <si>
    <t>EP362</t>
  </si>
  <si>
    <t>EP214</t>
  </si>
  <si>
    <t>EP293</t>
  </si>
  <si>
    <t>EP134</t>
  </si>
  <si>
    <t>EP341</t>
  </si>
  <si>
    <t>EP61</t>
  </si>
  <si>
    <t>EP13</t>
  </si>
  <si>
    <t>EP197</t>
  </si>
  <si>
    <t>EP14</t>
  </si>
  <si>
    <t>EP171</t>
  </si>
  <si>
    <t>EP338</t>
  </si>
  <si>
    <t>EP327</t>
  </si>
  <si>
    <t>EP243</t>
  </si>
  <si>
    <t>EP34</t>
  </si>
  <si>
    <t>EP345</t>
  </si>
  <si>
    <t>EP257</t>
  </si>
  <si>
    <t>EP92</t>
  </si>
  <si>
    <t>EP87</t>
  </si>
  <si>
    <t>EP187</t>
  </si>
  <si>
    <t>EP287</t>
  </si>
  <si>
    <t>EP147</t>
  </si>
  <si>
    <t>EP65</t>
  </si>
  <si>
    <t>EP78</t>
  </si>
  <si>
    <t>EP86</t>
  </si>
  <si>
    <t>EP43</t>
  </si>
  <si>
    <t>EP191</t>
  </si>
  <si>
    <t>EP21</t>
  </si>
  <si>
    <t>EP9</t>
  </si>
  <si>
    <t>EP152</t>
  </si>
  <si>
    <t>EP315</t>
  </si>
  <si>
    <t>EP258</t>
  </si>
  <si>
    <t>EP164</t>
  </si>
  <si>
    <t>EP124</t>
  </si>
  <si>
    <t>EP162</t>
  </si>
  <si>
    <t>EP400</t>
  </si>
  <si>
    <t>EP222</t>
  </si>
  <si>
    <t>EP101</t>
  </si>
  <si>
    <t>EP217</t>
  </si>
  <si>
    <t>EP102</t>
  </si>
  <si>
    <t>EP279</t>
  </si>
  <si>
    <t>EP143</t>
  </si>
  <si>
    <t>EP288</t>
  </si>
  <si>
    <t>EP396</t>
  </si>
  <si>
    <t>EP137</t>
  </si>
  <si>
    <t>EP15</t>
  </si>
  <si>
    <t>EP114</t>
  </si>
  <si>
    <t>EP231</t>
  </si>
  <si>
    <t>EP363</t>
  </si>
  <si>
    <t>EP308</t>
  </si>
  <si>
    <t>EP185</t>
  </si>
  <si>
    <t>EP318</t>
  </si>
  <si>
    <t>EP384</t>
  </si>
  <si>
    <t>EP145</t>
  </si>
  <si>
    <t>EP112</t>
  </si>
  <si>
    <t>EP128</t>
  </si>
  <si>
    <t>EP63</t>
  </si>
  <si>
    <t>EP50</t>
  </si>
  <si>
    <t>EP107</t>
  </si>
  <si>
    <t>EP246</t>
  </si>
  <si>
    <t>EP170</t>
  </si>
  <si>
    <t>EP178</t>
  </si>
  <si>
    <t>EP54</t>
  </si>
  <si>
    <t>EP347</t>
  </si>
  <si>
    <t>EP75</t>
  </si>
  <si>
    <t>EP372</t>
  </si>
  <si>
    <t>EP379</t>
  </si>
  <si>
    <t>EP129</t>
  </si>
  <si>
    <t>EP77</t>
  </si>
  <si>
    <t>EP154</t>
  </si>
  <si>
    <t>EP53</t>
  </si>
  <si>
    <t>EP377</t>
  </si>
  <si>
    <t>EP199</t>
  </si>
  <si>
    <t>EP141</t>
  </si>
  <si>
    <t>EP312</t>
  </si>
  <si>
    <t>EP221</t>
  </si>
  <si>
    <t>EP72</t>
  </si>
  <si>
    <t>EP57</t>
  </si>
  <si>
    <t>EP26</t>
  </si>
  <si>
    <t>EP390</t>
  </si>
  <si>
    <t>EP252</t>
  </si>
  <si>
    <t>EP60</t>
  </si>
  <si>
    <t>EP190</t>
  </si>
  <si>
    <t>EP64</t>
  </si>
  <si>
    <t>EP350</t>
  </si>
  <si>
    <t>EP153</t>
  </si>
  <si>
    <t>EP146</t>
  </si>
  <si>
    <t>EP76</t>
  </si>
  <si>
    <t>EP174</t>
  </si>
  <si>
    <t>EP356</t>
  </si>
  <si>
    <t>EP113</t>
  </si>
  <si>
    <t>EP286</t>
  </si>
  <si>
    <t>EP270</t>
  </si>
  <si>
    <t>EP277</t>
  </si>
  <si>
    <t>EP289</t>
  </si>
  <si>
    <t>EP89</t>
  </si>
  <si>
    <t>EP354</t>
  </si>
  <si>
    <t>EP46</t>
  </si>
  <si>
    <t>EP305</t>
  </si>
  <si>
    <t>EP148</t>
  </si>
  <si>
    <t>EP28</t>
  </si>
  <si>
    <t>EP269</t>
  </si>
  <si>
    <t>EP176</t>
  </si>
  <si>
    <t>EP359</t>
  </si>
  <si>
    <t>EP179</t>
  </si>
  <si>
    <t>EP159</t>
  </si>
  <si>
    <t>EP407</t>
  </si>
  <si>
    <t>EP1</t>
  </si>
  <si>
    <t>EP52</t>
  </si>
  <si>
    <t>EP58</t>
  </si>
  <si>
    <t>EP402</t>
  </si>
  <si>
    <t>EP39</t>
  </si>
  <si>
    <t>EP27</t>
  </si>
  <si>
    <t>EP268</t>
  </si>
  <si>
    <t>EP23</t>
  </si>
  <si>
    <t>EP320</t>
  </si>
  <si>
    <t>EP83</t>
  </si>
  <si>
    <t>EP55</t>
  </si>
  <si>
    <t>EP344</t>
  </si>
  <si>
    <t>EP282</t>
  </si>
  <si>
    <t>EP358</t>
  </si>
  <si>
    <t>EP253</t>
  </si>
  <si>
    <t>EP22</t>
  </si>
  <si>
    <t>EP398</t>
  </si>
  <si>
    <t>EP10</t>
  </si>
  <si>
    <t>EP371</t>
  </si>
  <si>
    <t>EP125</t>
  </si>
  <si>
    <t>EP126</t>
  </si>
  <si>
    <t>EP132</t>
  </si>
  <si>
    <t>EP278</t>
  </si>
  <si>
    <t>EP115</t>
  </si>
  <si>
    <t>EP150</t>
  </si>
  <si>
    <t>EP166</t>
  </si>
  <si>
    <t>EP227</t>
  </si>
  <si>
    <t>EP342</t>
  </si>
  <si>
    <t>EP405</t>
  </si>
  <si>
    <t>EP399</t>
  </si>
  <si>
    <t>EP211</t>
  </si>
  <si>
    <t>EP70</t>
  </si>
  <si>
    <t>EP31</t>
  </si>
  <si>
    <t>EP202</t>
  </si>
  <si>
    <t>EP182</t>
  </si>
  <si>
    <t>EP292</t>
  </si>
  <si>
    <t>EP343</t>
  </si>
  <si>
    <t>EP242</t>
  </si>
  <si>
    <t>EP348</t>
  </si>
  <si>
    <t>EP32</t>
  </si>
  <si>
    <t>EP255</t>
  </si>
  <si>
    <t>EP204</t>
  </si>
  <si>
    <t>EP25</t>
  </si>
  <si>
    <t>EP51</t>
  </si>
  <si>
    <t>EP336</t>
  </si>
  <si>
    <t>EP200</t>
  </si>
  <si>
    <t>EP394</t>
  </si>
  <si>
    <t>EP103</t>
  </si>
  <si>
    <t>EP373</t>
  </si>
  <si>
    <t>EP364</t>
  </si>
  <si>
    <t>EP365</t>
  </si>
  <si>
    <t>EP339</t>
  </si>
  <si>
    <t>EP97</t>
  </si>
  <si>
    <t>EP116</t>
  </si>
  <si>
    <t>EP104</t>
  </si>
  <si>
    <t>EP66</t>
  </si>
  <si>
    <t>EP35</t>
  </si>
  <si>
    <t>EP165</t>
  </si>
  <si>
    <t>EP406</t>
  </si>
  <si>
    <t>EP283</t>
  </si>
  <si>
    <t>EP49</t>
  </si>
  <si>
    <t>EP195</t>
  </si>
  <si>
    <t>EP56</t>
  </si>
  <si>
    <t>EP223</t>
  </si>
  <si>
    <t>EP332</t>
  </si>
  <si>
    <t>EP220</t>
  </si>
  <si>
    <t>EP168</t>
  </si>
  <si>
    <t>EP194</t>
  </si>
  <si>
    <t>EP144</t>
  </si>
  <si>
    <t>EP11</t>
  </si>
  <si>
    <t>EP275</t>
  </si>
  <si>
    <t>EP62</t>
  </si>
  <si>
    <t>EP303</t>
  </si>
  <si>
    <t>EP119</t>
  </si>
  <si>
    <t>EP24</t>
  </si>
  <si>
    <t>EP404</t>
  </si>
  <si>
    <t>EP85</t>
  </si>
  <si>
    <t>EP155</t>
  </si>
  <si>
    <t>EP111</t>
  </si>
  <si>
    <t>EP82</t>
  </si>
  <si>
    <t>EP100</t>
  </si>
  <si>
    <t>EP3</t>
  </si>
  <si>
    <t>EP374</t>
  </si>
  <si>
    <t>EP228</t>
  </si>
  <si>
    <t>EP40</t>
  </si>
  <si>
    <t>EP110</t>
  </si>
  <si>
    <t>EP12</t>
  </si>
  <si>
    <t>EP17</t>
  </si>
  <si>
    <t>EP229</t>
  </si>
  <si>
    <t>EP29</t>
  </si>
  <si>
    <t>EP183</t>
  </si>
  <si>
    <t>EP68</t>
  </si>
  <si>
    <t>EP335</t>
  </si>
  <si>
    <t>EP4</t>
  </si>
  <si>
    <t>EP5</t>
  </si>
  <si>
    <t>EP45</t>
  </si>
  <si>
    <t>EP254</t>
  </si>
  <si>
    <t>EP37</t>
  </si>
  <si>
    <t>EP33</t>
  </si>
  <si>
    <t>EP105</t>
  </si>
  <si>
    <t>EP131</t>
  </si>
  <si>
    <t>EP106</t>
  </si>
  <si>
    <t>EP73</t>
  </si>
  <si>
    <t>EP189</t>
  </si>
  <si>
    <t>EP388</t>
  </si>
  <si>
    <t>EP127</t>
  </si>
  <si>
    <t>EP138</t>
  </si>
  <si>
    <t>EP175</t>
  </si>
  <si>
    <t>EP180</t>
  </si>
  <si>
    <t>EP122</t>
  </si>
  <si>
    <t>EP218</t>
  </si>
  <si>
    <t>EP84</t>
  </si>
  <si>
    <t>EP149</t>
  </si>
  <si>
    <t>EP47</t>
  </si>
  <si>
    <t>Adams</t>
  </si>
  <si>
    <t>Shelley</t>
  </si>
  <si>
    <t>Sophie</t>
  </si>
  <si>
    <t>Aldous</t>
  </si>
  <si>
    <t>Suzanne</t>
  </si>
  <si>
    <t>Anghel</t>
  </si>
  <si>
    <t>Mihaela</t>
  </si>
  <si>
    <t>Armon</t>
  </si>
  <si>
    <t>Crystal</t>
  </si>
  <si>
    <t>Ayrton</t>
  </si>
  <si>
    <t>Angela</t>
  </si>
  <si>
    <t>Baker</t>
  </si>
  <si>
    <t>Beverley</t>
  </si>
  <si>
    <t>Linda</t>
  </si>
  <si>
    <t>Lucy</t>
  </si>
  <si>
    <t>Ballard</t>
  </si>
  <si>
    <t>Luke</t>
  </si>
  <si>
    <t>Ballett</t>
  </si>
  <si>
    <t>Jordan</t>
  </si>
  <si>
    <t>Bates</t>
  </si>
  <si>
    <t>Amanda</t>
  </si>
  <si>
    <t>Baumber</t>
  </si>
  <si>
    <t>Nick</t>
  </si>
  <si>
    <t>Bayliss</t>
  </si>
  <si>
    <t>Elizabeth</t>
  </si>
  <si>
    <t>Beechey</t>
  </si>
  <si>
    <t>Jessica</t>
  </si>
  <si>
    <t>Beer</t>
  </si>
  <si>
    <t>Dylan</t>
  </si>
  <si>
    <t>Begum</t>
  </si>
  <si>
    <t>Nazmin</t>
  </si>
  <si>
    <t>Bennett</t>
  </si>
  <si>
    <t>Ruby</t>
  </si>
  <si>
    <t>Rebecca</t>
  </si>
  <si>
    <t>Berry</t>
  </si>
  <si>
    <t>Gill</t>
  </si>
  <si>
    <t>Best</t>
  </si>
  <si>
    <t>Helen</t>
  </si>
  <si>
    <t>Bewley</t>
  </si>
  <si>
    <t>Margaret</t>
  </si>
  <si>
    <t>Bishop</t>
  </si>
  <si>
    <t>Daniel</t>
  </si>
  <si>
    <t>Bissagar</t>
  </si>
  <si>
    <t>Mel</t>
  </si>
  <si>
    <t>Blake-Mckeown</t>
  </si>
  <si>
    <t>Lauren</t>
  </si>
  <si>
    <t>Blundell</t>
  </si>
  <si>
    <t>Gregory</t>
  </si>
  <si>
    <t>Bond</t>
  </si>
  <si>
    <t>Katie</t>
  </si>
  <si>
    <t>Box</t>
  </si>
  <si>
    <t>Kirstie</t>
  </si>
  <si>
    <t>Bradley</t>
  </si>
  <si>
    <t>Clara</t>
  </si>
  <si>
    <t>Bragginton</t>
  </si>
  <si>
    <t>Neil</t>
  </si>
  <si>
    <t>Breed</t>
  </si>
  <si>
    <t>Vicki</t>
  </si>
  <si>
    <t>Bridgman</t>
  </si>
  <si>
    <t>Alice</t>
  </si>
  <si>
    <t>Brimson</t>
  </si>
  <si>
    <t>Natasha</t>
  </si>
  <si>
    <t>Brown</t>
  </si>
  <si>
    <t>Natalie</t>
  </si>
  <si>
    <t>Brunton</t>
  </si>
  <si>
    <t>Samuel</t>
  </si>
  <si>
    <t>Burt</t>
  </si>
  <si>
    <t>Burton-Hemmings</t>
  </si>
  <si>
    <t>Hayley</t>
  </si>
  <si>
    <t>Finley</t>
  </si>
  <si>
    <t>Butcher</t>
  </si>
  <si>
    <t>Louise</t>
  </si>
  <si>
    <t>Cable</t>
  </si>
  <si>
    <t>Jemma</t>
  </si>
  <si>
    <t>Calvert</t>
  </si>
  <si>
    <t>Julie</t>
  </si>
  <si>
    <t>Camacho Pereira-Ford</t>
  </si>
  <si>
    <t>Diana</t>
  </si>
  <si>
    <t>Campbell-Bell</t>
  </si>
  <si>
    <t>Sally</t>
  </si>
  <si>
    <t>Carne</t>
  </si>
  <si>
    <t>Ellie</t>
  </si>
  <si>
    <t>Carr</t>
  </si>
  <si>
    <t>Joanne</t>
  </si>
  <si>
    <t>Catchpole</t>
  </si>
  <si>
    <t>Freddie</t>
  </si>
  <si>
    <t>Caveney</t>
  </si>
  <si>
    <t>Jasmin</t>
  </si>
  <si>
    <t>Simon</t>
  </si>
  <si>
    <t>Chandler</t>
  </si>
  <si>
    <t>Sarah</t>
  </si>
  <si>
    <t>Chown</t>
  </si>
  <si>
    <t>Carmen</t>
  </si>
  <si>
    <t>Christopher</t>
  </si>
  <si>
    <t>Lacey</t>
  </si>
  <si>
    <t>Sharon</t>
  </si>
  <si>
    <t>Churchill</t>
  </si>
  <si>
    <t>Churchouse</t>
  </si>
  <si>
    <t>Megan</t>
  </si>
  <si>
    <t>Clements</t>
  </si>
  <si>
    <t>Fredrick</t>
  </si>
  <si>
    <t>Cobb</t>
  </si>
  <si>
    <t>Rachel</t>
  </si>
  <si>
    <t>Coggan</t>
  </si>
  <si>
    <t>Cole</t>
  </si>
  <si>
    <t>Naomi</t>
  </si>
  <si>
    <t>Coleman</t>
  </si>
  <si>
    <t>Rebekah</t>
  </si>
  <si>
    <t>Cooke</t>
  </si>
  <si>
    <t>Cox</t>
  </si>
  <si>
    <t>Joanna</t>
  </si>
  <si>
    <t>Cross</t>
  </si>
  <si>
    <t>Claire</t>
  </si>
  <si>
    <t>Crossley</t>
  </si>
  <si>
    <t>Tracey</t>
  </si>
  <si>
    <t>Curtis</t>
  </si>
  <si>
    <t>Laura</t>
  </si>
  <si>
    <t>Cutler</t>
  </si>
  <si>
    <t>Holly</t>
  </si>
  <si>
    <t>Davey</t>
  </si>
  <si>
    <t>Davies</t>
  </si>
  <si>
    <t>Fiona</t>
  </si>
  <si>
    <t>Emily</t>
  </si>
  <si>
    <t>Davis</t>
  </si>
  <si>
    <t>Ayeasha</t>
  </si>
  <si>
    <t>Davison</t>
  </si>
  <si>
    <t>Kirsty</t>
  </si>
  <si>
    <t>Denton</t>
  </si>
  <si>
    <t>Victoria</t>
  </si>
  <si>
    <t>Jared</t>
  </si>
  <si>
    <t>Dodd</t>
  </si>
  <si>
    <t>Aaron</t>
  </si>
  <si>
    <t>Doe</t>
  </si>
  <si>
    <t>Doman</t>
  </si>
  <si>
    <t>James</t>
  </si>
  <si>
    <t>Donder</t>
  </si>
  <si>
    <t>Yasemin</t>
  </si>
  <si>
    <t>Donoghue</t>
  </si>
  <si>
    <t>Marie</t>
  </si>
  <si>
    <t>Doyle</t>
  </si>
  <si>
    <t>Emma</t>
  </si>
  <si>
    <t>Eason</t>
  </si>
  <si>
    <t>Danielle</t>
  </si>
  <si>
    <t>Easton</t>
  </si>
  <si>
    <t>Sara</t>
  </si>
  <si>
    <t>Eccles</t>
  </si>
  <si>
    <t>Nicola</t>
  </si>
  <si>
    <t>Edwards</t>
  </si>
  <si>
    <t>Janet</t>
  </si>
  <si>
    <t>Elliott</t>
  </si>
  <si>
    <t>Lynette</t>
  </si>
  <si>
    <t>Elton</t>
  </si>
  <si>
    <t>Evans</t>
  </si>
  <si>
    <t>Leah</t>
  </si>
  <si>
    <t>Fallesen</t>
  </si>
  <si>
    <t>Fancy</t>
  </si>
  <si>
    <t>Feltham</t>
  </si>
  <si>
    <t>Finney</t>
  </si>
  <si>
    <t>Kelly</t>
  </si>
  <si>
    <t>Fleet</t>
  </si>
  <si>
    <t>Fleming</t>
  </si>
  <si>
    <t>Fleurie</t>
  </si>
  <si>
    <t>Ruth</t>
  </si>
  <si>
    <t>Ford</t>
  </si>
  <si>
    <t>Jean</t>
  </si>
  <si>
    <t>Forryan</t>
  </si>
  <si>
    <t>Fowler</t>
  </si>
  <si>
    <t>Hannah</t>
  </si>
  <si>
    <t>Fuller</t>
  </si>
  <si>
    <t>Gailor</t>
  </si>
  <si>
    <t>Maria</t>
  </si>
  <si>
    <t>Gale</t>
  </si>
  <si>
    <t>Lois</t>
  </si>
  <si>
    <t>Gardner</t>
  </si>
  <si>
    <t>Simone</t>
  </si>
  <si>
    <t>Gibbins</t>
  </si>
  <si>
    <t>Jennifer</t>
  </si>
  <si>
    <t>Glover</t>
  </si>
  <si>
    <t>Michaela</t>
  </si>
  <si>
    <t>Gourlay</t>
  </si>
  <si>
    <t>William</t>
  </si>
  <si>
    <t>Georgia</t>
  </si>
  <si>
    <t>Green</t>
  </si>
  <si>
    <t>Samantha</t>
  </si>
  <si>
    <t>Greenham</t>
  </si>
  <si>
    <t>Melanie</t>
  </si>
  <si>
    <t>Groome</t>
  </si>
  <si>
    <t>Amy</t>
  </si>
  <si>
    <t>Groves</t>
  </si>
  <si>
    <t>Kellie</t>
  </si>
  <si>
    <t>Guite</t>
  </si>
  <si>
    <t>Lisa</t>
  </si>
  <si>
    <t>Guppy</t>
  </si>
  <si>
    <t>Janice</t>
  </si>
  <si>
    <t>Hankins</t>
  </si>
  <si>
    <t>Hannan</t>
  </si>
  <si>
    <t>Maureen</t>
  </si>
  <si>
    <t>Hanson</t>
  </si>
  <si>
    <t>Lindsey</t>
  </si>
  <si>
    <t>Hardwicke</t>
  </si>
  <si>
    <t>Joy</t>
  </si>
  <si>
    <t>Hart</t>
  </si>
  <si>
    <t>Pauline</t>
  </si>
  <si>
    <t>Heeks</t>
  </si>
  <si>
    <t>Kim</t>
  </si>
  <si>
    <t>Hendicott</t>
  </si>
  <si>
    <t>Nina</t>
  </si>
  <si>
    <t>Hill</t>
  </si>
  <si>
    <t>Uta</t>
  </si>
  <si>
    <t>Hillman</t>
  </si>
  <si>
    <t>Honders</t>
  </si>
  <si>
    <t>Hooker</t>
  </si>
  <si>
    <t>Kate</t>
  </si>
  <si>
    <t>Hopper</t>
  </si>
  <si>
    <t>Hourihan</t>
  </si>
  <si>
    <t>Clare</t>
  </si>
  <si>
    <t>Howells</t>
  </si>
  <si>
    <t>Tania</t>
  </si>
  <si>
    <t>Hughes</t>
  </si>
  <si>
    <t>Anna</t>
  </si>
  <si>
    <t>Hunt</t>
  </si>
  <si>
    <t>Kimberley</t>
  </si>
  <si>
    <t>Tilly-Sunshine</t>
  </si>
  <si>
    <t>Hurle</t>
  </si>
  <si>
    <t>Ives</t>
  </si>
  <si>
    <t>Benjamin</t>
  </si>
  <si>
    <t>Jackaman</t>
  </si>
  <si>
    <t>Caroline</t>
  </si>
  <si>
    <t>Jenny</t>
  </si>
  <si>
    <t>Jones</t>
  </si>
  <si>
    <t>Rhiannon</t>
  </si>
  <si>
    <t>Kendrick</t>
  </si>
  <si>
    <t>Khamis</t>
  </si>
  <si>
    <t>Sabha</t>
  </si>
  <si>
    <t>Killahena</t>
  </si>
  <si>
    <t>Killen</t>
  </si>
  <si>
    <t>Matthew</t>
  </si>
  <si>
    <t>Kirkby</t>
  </si>
  <si>
    <t>Leesa</t>
  </si>
  <si>
    <t>Knight</t>
  </si>
  <si>
    <t>Eleanor</t>
  </si>
  <si>
    <t>Lambert</t>
  </si>
  <si>
    <t>Leanne</t>
  </si>
  <si>
    <t>Langley</t>
  </si>
  <si>
    <t>Abigail</t>
  </si>
  <si>
    <t>Laws</t>
  </si>
  <si>
    <t>Gabrielle</t>
  </si>
  <si>
    <t>Lee</t>
  </si>
  <si>
    <t>Star</t>
  </si>
  <si>
    <t>Leppington</t>
  </si>
  <si>
    <t>Leslie</t>
  </si>
  <si>
    <t>Lowenna</t>
  </si>
  <si>
    <t>Lewis</t>
  </si>
  <si>
    <t>Yasmin</t>
  </si>
  <si>
    <t>Linney</t>
  </si>
  <si>
    <t>Lippitt</t>
  </si>
  <si>
    <t>Rachael</t>
  </si>
  <si>
    <t>Lisi</t>
  </si>
  <si>
    <t>Lockerman</t>
  </si>
  <si>
    <t>Longford</t>
  </si>
  <si>
    <t>Lara</t>
  </si>
  <si>
    <t>Lovering</t>
  </si>
  <si>
    <t>Jonathan</t>
  </si>
  <si>
    <t>Luffman</t>
  </si>
  <si>
    <t>Mannering</t>
  </si>
  <si>
    <t>Maple</t>
  </si>
  <si>
    <t>Marshall</t>
  </si>
  <si>
    <t>Marshallsay</t>
  </si>
  <si>
    <t>Angel</t>
  </si>
  <si>
    <t>Mawer</t>
  </si>
  <si>
    <t>Gemma</t>
  </si>
  <si>
    <t>Mccloy</t>
  </si>
  <si>
    <t>Morrison</t>
  </si>
  <si>
    <t>Morton-Palmer</t>
  </si>
  <si>
    <t>Donna</t>
  </si>
  <si>
    <t>Newman</t>
  </si>
  <si>
    <t>Nixon</t>
  </si>
  <si>
    <t>Noyce</t>
  </si>
  <si>
    <t>Jacqueline</t>
  </si>
  <si>
    <t>Nyathi</t>
  </si>
  <si>
    <t>Oldfield</t>
  </si>
  <si>
    <t>Alex</t>
  </si>
  <si>
    <t>Orchard</t>
  </si>
  <si>
    <t>Ourkiya</t>
  </si>
  <si>
    <t>Sabah</t>
  </si>
  <si>
    <t>Packham</t>
  </si>
  <si>
    <t>Cathryne</t>
  </si>
  <si>
    <t>Palmer</t>
  </si>
  <si>
    <t>Laurin</t>
  </si>
  <si>
    <t>Penfold</t>
  </si>
  <si>
    <t>Penny</t>
  </si>
  <si>
    <t>Phillips</t>
  </si>
  <si>
    <t>Skye</t>
  </si>
  <si>
    <t>Pilgrim</t>
  </si>
  <si>
    <t>Carla</t>
  </si>
  <si>
    <t>Plunkett</t>
  </si>
  <si>
    <t>Poole</t>
  </si>
  <si>
    <t>Price</t>
  </si>
  <si>
    <t>Prince</t>
  </si>
  <si>
    <t>Proffitt</t>
  </si>
  <si>
    <t>Purbrick</t>
  </si>
  <si>
    <t>Ramsden</t>
  </si>
  <si>
    <t>Fionnuala</t>
  </si>
  <si>
    <t>Richards</t>
  </si>
  <si>
    <t>Riding</t>
  </si>
  <si>
    <t>Rix</t>
  </si>
  <si>
    <t>Hollie</t>
  </si>
  <si>
    <t>Roast</t>
  </si>
  <si>
    <t>Adam</t>
  </si>
  <si>
    <t>Roberts</t>
  </si>
  <si>
    <t>Robinson</t>
  </si>
  <si>
    <t>Rodriguez</t>
  </si>
  <si>
    <t>Ruddock</t>
  </si>
  <si>
    <t>Sandham</t>
  </si>
  <si>
    <t>Susan</t>
  </si>
  <si>
    <t>Sawyer</t>
  </si>
  <si>
    <t>David</t>
  </si>
  <si>
    <t>Simmons</t>
  </si>
  <si>
    <t>Alison</t>
  </si>
  <si>
    <t>Sims</t>
  </si>
  <si>
    <t>Singleton</t>
  </si>
  <si>
    <t>Slater</t>
  </si>
  <si>
    <t>Smal</t>
  </si>
  <si>
    <t>Chelsi</t>
  </si>
  <si>
    <t>Smeeth</t>
  </si>
  <si>
    <t>Deborah</t>
  </si>
  <si>
    <t>Snow</t>
  </si>
  <si>
    <t>Specterman</t>
  </si>
  <si>
    <t>Lesley</t>
  </si>
  <si>
    <t>Spencer</t>
  </si>
  <si>
    <t>Spratt</t>
  </si>
  <si>
    <t>Kay</t>
  </si>
  <si>
    <t>Stockley</t>
  </si>
  <si>
    <t>Stocks</t>
  </si>
  <si>
    <t>Sutheran</t>
  </si>
  <si>
    <t>Tantrum</t>
  </si>
  <si>
    <t>Taylor</t>
  </si>
  <si>
    <t>Karen</t>
  </si>
  <si>
    <t>Teesdale</t>
  </si>
  <si>
    <t>Thain</t>
  </si>
  <si>
    <t>Thomas-Smith</t>
  </si>
  <si>
    <t>Kerri</t>
  </si>
  <si>
    <t>Thompson</t>
  </si>
  <si>
    <t>Rachelle</t>
  </si>
  <si>
    <t>Thorne</t>
  </si>
  <si>
    <t>Thornton</t>
  </si>
  <si>
    <t>Tizzard</t>
  </si>
  <si>
    <t>Chloe</t>
  </si>
  <si>
    <t>Tout</t>
  </si>
  <si>
    <t>Paula</t>
  </si>
  <si>
    <t>Trusson</t>
  </si>
  <si>
    <t>Trudy</t>
  </si>
  <si>
    <t>Tucker</t>
  </si>
  <si>
    <t>Turner</t>
  </si>
  <si>
    <t>Verrinder</t>
  </si>
  <si>
    <t>Georgina</t>
  </si>
  <si>
    <t>Walker</t>
  </si>
  <si>
    <t>Cheryl</t>
  </si>
  <si>
    <t>Walters</t>
  </si>
  <si>
    <t>Dale</t>
  </si>
  <si>
    <t>Warner</t>
  </si>
  <si>
    <t>Rochelle</t>
  </si>
  <si>
    <t>Warren</t>
  </si>
  <si>
    <t>Maria Clare</t>
  </si>
  <si>
    <t>Waterhouse</t>
  </si>
  <si>
    <t>Watson</t>
  </si>
  <si>
    <t>Michael</t>
  </si>
  <si>
    <t>Watt</t>
  </si>
  <si>
    <t>Ashlyn</t>
  </si>
  <si>
    <t>Way</t>
  </si>
  <si>
    <t>Carol</t>
  </si>
  <si>
    <t>Wells</t>
  </si>
  <si>
    <t>White</t>
  </si>
  <si>
    <t>Tess</t>
  </si>
  <si>
    <t>Wignall</t>
  </si>
  <si>
    <t>Wilkinson</t>
  </si>
  <si>
    <t>Williams</t>
  </si>
  <si>
    <t>Williamson</t>
  </si>
  <si>
    <t>Michelle</t>
  </si>
  <si>
    <t>Willingham</t>
  </si>
  <si>
    <t>Robert</t>
  </si>
  <si>
    <t>Wills</t>
  </si>
  <si>
    <t>Wilson</t>
  </si>
  <si>
    <t>Mark</t>
  </si>
  <si>
    <t>Kathrine</t>
  </si>
  <si>
    <t>Winkworth</t>
  </si>
  <si>
    <t>Wischhusen</t>
  </si>
  <si>
    <t>Woodman</t>
  </si>
  <si>
    <t>Rachal</t>
  </si>
  <si>
    <t>Young</t>
  </si>
  <si>
    <t>Rowan</t>
  </si>
  <si>
    <t>Haymoor Junior School</t>
  </si>
  <si>
    <t>Ad Astra Infant School</t>
  </si>
  <si>
    <t>Canford Heath Infant School</t>
  </si>
  <si>
    <t>Canford Heath Junior School</t>
  </si>
  <si>
    <t>Trust Location</t>
  </si>
  <si>
    <t>Ad Astra Infant School (SCITT)</t>
  </si>
  <si>
    <t>EP203-187</t>
  </si>
  <si>
    <t>EP203-260</t>
  </si>
  <si>
    <t>EP94-107</t>
  </si>
  <si>
    <t>EP98-155</t>
  </si>
  <si>
    <t>EP98-318</t>
  </si>
  <si>
    <t>EP98-525</t>
  </si>
  <si>
    <t>EP142-86</t>
  </si>
  <si>
    <t>EP408-545</t>
  </si>
  <si>
    <t>EP210-216</t>
  </si>
  <si>
    <t>EP44-276</t>
  </si>
  <si>
    <t>EP71-133</t>
  </si>
  <si>
    <t>EP346-449</t>
  </si>
  <si>
    <t>EP184-173</t>
  </si>
  <si>
    <t>EP304-389</t>
  </si>
  <si>
    <t>EP208-211</t>
  </si>
  <si>
    <t>EP30-42</t>
  </si>
  <si>
    <t>EP395-527</t>
  </si>
  <si>
    <t>EP378-500</t>
  </si>
  <si>
    <t>EP328-422</t>
  </si>
  <si>
    <t>EP80-121</t>
  </si>
  <si>
    <t>EP367-485</t>
  </si>
  <si>
    <t>EP193-250</t>
  </si>
  <si>
    <t>EP360-470</t>
  </si>
  <si>
    <t>EP41-48</t>
  </si>
  <si>
    <t>EP186-299</t>
  </si>
  <si>
    <t>EP370-488</t>
  </si>
  <si>
    <t>EP140-236</t>
  </si>
  <si>
    <t>EP69-105</t>
  </si>
  <si>
    <t>EP213-217</t>
  </si>
  <si>
    <t>EP300-437</t>
  </si>
  <si>
    <t>EP380-506</t>
  </si>
  <si>
    <t>EP48-95</t>
  </si>
  <si>
    <t>EP48-96</t>
  </si>
  <si>
    <t>EP48-524</t>
  </si>
  <si>
    <t>EP226-223</t>
  </si>
  <si>
    <t>EP219-214</t>
  </si>
  <si>
    <t>EP316-409</t>
  </si>
  <si>
    <t>EP2-521</t>
  </si>
  <si>
    <t>EP79-277</t>
  </si>
  <si>
    <t>EP225-213</t>
  </si>
  <si>
    <t>EP201-194</t>
  </si>
  <si>
    <t>EP362-530</t>
  </si>
  <si>
    <t>EP214-215</t>
  </si>
  <si>
    <t>EP293-419</t>
  </si>
  <si>
    <t>EP134-405</t>
  </si>
  <si>
    <t>EP341-452</t>
  </si>
  <si>
    <t>EP61-230</t>
  </si>
  <si>
    <t>EP61-340</t>
  </si>
  <si>
    <t>EP13-29</t>
  </si>
  <si>
    <t>EP197-183</t>
  </si>
  <si>
    <t>EP197-518</t>
  </si>
  <si>
    <t>EP14-24</t>
  </si>
  <si>
    <t>EP171-180</t>
  </si>
  <si>
    <t>EP171-274</t>
  </si>
  <si>
    <t>EP338-440</t>
  </si>
  <si>
    <t>EP327-420</t>
  </si>
  <si>
    <t>EP243-267</t>
  </si>
  <si>
    <t>EP34-32</t>
  </si>
  <si>
    <t>EP345-448</t>
  </si>
  <si>
    <t>EP257-317</t>
  </si>
  <si>
    <t>EP92-136</t>
  </si>
  <si>
    <t>EP92-429</t>
  </si>
  <si>
    <t>EP87-278</t>
  </si>
  <si>
    <t>EP187-326</t>
  </si>
  <si>
    <t>EP287-364</t>
  </si>
  <si>
    <t>EP147-64</t>
  </si>
  <si>
    <t>EP65-373</t>
  </si>
  <si>
    <t>EP78-144</t>
  </si>
  <si>
    <t>EP86-94</t>
  </si>
  <si>
    <t>EP43-279</t>
  </si>
  <si>
    <t>EP191-237</t>
  </si>
  <si>
    <t>EP21-40</t>
  </si>
  <si>
    <t>EP9-298</t>
  </si>
  <si>
    <t>EP152-288</t>
  </si>
  <si>
    <t>EP315-408</t>
  </si>
  <si>
    <t>EP258-315</t>
  </si>
  <si>
    <t>EP164-196</t>
  </si>
  <si>
    <t>EP124-81</t>
  </si>
  <si>
    <t>EP162-158</t>
  </si>
  <si>
    <t>EP400-533</t>
  </si>
  <si>
    <t>EP222-255</t>
  </si>
  <si>
    <t>EP222-517</t>
  </si>
  <si>
    <t>EP101-110</t>
  </si>
  <si>
    <t>EP217-206</t>
  </si>
  <si>
    <t>EP102-55</t>
  </si>
  <si>
    <t>EP279-504</t>
  </si>
  <si>
    <t>EP143-240</t>
  </si>
  <si>
    <t>EP288-365</t>
  </si>
  <si>
    <t>EP396-528</t>
  </si>
  <si>
    <t>EP137-396</t>
  </si>
  <si>
    <t>EP15-26</t>
  </si>
  <si>
    <t>EP114-503</t>
  </si>
  <si>
    <t>EP231-205</t>
  </si>
  <si>
    <t>EP231-482</t>
  </si>
  <si>
    <t>EP363-480</t>
  </si>
  <si>
    <t>EP308-394</t>
  </si>
  <si>
    <t>EP308-415</t>
  </si>
  <si>
    <t>EP185-160</t>
  </si>
  <si>
    <t>EP185-460</t>
  </si>
  <si>
    <t>EP318-411</t>
  </si>
  <si>
    <t>EP384-513</t>
  </si>
  <si>
    <t>EP145-75</t>
  </si>
  <si>
    <t>EP112-245</t>
  </si>
  <si>
    <t>EP128-404</t>
  </si>
  <si>
    <t>EP63-111</t>
  </si>
  <si>
    <t>EP50-118</t>
  </si>
  <si>
    <t>EP107-66</t>
  </si>
  <si>
    <t>EP107-290</t>
  </si>
  <si>
    <t>EP246-270</t>
  </si>
  <si>
    <t>EP170-162</t>
  </si>
  <si>
    <t>EP178-204</t>
  </si>
  <si>
    <t>EP54-153</t>
  </si>
  <si>
    <t>EP347-451</t>
  </si>
  <si>
    <t>EP75-149</t>
  </si>
  <si>
    <t>EP75-445</t>
  </si>
  <si>
    <t>EP372-490</t>
  </si>
  <si>
    <t>EP379-501</t>
  </si>
  <si>
    <t>EP129-49</t>
  </si>
  <si>
    <t>EP77-114</t>
  </si>
  <si>
    <t>EP154-91</t>
  </si>
  <si>
    <t>EP53-134</t>
  </si>
  <si>
    <t>EP377-499</t>
  </si>
  <si>
    <t>EP199-234</t>
  </si>
  <si>
    <t>EP141-51</t>
  </si>
  <si>
    <t>EP312-401</t>
  </si>
  <si>
    <t>EP312-425</t>
  </si>
  <si>
    <t>EP221-207</t>
  </si>
  <si>
    <t>EP72-280</t>
  </si>
  <si>
    <t>EP72-498</t>
  </si>
  <si>
    <t>EP57-102</t>
  </si>
  <si>
    <t>EP57-281</t>
  </si>
  <si>
    <t>EP26-399</t>
  </si>
  <si>
    <t>EP390-523</t>
  </si>
  <si>
    <t>EP252-310</t>
  </si>
  <si>
    <t>EP60-135</t>
  </si>
  <si>
    <t>EP190-188</t>
  </si>
  <si>
    <t>EP64-93</t>
  </si>
  <si>
    <t>EP350-455</t>
  </si>
  <si>
    <t>EP153-68</t>
  </si>
  <si>
    <t>EP146-291</t>
  </si>
  <si>
    <t>EP76-227</t>
  </si>
  <si>
    <t>EP174-511</t>
  </si>
  <si>
    <t>EP356-520</t>
  </si>
  <si>
    <t>EP113-74</t>
  </si>
  <si>
    <t>EP286-363</t>
  </si>
  <si>
    <t>EP270-336</t>
  </si>
  <si>
    <t>EP277-350</t>
  </si>
  <si>
    <t>EP289-366</t>
  </si>
  <si>
    <t>EP89-505</t>
  </si>
  <si>
    <t>EP354-459</t>
  </si>
  <si>
    <t>EP46-98</t>
  </si>
  <si>
    <t>EP46-99</t>
  </si>
  <si>
    <t>EP305-390</t>
  </si>
  <si>
    <t>EP148-502</t>
  </si>
  <si>
    <t>EP28-23</t>
  </si>
  <si>
    <t>EP28-381</t>
  </si>
  <si>
    <t>EP269-335</t>
  </si>
  <si>
    <t>EP176-168</t>
  </si>
  <si>
    <t>EP359-469</t>
  </si>
  <si>
    <t>EP179-426</t>
  </si>
  <si>
    <t>EP159-301</t>
  </si>
  <si>
    <t>EP407-544</t>
  </si>
  <si>
    <t>EP1-7</t>
  </si>
  <si>
    <t>EP52-226</t>
  </si>
  <si>
    <t>EP58-120</t>
  </si>
  <si>
    <t>EP402-543</t>
  </si>
  <si>
    <t>EP402-546</t>
  </si>
  <si>
    <t>EP39-25</t>
  </si>
  <si>
    <t>EP27-20</t>
  </si>
  <si>
    <t>EP268-334</t>
  </si>
  <si>
    <t>EP23-47</t>
  </si>
  <si>
    <t>EP320-413</t>
  </si>
  <si>
    <t>EP320-516</t>
  </si>
  <si>
    <t>EP320-540</t>
  </si>
  <si>
    <t>EP83-97</t>
  </si>
  <si>
    <t>EP55-109</t>
  </si>
  <si>
    <t>EP55-338</t>
  </si>
  <si>
    <t>EP344-447</t>
  </si>
  <si>
    <t>EP282-359</t>
  </si>
  <si>
    <t>EP358-468</t>
  </si>
  <si>
    <t>EP253-311</t>
  </si>
  <si>
    <t>EP22-297</t>
  </si>
  <si>
    <t>EP398-529</t>
  </si>
  <si>
    <t>EP10-33</t>
  </si>
  <si>
    <t>EP371-489</t>
  </si>
  <si>
    <t>EP125-78</t>
  </si>
  <si>
    <t>EP126-348</t>
  </si>
  <si>
    <t>EP132-76</t>
  </si>
  <si>
    <t>EP278-427</t>
  </si>
  <si>
    <t>EP115-402</t>
  </si>
  <si>
    <t>EP150-72</t>
  </si>
  <si>
    <t>EP166-509</t>
  </si>
  <si>
    <t>EP166-514</t>
  </si>
  <si>
    <t>EP227-212</t>
  </si>
  <si>
    <t>EP342-472</t>
  </si>
  <si>
    <t>EP342-475</t>
  </si>
  <si>
    <t>EP405-541</t>
  </si>
  <si>
    <t>EP399-532</t>
  </si>
  <si>
    <t>EP211-478</t>
  </si>
  <si>
    <t>EP70-143</t>
  </si>
  <si>
    <t>EP31-14</t>
  </si>
  <si>
    <t>EP202-178</t>
  </si>
  <si>
    <t>EP182-177</t>
  </si>
  <si>
    <t>EP292-372</t>
  </si>
  <si>
    <t>EP343-446</t>
  </si>
  <si>
    <t>EP242-493</t>
  </si>
  <si>
    <t>EP242-531</t>
  </si>
  <si>
    <t>EP348-454</t>
  </si>
  <si>
    <t>EP32-19</t>
  </si>
  <si>
    <t>EP255-313</t>
  </si>
  <si>
    <t>EP204-443</t>
  </si>
  <si>
    <t>EP25-45</t>
  </si>
  <si>
    <t>EP51-122</t>
  </si>
  <si>
    <t>EP336-435</t>
  </si>
  <si>
    <t>EP200-302</t>
  </si>
  <si>
    <t>EP394-537</t>
  </si>
  <si>
    <t>EP103-441</t>
  </si>
  <si>
    <t>EP373-491</t>
  </si>
  <si>
    <t>EP364-481</t>
  </si>
  <si>
    <t>EP365-483</t>
  </si>
  <si>
    <t>EP339-444</t>
  </si>
  <si>
    <t>EP97-9</t>
  </si>
  <si>
    <t>EP116-88</t>
  </si>
  <si>
    <t>EP104-294</t>
  </si>
  <si>
    <t>EP66-132</t>
  </si>
  <si>
    <t>EP35-44</t>
  </si>
  <si>
    <t>EP165-406</t>
  </si>
  <si>
    <t>EP406-547</t>
  </si>
  <si>
    <t>EP283-497</t>
  </si>
  <si>
    <t>EP49-141</t>
  </si>
  <si>
    <t>EP195-171</t>
  </si>
  <si>
    <t>EP195-329</t>
  </si>
  <si>
    <t>EP56-231</t>
  </si>
  <si>
    <t>EP223-219</t>
  </si>
  <si>
    <t>EP332-526</t>
  </si>
  <si>
    <t>EP220-218</t>
  </si>
  <si>
    <t>EP168-201</t>
  </si>
  <si>
    <t>EP168-304</t>
  </si>
  <si>
    <t>EP194-167</t>
  </si>
  <si>
    <t>EP144-244</t>
  </si>
  <si>
    <t>EP11-17</t>
  </si>
  <si>
    <t>EP275-347</t>
  </si>
  <si>
    <t>EP275-438</t>
  </si>
  <si>
    <t>EP62-479</t>
  </si>
  <si>
    <t>EP303-387</t>
  </si>
  <si>
    <t>EP119-83</t>
  </si>
  <si>
    <t>EP24-508</t>
  </si>
  <si>
    <t>EP404-538</t>
  </si>
  <si>
    <t>EP85-101</t>
  </si>
  <si>
    <t>EP155-182</t>
  </si>
  <si>
    <t>EP111-442</t>
  </si>
  <si>
    <t>EP82-146</t>
  </si>
  <si>
    <t>EP100-138</t>
  </si>
  <si>
    <t>EP3-2</t>
  </si>
  <si>
    <t>EP3-3</t>
  </si>
  <si>
    <t>EP3-464</t>
  </si>
  <si>
    <t>EP374-492</t>
  </si>
  <si>
    <t>EP228-209</t>
  </si>
  <si>
    <t>EP40-5</t>
  </si>
  <si>
    <t>EP110-295</t>
  </si>
  <si>
    <t>EP12-36</t>
  </si>
  <si>
    <t>EP17-41</t>
  </si>
  <si>
    <t>EP229-238</t>
  </si>
  <si>
    <t>EP29-296</t>
  </si>
  <si>
    <t>EP183-169</t>
  </si>
  <si>
    <t>EP68-150</t>
  </si>
  <si>
    <t>EP335-431</t>
  </si>
  <si>
    <t>EP4-395</t>
  </si>
  <si>
    <t>EP5-30</t>
  </si>
  <si>
    <t>EP45-287</t>
  </si>
  <si>
    <t>EP45-507</t>
  </si>
  <si>
    <t>EP254-312</t>
  </si>
  <si>
    <t>EP37-28</t>
  </si>
  <si>
    <t>EP33-37</t>
  </si>
  <si>
    <t>EP105-90</t>
  </si>
  <si>
    <t>EP131-242</t>
  </si>
  <si>
    <t>EP106-233</t>
  </si>
  <si>
    <t>EP73-119</t>
  </si>
  <si>
    <t>EP73-428</t>
  </si>
  <si>
    <t>EP189-496</t>
  </si>
  <si>
    <t>EP388-522</t>
  </si>
  <si>
    <t>EP127-403</t>
  </si>
  <si>
    <t>EP138-8</t>
  </si>
  <si>
    <t>EP175-164</t>
  </si>
  <si>
    <t>EP180-176</t>
  </si>
  <si>
    <t>EP122-235</t>
  </si>
  <si>
    <t>EP218-254</t>
  </si>
  <si>
    <t>EP84-106</t>
  </si>
  <si>
    <t>EP149-84</t>
  </si>
  <si>
    <t>EP47-117</t>
  </si>
  <si>
    <t/>
  </si>
  <si>
    <t xml:space="preserve">HLTA Grade F [12-17] </t>
  </si>
  <si>
    <t xml:space="preserve">Breakfast Club Assistant Grade C [3-4] </t>
  </si>
  <si>
    <t xml:space="preserve">Teacher (Upper Scale) </t>
  </si>
  <si>
    <t xml:space="preserve">Midday Assistant Grade C [3-4] (No Divisor) </t>
  </si>
  <si>
    <t xml:space="preserve">SENTA (5-6) </t>
  </si>
  <si>
    <t xml:space="preserve">Afterschool Club Coordinator Grade D [5-6] </t>
  </si>
  <si>
    <t xml:space="preserve">SALT - RP SENTA </t>
  </si>
  <si>
    <t xml:space="preserve">Finance Officer Grade F [12-17] (No Divisor) </t>
  </si>
  <si>
    <t xml:space="preserve">Annual Review Officer Grade F [12-17] </t>
  </si>
  <si>
    <t xml:space="preserve">Teacher (Main Scale) </t>
  </si>
  <si>
    <t xml:space="preserve">Trust Attendance And Welfare Officer Grade F [12-17] </t>
  </si>
  <si>
    <t xml:space="preserve">Cleaner </t>
  </si>
  <si>
    <t xml:space="preserve">Teaching Assistant Grade D [5-6] </t>
  </si>
  <si>
    <t xml:space="preserve">SCITT Administration Manager Grade G [18-23] </t>
  </si>
  <si>
    <t xml:space="preserve">IT Manager Grade G [18-23] </t>
  </si>
  <si>
    <t xml:space="preserve">Lead Cleaner </t>
  </si>
  <si>
    <t xml:space="preserve">Afterschool Club Assistant Grade C [3-4] </t>
  </si>
  <si>
    <t xml:space="preserve">Caretaker Grade F [12-17] </t>
  </si>
  <si>
    <t xml:space="preserve">Chief Executive Officer [43] </t>
  </si>
  <si>
    <t xml:space="preserve">Head of Inclusion and SEND [8-12] </t>
  </si>
  <si>
    <t xml:space="preserve">HR &amp; Payroll Manager Grade L [40-43] </t>
  </si>
  <si>
    <t xml:space="preserve">Speech and Language Assistant - Grade F [12-17] </t>
  </si>
  <si>
    <t>Teaching Assistant Grade D [5-6]  - 2</t>
  </si>
  <si>
    <t xml:space="preserve">Speech and Language Therapist Grade G - J [18 - 35] </t>
  </si>
  <si>
    <t xml:space="preserve">Pastoral Care Worker Grade F [12-17] </t>
  </si>
  <si>
    <t xml:space="preserve">Medical Admin Assistant Grade D [5-6] </t>
  </si>
  <si>
    <t xml:space="preserve">HR &amp; Payroll Assistant Grade F [12-17] (No Divisor) </t>
  </si>
  <si>
    <t xml:space="preserve">Estates Manager Grade I [28-31] </t>
  </si>
  <si>
    <t>HLTA Grade F [12-17]  - 2</t>
  </si>
  <si>
    <t xml:space="preserve">Administration Manager Grade G [18-23] (No Divisor) </t>
  </si>
  <si>
    <t xml:space="preserve">ELSA Grade D [5-6] </t>
  </si>
  <si>
    <t xml:space="preserve">Administration Officer Grade E [7-11] </t>
  </si>
  <si>
    <t xml:space="preserve">Executive Assistant And Clerk To The Governors Grade I [28-31] (No Divisor) </t>
  </si>
  <si>
    <t>Teacher (Main Scale)  - 2</t>
  </si>
  <si>
    <t xml:space="preserve">Business Manager Grade I [28-31] </t>
  </si>
  <si>
    <t xml:space="preserve">Executive Administrator </t>
  </si>
  <si>
    <t xml:space="preserve">Headteacher [12-18] </t>
  </si>
  <si>
    <t xml:space="preserve">Home Academy Liaison Officer Grade I [28-31] </t>
  </si>
  <si>
    <t xml:space="preserve">Headteacher [10-16] </t>
  </si>
  <si>
    <t>Teacher (Upper Scale)  - 2</t>
  </si>
  <si>
    <t xml:space="preserve">SCITT Professional Coordinator [1-50] (Soulbury) </t>
  </si>
  <si>
    <t xml:space="preserve">Deputy Headteacher [5-9] </t>
  </si>
  <si>
    <t xml:space="preserve">Deputy Headteacher [6-10] </t>
  </si>
  <si>
    <t xml:space="preserve">Chief Finance Officer Grade N [ 1-4 ] </t>
  </si>
  <si>
    <t>MAIN</t>
  </si>
  <si>
    <t>UPS</t>
  </si>
  <si>
    <t>CLEANER</t>
  </si>
  <si>
    <t>N1 – N4</t>
  </si>
  <si>
    <t>N1</t>
  </si>
  <si>
    <t>EXECUTIVE</t>
  </si>
  <si>
    <t>SOULBURY</t>
  </si>
  <si>
    <t>SUPPORT</t>
  </si>
  <si>
    <t>LEADERSHIP</t>
  </si>
  <si>
    <t>Cas21</t>
  </si>
  <si>
    <t>CASUAL</t>
  </si>
  <si>
    <t xml:space="preserve">Deputy Headteacher [8-12] </t>
  </si>
  <si>
    <t>Deputy Headteacher [6-10]</t>
  </si>
  <si>
    <t xml:space="preserve">Headteacher [14-20] </t>
  </si>
  <si>
    <t>SALT - RP SENTA [7-9]</t>
  </si>
  <si>
    <t>V2 - Wrap Around Care Leader [E 7-11]</t>
  </si>
  <si>
    <t>N4</t>
  </si>
  <si>
    <t>TLRSEN</t>
  </si>
  <si>
    <t xml:space="preserve">LGPS  </t>
  </si>
  <si>
    <t>ALL SCHOOLS</t>
  </si>
  <si>
    <t>TLR2</t>
  </si>
  <si>
    <t>TLR2 - Sport</t>
  </si>
  <si>
    <t xml:space="preserve">Trust Standards and Scrutiny Leader [11-17] </t>
  </si>
  <si>
    <t>Honorarium</t>
  </si>
  <si>
    <t>Recruitment &amp; Retention</t>
  </si>
  <si>
    <t>Recruitment and Retention</t>
  </si>
  <si>
    <t>Temp</t>
  </si>
  <si>
    <t>Column1</t>
  </si>
  <si>
    <t>Owen</t>
  </si>
  <si>
    <t>Freya</t>
  </si>
  <si>
    <t>EP410</t>
  </si>
  <si>
    <t>EP410-549</t>
  </si>
  <si>
    <t>Clare Hourihan</t>
  </si>
  <si>
    <t>Then going on periods of SHPL - Block 1 - 13.04.2026 - 24.05.2026</t>
  </si>
  <si>
    <t>Lauren Forryan</t>
  </si>
  <si>
    <t>Mel Bissagar</t>
  </si>
  <si>
    <t>Samantha Green</t>
  </si>
  <si>
    <t>Then going on periods of SHPL - Block 1 - 23.02.2026 - 29.03.2026 / Block 2 - 13.04.2026 - 24.05.2026 / Block 3 - waiting on return date</t>
  </si>
  <si>
    <t>Fionnuala Ramsden</t>
  </si>
  <si>
    <t>Emily Fleet</t>
  </si>
  <si>
    <t>Chelsi Small</t>
  </si>
  <si>
    <t>Due Date 01.05.2026 - no confirmed leave dates yet</t>
  </si>
  <si>
    <t>Hannah Fowler</t>
  </si>
  <si>
    <t>Rebecca Smith</t>
  </si>
  <si>
    <t>Emma Doyle</t>
  </si>
  <si>
    <t>Chloe Tizzard</t>
  </si>
  <si>
    <t>Laura Morrison</t>
  </si>
  <si>
    <t>Ashlyn Watt</t>
  </si>
  <si>
    <t>Sophie Adams</t>
  </si>
  <si>
    <t>Lucy Phillips</t>
  </si>
  <si>
    <t>Jemma Lee</t>
  </si>
  <si>
    <t>Shared Parental</t>
  </si>
  <si>
    <t>Currenly on SHPL - return to work 16.02.2026</t>
  </si>
  <si>
    <t>SHPL Block 2 - 05.01.2026 - 15.02.206 / Block 3 23/02/2026 - 22/02/2026</t>
  </si>
  <si>
    <t>SHPL Block 2 - 07.01.2026 - 17.02.206 / Block 3 25/02/2026 - 24/02/2026</t>
  </si>
  <si>
    <t>SHPL Block 1 - 04.01.2026 - 14.02.206 / Block 2 22/02/2026 - 27/02/2026</t>
  </si>
  <si>
    <t>SHPL Block 1 - 05.01.2026 - 15.02.206 / Block 3 23/02/2026 - 22/02/2026</t>
  </si>
  <si>
    <t>Yearly Weeks</t>
  </si>
  <si>
    <t xml:space="preserve">Holiday weeks </t>
  </si>
  <si>
    <t>Working Weeks</t>
  </si>
  <si>
    <t>24 days + 8 Bank Holidays</t>
  </si>
  <si>
    <t>32 days</t>
  </si>
  <si>
    <t>28.5 days + 8 Bank Holidays</t>
  </si>
  <si>
    <t>36.5 days</t>
  </si>
  <si>
    <t>31.5 days + 8 Bank Holidays</t>
  </si>
  <si>
    <t>39.5 days</t>
  </si>
  <si>
    <t>PAY WEEKS CALCULATION METHOD</t>
  </si>
  <si>
    <t>52.14 minus full time weeks (e.g. 6.4) = 45.74</t>
  </si>
  <si>
    <t>Working weeks divided by weeks (e.g. 38/45.74)</t>
  </si>
  <si>
    <t>x full time pay weeks + working weeks</t>
  </si>
  <si>
    <t xml:space="preserve">Example term time only </t>
  </si>
  <si>
    <t>52.14 minus full time weeks (e.g. 6.2) = 45.94</t>
  </si>
  <si>
    <r>
      <t>DIVIDED</t>
    </r>
    <r>
      <rPr>
        <sz val="14"/>
        <color indexed="10"/>
        <rFont val="Arial"/>
        <family val="2"/>
      </rPr>
      <t xml:space="preserve"> by (52.14 </t>
    </r>
    <r>
      <rPr>
        <b/>
        <sz val="14"/>
        <color indexed="10"/>
        <rFont val="Arial"/>
        <family val="2"/>
      </rPr>
      <t>LESS</t>
    </r>
    <r>
      <rPr>
        <sz val="14"/>
        <color indexed="10"/>
        <rFont val="Arial"/>
        <family val="2"/>
      </rPr>
      <t xml:space="preserve"> Full Time Total Leave Entitlement Weeks) </t>
    </r>
  </si>
  <si>
    <r>
      <t>MULTIPLIED</t>
    </r>
    <r>
      <rPr>
        <sz val="14"/>
        <color indexed="10"/>
        <rFont val="Arial"/>
        <family val="2"/>
      </rPr>
      <t xml:space="preserve"> by Full Time Total Leave Entitlement weeks</t>
    </r>
  </si>
  <si>
    <r>
      <t xml:space="preserve">EQUALS </t>
    </r>
    <r>
      <rPr>
        <sz val="14"/>
        <color indexed="10"/>
        <rFont val="Arial"/>
        <family val="2"/>
      </rPr>
      <t>Holiday Pay weeks</t>
    </r>
  </si>
  <si>
    <t>Post Title</t>
  </si>
  <si>
    <t>Term Time - NO INSET DAYS</t>
  </si>
  <si>
    <t>Support plus 1 day</t>
  </si>
  <si>
    <t>Support plus 3 days</t>
  </si>
  <si>
    <t>Support plus 5 INSET Days</t>
  </si>
  <si>
    <t>Support + INSET Days + 1 day</t>
  </si>
  <si>
    <t>Support + INSET Days + 2 days</t>
  </si>
  <si>
    <t>Support + INSET Days + 3 days</t>
  </si>
  <si>
    <t>Support + INSET Days + 4 days</t>
  </si>
  <si>
    <t>Support + INSET Days + 1 week</t>
  </si>
  <si>
    <t>Support + INSET Days + 1 week and 1 day</t>
  </si>
  <si>
    <t>Support + INSET Days + 1 week and 3 day</t>
  </si>
  <si>
    <t>Support + INSET Days + 2 weeks</t>
  </si>
  <si>
    <t>Support + INSET Days + 2 weeks + 2 days</t>
  </si>
  <si>
    <t>Support + INSET Days + 3 weeks</t>
  </si>
  <si>
    <t>04/07/1991</t>
  </si>
  <si>
    <t>13/10/1989</t>
  </si>
  <si>
    <t>20/05/1963</t>
  </si>
  <si>
    <t>02/03/2002</t>
  </si>
  <si>
    <t>17/08/1975</t>
  </si>
  <si>
    <t>16/07/1979</t>
  </si>
  <si>
    <t>03/09/1971</t>
  </si>
  <si>
    <t>10/10/1986</t>
  </si>
  <si>
    <t>18/06/1996</t>
  </si>
  <si>
    <t>07/01/1991</t>
  </si>
  <si>
    <t>21/02/1969</t>
  </si>
  <si>
    <t>04/05/1982</t>
  </si>
  <si>
    <t>22/07/1989</t>
  </si>
  <si>
    <t>25/12/2001</t>
  </si>
  <si>
    <t>03/12/2007</t>
  </si>
  <si>
    <t>01/01/1975</t>
  </si>
  <si>
    <t>18/07/2006</t>
  </si>
  <si>
    <t>11/05/1976</t>
  </si>
  <si>
    <t>30/09/1961</t>
  </si>
  <si>
    <t>24/03/1970</t>
  </si>
  <si>
    <t>21/05/1966</t>
  </si>
  <si>
    <t>28/02/2004</t>
  </si>
  <si>
    <t>09/10/1992</t>
  </si>
  <si>
    <t>05/08/1991</t>
  </si>
  <si>
    <t>24/05/1970</t>
  </si>
  <si>
    <t>06/01/2004</t>
  </si>
  <si>
    <t>10/05/1976</t>
  </si>
  <si>
    <t>21/12/1981</t>
  </si>
  <si>
    <t>02/09/1968</t>
  </si>
  <si>
    <t>10/11/1973</t>
  </si>
  <si>
    <t>27/09/1982</t>
  </si>
  <si>
    <t>16/08/1996</t>
  </si>
  <si>
    <t>16/10/1991</t>
  </si>
  <si>
    <t>25/10/1981</t>
  </si>
  <si>
    <t>26/02/1986</t>
  </si>
  <si>
    <t>15/09/1985</t>
  </si>
  <si>
    <t>06/05/1978</t>
  </si>
  <si>
    <t>16/02/2008</t>
  </si>
  <si>
    <t>21/05/1988</t>
  </si>
  <si>
    <t>04/08/1994</t>
  </si>
  <si>
    <t>17/09/1959</t>
  </si>
  <si>
    <t>09/04/1987</t>
  </si>
  <si>
    <t>12/01/1971</t>
  </si>
  <si>
    <t>16/09/1998</t>
  </si>
  <si>
    <t>23/09/1976</t>
  </si>
  <si>
    <t>02/02/2008</t>
  </si>
  <si>
    <t>23/05/2005</t>
  </si>
  <si>
    <t>23/04/1973</t>
  </si>
  <si>
    <t>03/10/1987</t>
  </si>
  <si>
    <t>02/03/1983</t>
  </si>
  <si>
    <t>30/09/2004</t>
  </si>
  <si>
    <t>06/03/1978</t>
  </si>
  <si>
    <t>01/05/1972</t>
  </si>
  <si>
    <t>30/06/2001</t>
  </si>
  <si>
    <t>08/09/1993</t>
  </si>
  <si>
    <t>16/05/1971</t>
  </si>
  <si>
    <t>20/08/1992</t>
  </si>
  <si>
    <t>21/04/1979</t>
  </si>
  <si>
    <t>26/08/1977</t>
  </si>
  <si>
    <t>13/04/1966</t>
  </si>
  <si>
    <t>25/05/1980</t>
  </si>
  <si>
    <t>28/03/1961</t>
  </si>
  <si>
    <t>11/11/1977</t>
  </si>
  <si>
    <t>03/03/1969</t>
  </si>
  <si>
    <t>22/09/1968</t>
  </si>
  <si>
    <t>11/03/1988</t>
  </si>
  <si>
    <t>01/02/1984</t>
  </si>
  <si>
    <t>15/09/1964</t>
  </si>
  <si>
    <t>01/03/1988</t>
  </si>
  <si>
    <t>13/04/2007</t>
  </si>
  <si>
    <t>07/02/1990</t>
  </si>
  <si>
    <t>08/10/1975</t>
  </si>
  <si>
    <t>05/10/1975</t>
  </si>
  <si>
    <t>23/09/1988</t>
  </si>
  <si>
    <t>24/01/1971</t>
  </si>
  <si>
    <t>16/11/1975</t>
  </si>
  <si>
    <t>25/06/1988</t>
  </si>
  <si>
    <t>22/07/2001</t>
  </si>
  <si>
    <t>06/03/1967</t>
  </si>
  <si>
    <t>28/03/1991</t>
  </si>
  <si>
    <t>08/10/1991</t>
  </si>
  <si>
    <t>11/09/1971</t>
  </si>
  <si>
    <t>30/05/1971</t>
  </si>
  <si>
    <t>28/06/1961</t>
  </si>
  <si>
    <t>27/10/1965</t>
  </si>
  <si>
    <t>14/08/1985</t>
  </si>
  <si>
    <t>19/03/1990</t>
  </si>
  <si>
    <t>09/10/1963</t>
  </si>
  <si>
    <t>20/06/1977</t>
  </si>
  <si>
    <t>18/01/1965</t>
  </si>
  <si>
    <t>21/11/1980</t>
  </si>
  <si>
    <t>13/10/1993</t>
  </si>
  <si>
    <t>10/02/1968</t>
  </si>
  <si>
    <t>29/07/1978</t>
  </si>
  <si>
    <t>07/04/1960</t>
  </si>
  <si>
    <t>16/05/1995</t>
  </si>
  <si>
    <t>26/08/1987</t>
  </si>
  <si>
    <t>29/10/1975</t>
  </si>
  <si>
    <t>27/01/1991</t>
  </si>
  <si>
    <t>15/12/2002</t>
  </si>
  <si>
    <t>02/11/1983</t>
  </si>
  <si>
    <t>07/02/1983</t>
  </si>
  <si>
    <t>24/06/1977</t>
  </si>
  <si>
    <t>15/06/1994</t>
  </si>
  <si>
    <t>14/01/1996</t>
  </si>
  <si>
    <t>27/09/1974</t>
  </si>
  <si>
    <t>22/07/1992</t>
  </si>
  <si>
    <t>24/04/1967</t>
  </si>
  <si>
    <t>31/10/1986</t>
  </si>
  <si>
    <t>25/01/1973</t>
  </si>
  <si>
    <t>30/10/1974</t>
  </si>
  <si>
    <t>30/09/1969</t>
  </si>
  <si>
    <t>12/05/1981</t>
  </si>
  <si>
    <t>11/12/1960</t>
  </si>
  <si>
    <t>23/10/1983</t>
  </si>
  <si>
    <t>31/07/1994</t>
  </si>
  <si>
    <t>18/01/1963</t>
  </si>
  <si>
    <t>21/12/1962</t>
  </si>
  <si>
    <t>08/02/1982</t>
  </si>
  <si>
    <t>02/03/1971</t>
  </si>
  <si>
    <t>02/02/1974</t>
  </si>
  <si>
    <t>05/05/1993</t>
  </si>
  <si>
    <t>28/12/1993</t>
  </si>
  <si>
    <t>25/01/1975</t>
  </si>
  <si>
    <t>14/11/1989</t>
  </si>
  <si>
    <t>31/07/1962</t>
  </si>
  <si>
    <t>15/01/1983</t>
  </si>
  <si>
    <t>18/08/1988</t>
  </si>
  <si>
    <t>11/10/2000</t>
  </si>
  <si>
    <t>11/10/1985</t>
  </si>
  <si>
    <t>20/03/2008</t>
  </si>
  <si>
    <t>30/12/1969</t>
  </si>
  <si>
    <t>21/02/1987</t>
  </si>
  <si>
    <t>02/04/1974</t>
  </si>
  <si>
    <t>21/07/1967</t>
  </si>
  <si>
    <t>02/05/1991</t>
  </si>
  <si>
    <t>28/05/1989</t>
  </si>
  <si>
    <t>18/03/1988</t>
  </si>
  <si>
    <t>25/10/1974</t>
  </si>
  <si>
    <t>27/08/1991</t>
  </si>
  <si>
    <t>08/04/1981</t>
  </si>
  <si>
    <t>26/12/1989</t>
  </si>
  <si>
    <t>08/12/1998</t>
  </si>
  <si>
    <t>24/10/1990</t>
  </si>
  <si>
    <t>03/06/2001</t>
  </si>
  <si>
    <t>26/06/1966</t>
  </si>
  <si>
    <t>18/06/1987</t>
  </si>
  <si>
    <t>12/08/2004</t>
  </si>
  <si>
    <t>09/12/1978</t>
  </si>
  <si>
    <t>14/08/1980</t>
  </si>
  <si>
    <t>21/09/1971</t>
  </si>
  <si>
    <t>20/03/1986</t>
  </si>
  <si>
    <t>20/11/1978</t>
  </si>
  <si>
    <t>09/11/1982</t>
  </si>
  <si>
    <t>16/02/1998</t>
  </si>
  <si>
    <t>21/04/1985</t>
  </si>
  <si>
    <t>29/11/1968</t>
  </si>
  <si>
    <t>05/04/2001</t>
  </si>
  <si>
    <t>07/10/1982</t>
  </si>
  <si>
    <t>30/11/2002</t>
  </si>
  <si>
    <t>14/08/1973</t>
  </si>
  <si>
    <t>26/06/1988</t>
  </si>
  <si>
    <t>10/07/1993</t>
  </si>
  <si>
    <t>02/04/1982</t>
  </si>
  <si>
    <t>24/01/1981</t>
  </si>
  <si>
    <t>03/05/1984</t>
  </si>
  <si>
    <t>11/02/1981</t>
  </si>
  <si>
    <t>09/12/1981</t>
  </si>
  <si>
    <t>20/07/1999</t>
  </si>
  <si>
    <t>03/01/1978</t>
  </si>
  <si>
    <t>27/02/1984</t>
  </si>
  <si>
    <t>25/11/2003</t>
  </si>
  <si>
    <t>12/07/1973</t>
  </si>
  <si>
    <t>27/09/1984</t>
  </si>
  <si>
    <t>26/11/1981</t>
  </si>
  <si>
    <t>03/08/1981</t>
  </si>
  <si>
    <t>05/03/1989</t>
  </si>
  <si>
    <t>31/07/2001</t>
  </si>
  <si>
    <t>03/06/1987</t>
  </si>
  <si>
    <t>06/09/1970</t>
  </si>
  <si>
    <t>11/05/1987</t>
  </si>
  <si>
    <t>18/04/1974</t>
  </si>
  <si>
    <t>30/10/2000</t>
  </si>
  <si>
    <t>08/08/1993</t>
  </si>
  <si>
    <t>11/06/1973</t>
  </si>
  <si>
    <t>29/03/1992</t>
  </si>
  <si>
    <t>01/01/1987</t>
  </si>
  <si>
    <t>30/01/1974</t>
  </si>
  <si>
    <t>12/01/1987</t>
  </si>
  <si>
    <t>21/09/1982</t>
  </si>
  <si>
    <t>21/03/1979</t>
  </si>
  <si>
    <t>11/05/1990</t>
  </si>
  <si>
    <t>01/08/1990</t>
  </si>
  <si>
    <t>10/10/1983</t>
  </si>
  <si>
    <t>01/01/1961</t>
  </si>
  <si>
    <t>22/12/1965</t>
  </si>
  <si>
    <t>10/05/1968</t>
  </si>
  <si>
    <t>31/05/1984</t>
  </si>
  <si>
    <t>30/06/1982</t>
  </si>
  <si>
    <t>08/09/1975</t>
  </si>
  <si>
    <t>05/03/1997</t>
  </si>
  <si>
    <t>09/09/1995</t>
  </si>
  <si>
    <t>10/12/1974</t>
  </si>
  <si>
    <t>14/07/1998</t>
  </si>
  <si>
    <t>17/03/1990</t>
  </si>
  <si>
    <t>26/12/1960</t>
  </si>
  <si>
    <t>12/11/1991</t>
  </si>
  <si>
    <t>03/03/1976</t>
  </si>
  <si>
    <t>18/08/1970</t>
  </si>
  <si>
    <t>01/08/1981</t>
  </si>
  <si>
    <t>16/06/1985</t>
  </si>
  <si>
    <t>01/05/1981</t>
  </si>
  <si>
    <t>19/10/1991</t>
  </si>
  <si>
    <t>13/08/1975</t>
  </si>
  <si>
    <t>23/03/1988</t>
  </si>
  <si>
    <t>23/11/1984</t>
  </si>
  <si>
    <t>23/05/1980</t>
  </si>
  <si>
    <t>02/06/1966</t>
  </si>
  <si>
    <t>10/09/1983</t>
  </si>
  <si>
    <t>06/02/1974</t>
  </si>
  <si>
    <t>09/03/1991</t>
  </si>
  <si>
    <t>17/10/1983</t>
  </si>
  <si>
    <t>03/02/1961</t>
  </si>
  <si>
    <t>22/04/1975</t>
  </si>
  <si>
    <t>05/02/1984</t>
  </si>
  <si>
    <t>07/08/1977</t>
  </si>
  <si>
    <t>06/08/1973</t>
  </si>
  <si>
    <t>20/09/1987</t>
  </si>
  <si>
    <t>13/08/1991</t>
  </si>
  <si>
    <t>03/06/1991</t>
  </si>
  <si>
    <t>15/03/1978</t>
  </si>
  <si>
    <t>13/05/1975</t>
  </si>
  <si>
    <t>26/06/1978</t>
  </si>
  <si>
    <t>08/05/1985</t>
  </si>
  <si>
    <t>28/12/1983</t>
  </si>
  <si>
    <t>03/01/1993</t>
  </si>
  <si>
    <t>07/07/1991</t>
  </si>
  <si>
    <t>24/05/1973</t>
  </si>
  <si>
    <t>26/06/1981</t>
  </si>
  <si>
    <t>11/07/1997</t>
  </si>
  <si>
    <t>19/11/1991</t>
  </si>
  <si>
    <t>16/04/1976</t>
  </si>
  <si>
    <t>03/12/1973</t>
  </si>
  <si>
    <t>24/03/1983</t>
  </si>
  <si>
    <t>22/02/1979</t>
  </si>
  <si>
    <t>17/07/1978</t>
  </si>
  <si>
    <t>31/12/1974</t>
  </si>
  <si>
    <t>16/08/1988</t>
  </si>
  <si>
    <t>26/06/1979</t>
  </si>
  <si>
    <t>07/02/1977</t>
  </si>
  <si>
    <t>22/12/1968</t>
  </si>
  <si>
    <t>22/03/1999</t>
  </si>
  <si>
    <t>24/05/1974</t>
  </si>
  <si>
    <t>30/12/1997</t>
  </si>
  <si>
    <t>18/07/1983</t>
  </si>
  <si>
    <t>11/04/1964</t>
  </si>
  <si>
    <t>SALTA</t>
  </si>
  <si>
    <t>SALTEACH</t>
  </si>
  <si>
    <t>SALBCL</t>
  </si>
  <si>
    <t>SALMID</t>
  </si>
  <si>
    <t>SALASC</t>
  </si>
  <si>
    <t>SALADMIN</t>
  </si>
  <si>
    <t>SALCLEAN</t>
  </si>
  <si>
    <t>SALSCITT</t>
  </si>
  <si>
    <t>ASC</t>
  </si>
  <si>
    <t>SALPREMI</t>
  </si>
  <si>
    <t>SALSEN</t>
  </si>
  <si>
    <t>TLRSLCN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</si>
</sst>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mm/yyyy;@"/>
    <numFmt numFmtId="165" formatCode="0.000"/>
    <numFmt numFmtId="166" formatCode="0.0"/>
  </numFmts>
  <fonts count="22">
    <font>
      <sz val="11"/>
      <color theme="1"/>
      <name val="Calibri"/>
      <family val="2"/>
      <scheme val="minor"/>
    </font>
    <font>
      <sz val="8"/>
      <name val="Calibri"/>
      <family val="2"/>
      <scheme val="minor"/>
    </font>
    <font>
      <b/>
      <sz val="11"/>
      <color theme="0"/>
      <name val="Calibri"/>
      <family val="2"/>
      <scheme val="minor"/>
    </font>
    <font>
      <b/>
      <sz val="14"/>
      <color theme="1"/>
      <name val="Calibri"/>
      <family val="2"/>
      <scheme val="minor"/>
    </font>
    <font>
      <sz val="11"/>
      <name val="Calibri"/>
      <family val="2"/>
      <scheme val="minor"/>
    </font>
    <font>
      <sz val="36"/>
      <color theme="1"/>
      <name val="Calibri"/>
      <family val="2"/>
      <scheme val="minor"/>
    </font>
    <font>
      <b/>
      <sz val="11"/>
      <name val="Calibri"/>
      <family val="2"/>
      <scheme val="minor"/>
    </font>
    <font>
      <b/>
      <sz val="11"/>
      <color theme="1"/>
      <name val="Calibri"/>
      <family val="2"/>
      <scheme val="minor"/>
    </font>
    <font>
      <b/>
      <sz val="15.5"/>
      <color rgb="FF251241"/>
      <name val="Kamerik 105 Heavy"/>
    </font>
    <font>
      <b/>
      <sz val="28"/>
      <color rgb="FF251241"/>
      <name val="Kamerik 105 Heavy"/>
    </font>
    <font>
      <sz val="28"/>
      <color rgb="FF251241"/>
      <name val="Kamerik 105"/>
    </font>
    <font>
      <u/>
      <sz val="11"/>
      <color theme="10"/>
      <name val="Calibri"/>
      <family val="2"/>
      <scheme val="minor"/>
    </font>
    <font>
      <b/>
      <sz val="12"/>
      <color theme="0"/>
      <name val="Calibri"/>
      <family val="2"/>
      <scheme val="minor"/>
    </font>
    <font>
      <b/>
      <sz val="16"/>
      <color theme="0"/>
      <name val="Calibri"/>
      <family val="2"/>
      <scheme val="minor"/>
    </font>
    <font>
      <b/>
      <sz val="10"/>
      <color theme="0"/>
      <name val="Calibri"/>
      <family val="2"/>
      <scheme val="minor"/>
    </font>
    <font>
      <b/>
      <sz val="12"/>
      <color theme="1"/>
      <name val="Calibri"/>
      <family val="2"/>
      <scheme val="minor"/>
    </font>
    <font>
      <b/>
      <sz val="10"/>
      <name val="Arial"/>
      <family val="2"/>
    </font>
    <font>
      <sz val="10"/>
      <name val="Arial"/>
      <family val="2"/>
    </font>
    <font>
      <b/>
      <sz val="14"/>
      <color rgb="FFFF0000"/>
      <name val="Arial"/>
      <family val="2"/>
    </font>
    <font>
      <sz val="14"/>
      <color rgb="FFFF0000"/>
      <name val="Arial"/>
      <family val="2"/>
    </font>
    <font>
      <sz val="14"/>
      <color indexed="10"/>
      <name val="Arial"/>
      <family val="2"/>
    </font>
    <font>
      <b/>
      <sz val="14"/>
      <color indexed="10"/>
      <name val="Arial"/>
      <family val="2"/>
    </font>
  </fonts>
  <fills count="12">
    <fill>
      <patternFill patternType="none"/>
    </fill>
    <fill>
      <patternFill patternType="gray125"/>
    </fill>
    <fill>
      <patternFill patternType="solid">
        <fgColor rgb="FFE5E5E5"/>
        <bgColor indexed="64"/>
      </patternFill>
    </fill>
    <fill>
      <patternFill patternType="solid">
        <fgColor theme="1" tint="0.34998626667073579"/>
        <bgColor indexed="64"/>
      </patternFill>
    </fill>
    <fill>
      <patternFill patternType="solid">
        <fgColor rgb="FF2613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E5E5E5"/>
        <bgColor rgb="FF000000"/>
      </patternFill>
    </fill>
    <fill>
      <patternFill patternType="solid">
        <fgColor rgb="FFFFCCFF"/>
        <bgColor indexed="64"/>
      </patternFill>
    </fill>
    <fill>
      <patternFill patternType="solid">
        <fgColor theme="3" tint="0.59999389629810485"/>
        <bgColor indexed="64"/>
      </patternFill>
    </fill>
  </fills>
  <borders count="36">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hair">
        <color theme="0" tint="-0.499984740745262"/>
      </bottom>
      <diagonal/>
    </border>
    <border>
      <left/>
      <right/>
      <top style="hair">
        <color theme="0" tint="-0.499984740745262"/>
      </top>
      <bottom style="hair">
        <color theme="0" tint="-0.499984740745262"/>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hair">
        <color theme="0" tint="-0.499984740745262"/>
      </top>
      <bottom/>
      <diagonal/>
    </border>
    <border>
      <left/>
      <right/>
      <top style="hair">
        <color rgb="FF808080"/>
      </top>
      <bottom style="hair">
        <color rgb="FF808080"/>
      </bottom>
      <diagonal/>
    </border>
    <border>
      <left/>
      <right/>
      <top style="hair">
        <color rgb="FF808080"/>
      </top>
      <bottom/>
      <diagonal/>
    </border>
    <border>
      <left/>
      <right/>
      <top style="thin">
        <color theme="4" tint="0.39997558519241921"/>
      </top>
      <bottom/>
      <diagonal/>
    </border>
    <border>
      <left/>
      <right/>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s>
  <cellStyleXfs count="2">
    <xf numFmtId="0" fontId="0" fillId="0" borderId="0"/>
    <xf numFmtId="0" fontId="11" fillId="0" borderId="0" applyNumberFormat="0" applyFill="0" applyBorder="0" applyAlignment="0" applyProtection="0"/>
  </cellStyleXfs>
  <cellXfs count="119">
    <xf numFmtId="0" fontId="0" fillId="0" borderId="0" xfId="0"/>
    <xf numFmtId="0" fontId="4" fillId="2" borderId="0" xfId="0" applyFont="1" applyFill="1"/>
    <xf numFmtId="0" fontId="5" fillId="0" borderId="0" xfId="0" applyFont="1" applyAlignment="1">
      <alignment vertical="center" textRotation="180"/>
    </xf>
    <xf numFmtId="0" fontId="7" fillId="0" borderId="0" xfId="0" applyFont="1"/>
    <xf numFmtId="0" fontId="8" fillId="0" borderId="0" xfId="0" applyFont="1" applyAlignment="1">
      <alignment horizontal="right" vertical="center"/>
    </xf>
    <xf numFmtId="0" fontId="9" fillId="0" borderId="0" xfId="0" applyFont="1" applyAlignment="1">
      <alignment horizontal="right" vertical="center"/>
    </xf>
    <xf numFmtId="0" fontId="11" fillId="0" borderId="0" xfId="1"/>
    <xf numFmtId="0" fontId="2" fillId="4" borderId="0" xfId="0" applyFont="1" applyFill="1" applyAlignment="1">
      <alignment horizontal="left" vertical="center"/>
    </xf>
    <xf numFmtId="0" fontId="2" fillId="4" borderId="0" xfId="0" applyFont="1" applyFill="1" applyAlignment="1">
      <alignment horizontal="left" vertical="center" wrapText="1"/>
    </xf>
    <xf numFmtId="0" fontId="14" fillId="4" borderId="0" xfId="0" applyFont="1" applyFill="1" applyAlignment="1">
      <alignment horizontal="center" vertical="center"/>
    </xf>
    <xf numFmtId="0" fontId="0" fillId="0" borderId="0" xfId="0" applyAlignment="1">
      <alignment wrapText="1"/>
    </xf>
    <xf numFmtId="0" fontId="4" fillId="2" borderId="6" xfId="0" applyFont="1" applyFill="1" applyBorder="1" applyAlignment="1">
      <alignment horizontal="left"/>
    </xf>
    <xf numFmtId="0" fontId="0" fillId="0" borderId="0" xfId="0" applyAlignment="1">
      <alignment vertical="center"/>
    </xf>
    <xf numFmtId="0" fontId="0" fillId="8" borderId="14" xfId="0" applyFill="1" applyBorder="1" applyAlignment="1">
      <alignment horizontal="left"/>
    </xf>
    <xf numFmtId="0" fontId="7" fillId="0" borderId="12" xfId="0" applyFont="1" applyBorder="1"/>
    <xf numFmtId="0" fontId="0" fillId="8" borderId="16" xfId="0" applyFill="1" applyBorder="1"/>
    <xf numFmtId="0" fontId="0" fillId="0" borderId="12" xfId="0" applyBorder="1"/>
    <xf numFmtId="0" fontId="0" fillId="8" borderId="11" xfId="0" applyFill="1" applyBorder="1"/>
    <xf numFmtId="0" fontId="7" fillId="0" borderId="17" xfId="0" applyFont="1" applyBorder="1"/>
    <xf numFmtId="0" fontId="0" fillId="8" borderId="16" xfId="0" applyFill="1" applyBorder="1" applyAlignment="1">
      <alignment horizontal="left"/>
    </xf>
    <xf numFmtId="0" fontId="0" fillId="8" borderId="0" xfId="0" applyFill="1" applyAlignment="1">
      <alignment horizontal="left"/>
    </xf>
    <xf numFmtId="0" fontId="0" fillId="8" borderId="14" xfId="0" applyFill="1" applyBorder="1"/>
    <xf numFmtId="0" fontId="4" fillId="8" borderId="16" xfId="0" applyFont="1" applyFill="1" applyBorder="1"/>
    <xf numFmtId="0" fontId="0" fillId="8" borderId="11" xfId="0" applyFill="1" applyBorder="1" applyAlignment="1">
      <alignment horizontal="left"/>
    </xf>
    <xf numFmtId="0" fontId="2" fillId="4" borderId="5" xfId="0" applyFont="1" applyFill="1" applyBorder="1" applyAlignment="1">
      <alignment horizontal="left" vertical="center" wrapText="1"/>
    </xf>
    <xf numFmtId="0" fontId="4" fillId="2" borderId="1" xfId="0" applyFont="1" applyFill="1" applyBorder="1"/>
    <xf numFmtId="0" fontId="4" fillId="2" borderId="0" xfId="0" applyFont="1" applyFill="1" applyAlignment="1">
      <alignment horizontal="left"/>
    </xf>
    <xf numFmtId="14" fontId="4" fillId="2" borderId="0" xfId="0" applyNumberFormat="1" applyFont="1" applyFill="1" applyAlignment="1">
      <alignment horizontal="left"/>
    </xf>
    <xf numFmtId="0" fontId="0" fillId="0" borderId="0" xfId="0" applyAlignment="1">
      <alignment horizontal="left"/>
    </xf>
    <xf numFmtId="164" fontId="4" fillId="2" borderId="0" xfId="0" applyNumberFormat="1" applyFont="1" applyFill="1"/>
    <xf numFmtId="164" fontId="4" fillId="2" borderId="1" xfId="0" applyNumberFormat="1" applyFont="1" applyFill="1" applyBorder="1"/>
    <xf numFmtId="164" fontId="4" fillId="2" borderId="0" xfId="0" applyNumberFormat="1" applyFont="1" applyFill="1" applyAlignment="1">
      <alignment horizontal="left"/>
    </xf>
    <xf numFmtId="0" fontId="0" fillId="8" borderId="18" xfId="0" applyFill="1" applyBorder="1"/>
    <xf numFmtId="0" fontId="0" fillId="0" borderId="0" xfId="0" applyAlignment="1">
      <alignment vertical="center" wrapText="1"/>
    </xf>
    <xf numFmtId="0" fontId="13" fillId="4" borderId="0" xfId="0" applyFont="1" applyFill="1" applyAlignment="1">
      <alignment vertical="center"/>
    </xf>
    <xf numFmtId="14" fontId="15" fillId="6" borderId="10" xfId="0" applyNumberFormat="1" applyFont="1" applyFill="1" applyBorder="1"/>
    <xf numFmtId="0" fontId="3" fillId="6" borderId="7" xfId="0" applyFont="1" applyFill="1" applyBorder="1"/>
    <xf numFmtId="0" fontId="2" fillId="4" borderId="0" xfId="0" applyFont="1" applyFill="1" applyAlignment="1">
      <alignment horizontal="center" vertical="center" wrapText="1"/>
    </xf>
    <xf numFmtId="0" fontId="4" fillId="2" borderId="22" xfId="0" applyFont="1" applyFill="1" applyBorder="1" applyAlignment="1">
      <alignment horizontal="left"/>
    </xf>
    <xf numFmtId="2" fontId="0" fillId="0" borderId="0" xfId="0" applyNumberFormat="1"/>
    <xf numFmtId="2" fontId="0" fillId="0" borderId="0" xfId="0" applyNumberFormat="1" applyAlignment="1">
      <alignment horizontal="right"/>
    </xf>
    <xf numFmtId="14" fontId="4" fillId="9" borderId="23" xfId="0" applyNumberFormat="1" applyFont="1" applyFill="1" applyBorder="1" applyAlignment="1">
      <alignment horizontal="left"/>
    </xf>
    <xf numFmtId="14" fontId="4" fillId="9" borderId="24" xfId="0" applyNumberFormat="1" applyFont="1" applyFill="1" applyBorder="1" applyAlignment="1">
      <alignment horizontal="left"/>
    </xf>
    <xf numFmtId="0" fontId="4" fillId="2" borderId="0" xfId="0" applyFont="1" applyFill="1" applyAlignment="1">
      <alignment horizontal="center"/>
    </xf>
    <xf numFmtId="0" fontId="0" fillId="0" borderId="0" xfId="0" applyAlignment="1">
      <alignment horizontal="center"/>
    </xf>
    <xf numFmtId="1" fontId="0" fillId="0" borderId="0" xfId="0" applyNumberFormat="1" applyAlignment="1">
      <alignment horizontal="center"/>
    </xf>
    <xf numFmtId="2" fontId="4" fillId="2" borderId="6" xfId="0" applyNumberFormat="1" applyFont="1" applyFill="1" applyBorder="1" applyAlignment="1">
      <alignment horizontal="center" vertical="center"/>
    </xf>
    <xf numFmtId="2" fontId="4" fillId="2" borderId="22"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xf numFmtId="0" fontId="4" fillId="2" borderId="25" xfId="0" applyFont="1" applyFill="1" applyBorder="1"/>
    <xf numFmtId="164" fontId="4" fillId="2" borderId="25" xfId="0" applyNumberFormat="1" applyFont="1" applyFill="1" applyBorder="1"/>
    <xf numFmtId="14" fontId="4" fillId="2" borderId="23" xfId="0" applyNumberFormat="1" applyFont="1" applyFill="1" applyBorder="1" applyAlignment="1">
      <alignment horizontal="left"/>
    </xf>
    <xf numFmtId="2" fontId="4" fillId="2" borderId="0" xfId="0" applyNumberFormat="1" applyFont="1" applyFill="1" applyAlignment="1">
      <alignment horizontal="center"/>
    </xf>
    <xf numFmtId="2" fontId="4" fillId="2" borderId="0" xfId="0" applyNumberFormat="1" applyFont="1" applyFill="1" applyAlignment="1">
      <alignment horizontal="right"/>
    </xf>
    <xf numFmtId="1" fontId="4" fillId="2" borderId="0" xfId="0" applyNumberFormat="1" applyFont="1" applyFill="1" applyAlignment="1">
      <alignment horizontal="center"/>
    </xf>
    <xf numFmtId="0" fontId="4" fillId="2" borderId="6" xfId="0" applyFont="1" applyFill="1" applyBorder="1" applyAlignment="1">
      <alignment horizontal="right"/>
    </xf>
    <xf numFmtId="0" fontId="4" fillId="2" borderId="1" xfId="0" applyFont="1" applyFill="1" applyBorder="1" applyAlignment="1">
      <alignment horizontal="left"/>
    </xf>
    <xf numFmtId="164" fontId="4" fillId="2" borderId="1" xfId="0" applyNumberFormat="1" applyFont="1" applyFill="1" applyBorder="1" applyAlignment="1">
      <alignment horizontal="left"/>
    </xf>
    <xf numFmtId="0" fontId="4" fillId="2" borderId="25" xfId="0" applyFont="1" applyFill="1" applyBorder="1" applyAlignment="1">
      <alignment horizontal="left"/>
    </xf>
    <xf numFmtId="164" fontId="4" fillId="2" borderId="25" xfId="0" applyNumberFormat="1" applyFont="1" applyFill="1" applyBorder="1" applyAlignment="1">
      <alignment horizontal="left"/>
    </xf>
    <xf numFmtId="0" fontId="4" fillId="0" borderId="1" xfId="0" applyFont="1" applyBorder="1" applyAlignment="1">
      <alignment horizontal="left"/>
    </xf>
    <xf numFmtId="0" fontId="4" fillId="0" borderId="26" xfId="0" applyFont="1" applyBorder="1" applyAlignment="1">
      <alignment horizontal="left"/>
    </xf>
    <xf numFmtId="0" fontId="4" fillId="0" borderId="25" xfId="0" applyFont="1" applyBorder="1" applyAlignment="1">
      <alignment horizontal="left"/>
    </xf>
    <xf numFmtId="0" fontId="0" fillId="10" borderId="0" xfId="0" applyFill="1"/>
    <xf numFmtId="0" fontId="2" fillId="0" borderId="0" xfId="0" applyFont="1" applyAlignment="1">
      <alignment horizontal="left" vertical="center"/>
    </xf>
    <xf numFmtId="0" fontId="16" fillId="0" borderId="27" xfId="0" applyFont="1" applyBorder="1"/>
    <xf numFmtId="0" fontId="16" fillId="0" borderId="28" xfId="0" applyFont="1" applyBorder="1"/>
    <xf numFmtId="0" fontId="16" fillId="0" borderId="29" xfId="0" applyFont="1" applyBorder="1"/>
    <xf numFmtId="0" fontId="17" fillId="0" borderId="30" xfId="0" applyFont="1" applyBorder="1" applyAlignment="1">
      <alignment horizontal="left"/>
    </xf>
    <xf numFmtId="0" fontId="17" fillId="0" borderId="12" xfId="0" applyFont="1" applyBorder="1"/>
    <xf numFmtId="0" fontId="0" fillId="0" borderId="31" xfId="0" applyBorder="1"/>
    <xf numFmtId="0" fontId="17" fillId="0" borderId="32" xfId="0" applyFont="1" applyBorder="1" applyAlignment="1">
      <alignment horizontal="left"/>
    </xf>
    <xf numFmtId="0" fontId="17" fillId="0" borderId="33" xfId="0" applyFont="1" applyBorder="1"/>
    <xf numFmtId="0" fontId="18" fillId="0" borderId="34" xfId="0" applyFont="1" applyBorder="1"/>
    <xf numFmtId="0" fontId="19" fillId="0" borderId="0" xfId="0" applyFont="1"/>
    <xf numFmtId="0" fontId="18" fillId="0" borderId="7" xfId="0" applyFont="1" applyBorder="1"/>
    <xf numFmtId="0" fontId="18" fillId="0" borderId="0" xfId="0" applyFont="1"/>
    <xf numFmtId="166" fontId="0" fillId="0" borderId="0" xfId="0" applyNumberFormat="1"/>
    <xf numFmtId="0" fontId="19" fillId="0" borderId="7" xfId="0" applyFont="1" applyBorder="1"/>
    <xf numFmtId="2" fontId="0" fillId="0" borderId="0" xfId="0" applyNumberFormat="1" applyAlignment="1">
      <alignment horizontal="center"/>
    </xf>
    <xf numFmtId="0" fontId="16" fillId="11" borderId="34" xfId="0" applyFont="1" applyFill="1" applyBorder="1" applyAlignment="1">
      <alignment vertical="justify"/>
    </xf>
    <xf numFmtId="0" fontId="16" fillId="11" borderId="35" xfId="0" applyFont="1" applyFill="1" applyBorder="1" applyAlignment="1">
      <alignment vertical="justify"/>
    </xf>
    <xf numFmtId="0" fontId="17" fillId="0" borderId="12" xfId="0" applyFont="1" applyBorder="1" applyAlignment="1">
      <alignment vertical="center"/>
    </xf>
    <xf numFmtId="0" fontId="17" fillId="0" borderId="12" xfId="0" applyFont="1" applyBorder="1" applyAlignment="1">
      <alignment horizontal="center" vertical="center"/>
    </xf>
    <xf numFmtId="0" fontId="0" fillId="0" borderId="12" xfId="0" applyBorder="1" applyAlignment="1">
      <alignment horizontal="center"/>
    </xf>
    <xf numFmtId="14" fontId="0" fillId="0" borderId="0" xfId="0" applyNumberFormat="1" applyAlignment="1">
      <alignment horizontal="center"/>
    </xf>
    <xf numFmtId="14" fontId="4" fillId="9" borderId="0" xfId="0" applyNumberFormat="1" applyFont="1" applyFill="1" applyAlignment="1">
      <alignment horizontal="left"/>
    </xf>
    <xf numFmtId="0" fontId="2" fillId="4" borderId="0" xfId="0" applyFont="1" applyFill="1" applyAlignment="1">
      <alignment horizontal="center" vertical="center" wrapText="1"/>
    </xf>
    <xf numFmtId="0" fontId="7" fillId="7" borderId="13" xfId="0" applyFont="1" applyFill="1" applyBorder="1" applyAlignment="1">
      <alignment horizontal="center" vertical="center"/>
    </xf>
    <xf numFmtId="0" fontId="7" fillId="7" borderId="15" xfId="0" applyFont="1" applyFill="1" applyBorder="1" applyAlignment="1">
      <alignment horizontal="center" vertical="center"/>
    </xf>
    <xf numFmtId="0" fontId="7" fillId="7" borderId="17" xfId="0" applyFont="1" applyFill="1" applyBorder="1" applyAlignment="1">
      <alignment horizontal="center" vertical="center"/>
    </xf>
    <xf numFmtId="0" fontId="7" fillId="0" borderId="13" xfId="0" applyFont="1" applyBorder="1" applyAlignment="1">
      <alignment horizontal="center" vertical="center"/>
    </xf>
    <xf numFmtId="0" fontId="7" fillId="0" borderId="15" xfId="0" applyFont="1" applyBorder="1" applyAlignment="1">
      <alignment horizontal="center" vertical="center"/>
    </xf>
    <xf numFmtId="0" fontId="7" fillId="0" borderId="17" xfId="0" applyFont="1" applyBorder="1" applyAlignment="1">
      <alignment horizontal="center" vertical="center"/>
    </xf>
    <xf numFmtId="0" fontId="12" fillId="4" borderId="0" xfId="0" applyFont="1" applyFill="1" applyAlignment="1">
      <alignment horizontal="center" vertical="center"/>
    </xf>
    <xf numFmtId="0" fontId="7" fillId="0" borderId="18" xfId="0" applyFont="1" applyBorder="1" applyAlignment="1">
      <alignment horizontal="center" vertical="center"/>
    </xf>
    <xf numFmtId="0" fontId="14" fillId="4" borderId="19" xfId="0" applyFont="1" applyFill="1" applyBorder="1" applyAlignment="1">
      <alignment horizontal="center" vertical="center"/>
    </xf>
    <xf numFmtId="0" fontId="13" fillId="4" borderId="0" xfId="0" applyFont="1" applyFill="1" applyAlignment="1">
      <alignment horizontal="center" vertical="center"/>
    </xf>
    <xf numFmtId="0" fontId="15" fillId="5" borderId="2" xfId="0" applyFont="1" applyFill="1" applyBorder="1" applyAlignment="1">
      <alignment horizontal="center"/>
    </xf>
    <xf numFmtId="0" fontId="15" fillId="5" borderId="4" xfId="0" applyFont="1" applyFill="1" applyBorder="1" applyAlignment="1">
      <alignment horizontal="center"/>
    </xf>
    <xf numFmtId="0" fontId="15" fillId="5" borderId="3" xfId="0" applyFont="1" applyFill="1" applyBorder="1" applyAlignment="1">
      <alignment horizontal="center"/>
    </xf>
    <xf numFmtId="0" fontId="15" fillId="6" borderId="2" xfId="0" applyFont="1" applyFill="1" applyBorder="1" applyAlignment="1">
      <alignment horizontal="center"/>
    </xf>
    <xf numFmtId="0" fontId="15" fillId="6" borderId="4" xfId="0" applyFont="1" applyFill="1" applyBorder="1" applyAlignment="1">
      <alignment horizontal="center"/>
    </xf>
    <xf numFmtId="0" fontId="15" fillId="6" borderId="3" xfId="0" applyFont="1" applyFill="1" applyBorder="1" applyAlignment="1">
      <alignment horizontal="center"/>
    </xf>
    <xf numFmtId="0" fontId="3" fillId="5" borderId="7" xfId="0" applyFont="1" applyFill="1" applyBorder="1" applyAlignment="1">
      <alignment horizontal="center"/>
    </xf>
    <xf numFmtId="0" fontId="3" fillId="5" borderId="0" xfId="0" applyFont="1" applyFill="1" applyAlignment="1">
      <alignment horizontal="center"/>
    </xf>
    <xf numFmtId="0" fontId="3" fillId="6" borderId="2" xfId="0" applyFont="1" applyFill="1" applyBorder="1" applyAlignment="1">
      <alignment horizontal="center"/>
    </xf>
    <xf numFmtId="0" fontId="3" fillId="6" borderId="4" xfId="0" applyFont="1" applyFill="1" applyBorder="1" applyAlignment="1">
      <alignment horizontal="center"/>
    </xf>
    <xf numFmtId="0" fontId="3" fillId="6" borderId="3" xfId="0" applyFont="1" applyFill="1" applyBorder="1" applyAlignment="1">
      <alignment horizontal="center"/>
    </xf>
    <xf numFmtId="0" fontId="5" fillId="3" borderId="0" xfId="0" applyFont="1" applyFill="1" applyAlignment="1">
      <alignment horizontal="center" vertical="center"/>
    </xf>
    <xf numFmtId="14" fontId="15" fillId="6" borderId="8" xfId="0" applyNumberFormat="1" applyFont="1" applyFill="1" applyBorder="1" applyAlignment="1">
      <alignment horizontal="center"/>
    </xf>
    <xf numFmtId="14" fontId="15" fillId="6" borderId="9" xfId="0" applyNumberFormat="1" applyFont="1" applyFill="1" applyBorder="1" applyAlignment="1">
      <alignment horizontal="center"/>
    </xf>
    <xf numFmtId="14" fontId="15" fillId="6" borderId="10" xfId="0" applyNumberFormat="1" applyFont="1" applyFill="1" applyBorder="1" applyAlignment="1">
      <alignment horizontal="center"/>
    </xf>
    <xf numFmtId="0" fontId="3" fillId="5" borderId="2" xfId="0" applyFont="1" applyFill="1" applyBorder="1" applyAlignment="1">
      <alignment horizontal="center"/>
    </xf>
    <xf numFmtId="0" fontId="3" fillId="5" borderId="4" xfId="0" applyFont="1" applyFill="1" applyBorder="1" applyAlignment="1">
      <alignment horizontal="center"/>
    </xf>
    <xf numFmtId="0" fontId="3" fillId="5" borderId="3" xfId="0" applyFont="1" applyFill="1" applyBorder="1" applyAlignment="1">
      <alignment horizontal="center"/>
    </xf>
    <xf numFmtId="14" fontId="15" fillId="6" borderId="20" xfId="0" applyNumberFormat="1" applyFont="1" applyFill="1" applyBorder="1" applyAlignment="1">
      <alignment horizontal="center"/>
    </xf>
    <xf numFmtId="14" fontId="15" fillId="6" borderId="21" xfId="0" applyNumberFormat="1" applyFont="1" applyFill="1" applyBorder="1" applyAlignment="1">
      <alignment horizontal="center"/>
    </xf>
  </cellXfs>
  <cellStyles count="2">
    <cellStyle name="Hyperlink" xfId="1" builtinId="8"/>
    <cellStyle name="Normal" xfId="0" builtinId="0"/>
  </cellStyles>
  <dxfs count="66">
    <dxf>
      <font>
        <b/>
        <i val="0"/>
        <strike val="0"/>
        <condense val="0"/>
        <extend val="0"/>
        <outline val="0"/>
        <shadow val="0"/>
        <u val="none"/>
        <vertAlign val="baseline"/>
        <sz val="11"/>
        <color theme="1"/>
        <name val="Calibri"/>
        <family val="2"/>
        <scheme val="minor"/>
      </font>
    </dxf>
    <dxf>
      <font>
        <color auto="1"/>
      </font>
      <fill>
        <patternFill patternType="none">
          <fgColor theme="4" tint="0.79998168889431442"/>
          <bgColor auto="1"/>
        </patternFill>
      </fill>
      <alignment horizontal="left" textRotation="0" wrapText="0" indent="0" justifyLastLine="0" shrinkToFit="0" readingOrder="0"/>
      <border diagonalUp="0" diagonalDown="0">
        <left/>
        <right/>
        <top style="thin">
          <color theme="4" tint="0.39997558519241921"/>
        </top>
        <bottom style="thin">
          <color theme="4" tint="0.39997558519241921"/>
        </bottom>
      </border>
    </dxf>
    <dxf>
      <font>
        <color auto="1"/>
      </font>
      <numFmt numFmtId="164" formatCode="dd/mm/yyyy;@"/>
      <fill>
        <patternFill patternType="solid">
          <fgColor indexed="64"/>
          <bgColor rgb="FFE5E5E5"/>
        </patternFill>
      </fill>
      <alignment horizontal="left" textRotation="0" wrapText="0" indent="0" justifyLastLine="0" shrinkToFit="0" readingOrder="0"/>
      <border diagonalUp="0" diagonalDown="0">
        <left/>
        <right/>
        <top style="thin">
          <color theme="4" tint="0.39997558519241921"/>
        </top>
        <bottom style="thin">
          <color theme="4" tint="0.39997558519241921"/>
        </bottom>
      </border>
    </dxf>
    <dxf>
      <font>
        <color auto="1"/>
      </font>
      <numFmt numFmtId="164" formatCode="dd/mm/yyyy;@"/>
      <fill>
        <patternFill patternType="solid">
          <fgColor indexed="64"/>
          <bgColor rgb="FFE5E5E5"/>
        </patternFill>
      </fill>
      <alignment horizontal="left" textRotation="0" wrapText="0" indent="0" justifyLastLine="0" shrinkToFit="0" readingOrder="0"/>
      <border diagonalUp="0" diagonalDown="0">
        <left/>
        <right/>
        <top style="thin">
          <color theme="4" tint="0.39997558519241921"/>
        </top>
        <bottom style="thin">
          <color theme="4" tint="0.39997558519241921"/>
        </bottom>
      </border>
    </dxf>
    <dxf>
      <font>
        <color auto="1"/>
      </font>
      <fill>
        <patternFill patternType="solid">
          <fgColor indexed="64"/>
          <bgColor rgb="FFE5E5E5"/>
        </patternFill>
      </fill>
      <alignment horizontal="left" textRotation="0" wrapText="0" indent="0" justifyLastLine="0" shrinkToFit="0" readingOrder="0"/>
      <border diagonalUp="0" diagonalDown="0" outline="0">
        <left/>
        <right/>
        <top style="thin">
          <color theme="4" tint="0.39997558519241921"/>
        </top>
        <bottom style="thin">
          <color theme="4" tint="0.39997558519241921"/>
        </bottom>
      </border>
    </dxf>
    <dxf>
      <font>
        <color auto="1"/>
      </font>
      <fill>
        <patternFill patternType="solid">
          <fgColor indexed="64"/>
          <bgColor rgb="FFE5E5E5"/>
        </patternFill>
      </fill>
      <alignment horizontal="left" textRotation="0" wrapText="0" indent="0" justifyLastLine="0" shrinkToFit="0" readingOrder="0"/>
      <border diagonalUp="0" diagonalDown="0" outline="0">
        <left/>
        <right/>
        <top style="thin">
          <color theme="4" tint="0.39997558519241921"/>
        </top>
        <bottom style="thin">
          <color theme="4" tint="0.39997558519241921"/>
        </bottom>
      </border>
    </dxf>
    <dxf>
      <font>
        <color auto="1"/>
      </font>
      <fill>
        <patternFill patternType="solid">
          <fgColor indexed="64"/>
          <bgColor rgb="FFE5E5E5"/>
        </patternFill>
      </fill>
      <alignment horizontal="left" textRotation="0" wrapText="0" indent="0" justifyLastLine="0" shrinkToFit="0" readingOrder="0"/>
      <border diagonalUp="0" diagonalDown="0" outline="0">
        <left/>
        <right/>
        <top style="thin">
          <color theme="4" tint="0.39997558519241921"/>
        </top>
        <bottom style="thin">
          <color theme="4" tint="0.39997558519241921"/>
        </bottom>
      </border>
    </dxf>
    <dxf>
      <font>
        <color auto="1"/>
      </font>
      <fill>
        <patternFill patternType="solid">
          <fgColor indexed="64"/>
          <bgColor rgb="FFE5E5E5"/>
        </patternFill>
      </fill>
      <alignment horizontal="left" textRotation="0" wrapText="0"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ttom style="thin">
          <color theme="4" tint="0.39997558519241921"/>
        </bottom>
      </border>
    </dxf>
    <dxf>
      <fill>
        <patternFill patternType="none">
          <fgColor theme="4" tint="0.79998168889431442"/>
          <bgColor auto="1"/>
        </patternFill>
      </fill>
      <alignment horizontal="left"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261342"/>
        </patternFill>
      </fill>
      <alignment horizontal="left" vertical="center" textRotation="0" wrapText="1" indent="0" justifyLastLine="0" shrinkToFit="0" readingOrder="0"/>
    </dxf>
    <dxf>
      <font>
        <color auto="1"/>
      </font>
      <fill>
        <patternFill patternType="solid">
          <fgColor indexed="64"/>
          <bgColor rgb="FFE5E5E5"/>
        </patternFill>
      </fill>
      <border diagonalUp="0" diagonalDown="0" outline="0">
        <left/>
        <right/>
        <top style="thin">
          <color theme="4" tint="0.39997558519241921"/>
        </top>
        <bottom style="thin">
          <color theme="4" tint="0.39997558519241921"/>
        </bottom>
      </border>
    </dxf>
    <dxf>
      <font>
        <color auto="1"/>
      </font>
      <numFmt numFmtId="164" formatCode="dd/mm/yyyy;@"/>
      <fill>
        <patternFill patternType="solid">
          <fgColor indexed="64"/>
          <bgColor rgb="FFE5E5E5"/>
        </patternFill>
      </fill>
      <border diagonalUp="0" diagonalDown="0">
        <left/>
        <right/>
        <top style="thin">
          <color theme="4" tint="0.39997558519241921"/>
        </top>
        <bottom style="thin">
          <color theme="4" tint="0.39997558519241921"/>
        </bottom>
      </border>
    </dxf>
    <dxf>
      <font>
        <color auto="1"/>
      </font>
      <numFmt numFmtId="164" formatCode="dd/mm/yyyy;@"/>
      <fill>
        <patternFill patternType="solid">
          <fgColor indexed="64"/>
          <bgColor rgb="FFE5E5E5"/>
        </patternFill>
      </fill>
      <border diagonalUp="0" diagonalDown="0">
        <left/>
        <right/>
        <top style="thin">
          <color theme="4" tint="0.39997558519241921"/>
        </top>
        <bottom style="thin">
          <color theme="4" tint="0.39997558519241921"/>
        </bottom>
      </border>
    </dxf>
    <dxf>
      <font>
        <color auto="1"/>
      </font>
      <fill>
        <patternFill patternType="solid">
          <fgColor indexed="64"/>
          <bgColor rgb="FFE5E5E5"/>
        </patternFill>
      </fill>
      <border diagonalUp="0" diagonalDown="0" outline="0">
        <left/>
        <right/>
        <top style="thin">
          <color theme="4" tint="0.39997558519241921"/>
        </top>
        <bottom style="thin">
          <color theme="4" tint="0.39997558519241921"/>
        </bottom>
      </border>
    </dxf>
    <dxf>
      <font>
        <color auto="1"/>
      </font>
      <fill>
        <patternFill patternType="solid">
          <fgColor indexed="64"/>
          <bgColor rgb="FFE5E5E5"/>
        </patternFill>
      </fill>
      <border diagonalUp="0" diagonalDown="0" outline="0">
        <left/>
        <right/>
        <top style="thin">
          <color theme="4" tint="0.39997558519241921"/>
        </top>
        <bottom style="thin">
          <color theme="4" tint="0.39997558519241921"/>
        </bottom>
      </border>
    </dxf>
    <dxf>
      <border outline="0">
        <top style="thin">
          <color theme="4" tint="0.39997558519241921"/>
        </top>
        <bottom style="thin">
          <color theme="4" tint="0.39997558519241921"/>
        </bottom>
      </border>
    </dxf>
    <dxf>
      <fill>
        <patternFill patternType="none">
          <fgColor theme="4" tint="0.79998168889431442"/>
          <bgColor auto="1"/>
        </patternFill>
      </fill>
    </dxf>
    <dxf>
      <font>
        <b/>
        <i val="0"/>
        <strike val="0"/>
        <condense val="0"/>
        <extend val="0"/>
        <outline val="0"/>
        <shadow val="0"/>
        <u val="none"/>
        <vertAlign val="baseline"/>
        <sz val="11"/>
        <color theme="0"/>
        <name val="Calibri"/>
        <family val="2"/>
        <scheme val="minor"/>
      </font>
      <fill>
        <patternFill patternType="solid">
          <fgColor indexed="64"/>
          <bgColor rgb="FF261342"/>
        </patternFill>
      </fill>
      <alignment horizontal="left" vertical="center" textRotation="0" wrapText="1"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numFmt numFmtId="164" formatCode="dd/mm/yyyy;@"/>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numFmt numFmtId="164" formatCode="dd/mm/yyyy;@"/>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E5E5E5"/>
        </patternFill>
      </fill>
      <alignment horizontal="left" vertical="bottom" textRotation="0" wrapText="0" indent="0" justifyLastLine="0" shrinkToFit="0" readingOrder="0"/>
      <border diagonalUp="0" diagonalDown="0">
        <left/>
        <right/>
        <top style="hair">
          <color theme="0" tint="-0.499984740745262"/>
        </top>
        <bottom style="hair">
          <color theme="0" tint="-0.499984740745262"/>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rgb="FFE5E5E5"/>
        </patternFill>
      </fill>
      <alignment horizontal="left" vertical="bottom" textRotation="0" wrapText="0" indent="0" justifyLastLine="0" shrinkToFit="0" readingOrder="0"/>
      <border diagonalUp="0" diagonalDown="0">
        <left/>
        <right/>
        <top style="hair">
          <color theme="0" tint="-0.499984740745262"/>
        </top>
        <bottom style="hair">
          <color theme="0" tint="-0.499984740745262"/>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rgb="FFE5E5E5"/>
        </patternFill>
      </fill>
      <alignment horizontal="left" vertical="bottom" textRotation="0" wrapText="0" indent="0" justifyLastLine="0" shrinkToFit="0" readingOrder="0"/>
      <border diagonalUp="0" diagonalDown="0">
        <left/>
        <right/>
        <top style="hair">
          <color theme="0" tint="-0.499984740745262"/>
        </top>
        <bottom style="hair">
          <color theme="0" tint="-0.499984740745262"/>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rgb="FFE5E5E5"/>
        </patternFill>
      </fill>
      <alignment horizontal="left" vertical="bottom" textRotation="0" wrapText="0" indent="0" justifyLastLine="0" shrinkToFit="0" readingOrder="0"/>
      <border diagonalUp="0" diagonalDown="0">
        <left/>
        <right/>
        <top style="hair">
          <color theme="0" tint="-0.499984740745262"/>
        </top>
        <bottom style="hair">
          <color theme="0" tint="-0.499984740745262"/>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rgb="FFE5E5E5"/>
        </patternFill>
      </fill>
      <alignment horizontal="left" vertical="bottom" textRotation="0" wrapText="0" indent="0" justifyLastLine="0" shrinkToFit="0" readingOrder="0"/>
      <border diagonalUp="0" diagonalDown="0">
        <left/>
        <right/>
        <top style="hair">
          <color theme="0" tint="-0.499984740745262"/>
        </top>
        <bottom style="hair">
          <color theme="0" tint="-0.499984740745262"/>
        </bottom>
        <vertical/>
        <horizontal/>
      </border>
    </dxf>
    <dxf>
      <font>
        <color auto="1"/>
      </font>
      <fill>
        <patternFill patternType="solid">
          <fgColor indexed="64"/>
          <bgColor rgb="FFE5E5E5"/>
        </patternFill>
      </fill>
      <alignment horizontal="left" vertical="bottom" textRotation="0" wrapText="0" indent="0" justifyLastLine="0" shrinkToFit="0" readingOrder="0"/>
    </dxf>
    <dxf>
      <font>
        <color auto="1"/>
      </font>
      <numFmt numFmtId="164" formatCode="dd/mm/yyyy;@"/>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rgb="FFE5E5E5"/>
        </patternFill>
      </fill>
      <alignment horizontal="center" vertical="center" textRotation="0" wrapText="0" indent="0" justifyLastLine="0" shrinkToFit="0" readingOrder="0"/>
      <border diagonalUp="0" diagonalDown="0" outline="0">
        <left/>
        <right/>
        <top style="hair">
          <color theme="0" tint="-0.499984740745262"/>
        </top>
        <bottom style="hair">
          <color theme="0" tint="-0.499984740745262"/>
        </bottom>
      </border>
    </dxf>
    <dxf>
      <font>
        <b val="0"/>
        <i val="0"/>
        <strike val="0"/>
        <condense val="0"/>
        <extend val="0"/>
        <outline val="0"/>
        <shadow val="0"/>
        <u val="none"/>
        <vertAlign val="baseline"/>
        <sz val="11"/>
        <color auto="1"/>
        <name val="Calibri"/>
        <family val="2"/>
        <scheme val="minor"/>
      </font>
      <fill>
        <patternFill patternType="solid">
          <fgColor indexed="64"/>
          <bgColor rgb="FFE5E5E5"/>
        </patternFill>
      </fill>
      <alignment horizontal="left" vertical="bottom" textRotation="0" wrapText="0" indent="0" justifyLastLine="0" shrinkToFit="0" readingOrder="0"/>
      <border diagonalUp="0" diagonalDown="0" outline="0">
        <left/>
        <right/>
        <top style="hair">
          <color theme="0" tint="-0.499984740745262"/>
        </top>
        <bottom style="hair">
          <color theme="0" tint="-0.499984740745262"/>
        </bottom>
      </border>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center"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numFmt numFmtId="0" formatCode="General"/>
      <fill>
        <patternFill patternType="solid">
          <fgColor indexed="64"/>
          <bgColor rgb="FFE5E5E5"/>
        </patternFill>
      </fill>
      <alignment horizontal="left" vertical="bottom" textRotation="0" wrapText="0" indent="0" justifyLastLine="0" shrinkToFit="0" readingOrder="0"/>
    </dxf>
    <dxf>
      <font>
        <color auto="1"/>
      </font>
      <numFmt numFmtId="0" formatCode="General"/>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color auto="1"/>
      </font>
      <fill>
        <patternFill patternType="solid">
          <fgColor indexed="64"/>
          <bgColor rgb="FFE5E5E5"/>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261342"/>
        </patternFill>
      </fill>
      <alignment horizontal="left" vertical="center" textRotation="0" wrapText="1" indent="0" justifyLastLine="0" shrinkToFit="0" readingOrder="0"/>
    </dxf>
    <dxf>
      <font>
        <b/>
        <i val="0"/>
        <color theme="0"/>
      </font>
      <fill>
        <patternFill>
          <bgColor rgb="FF6A0F8E"/>
        </patternFill>
      </fill>
    </dxf>
    <dxf>
      <fill>
        <patternFill>
          <bgColor rgb="FFA093DB"/>
        </patternFill>
      </fill>
      <border>
        <horizontal style="hair">
          <color theme="0" tint="-0.499984740745262"/>
        </horizontal>
      </border>
    </dxf>
  </dxfs>
  <tableStyles count="1" defaultTableStyle="TableStyleMedium2" defaultPivotStyle="PivotStyleLight16">
    <tableStyle name="IMP Colours" pivot="0" count="2" xr9:uid="{23CACF46-E7AA-4C0D-87D9-398483ACE6CC}">
      <tableStyleElement type="wholeTable" dxfId="65"/>
      <tableStyleElement type="headerRow" dxfId="64"/>
    </tableStyle>
  </tableStyles>
  <colors>
    <mruColors>
      <color rgb="FFCC99FF"/>
      <color rgb="FF9999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4</xdr:col>
      <xdr:colOff>590549</xdr:colOff>
      <xdr:row>1</xdr:row>
      <xdr:rowOff>47624</xdr:rowOff>
    </xdr:from>
    <xdr:to>
      <xdr:col>7</xdr:col>
      <xdr:colOff>228600</xdr:colOff>
      <xdr:row>6</xdr:row>
      <xdr:rowOff>180975</xdr:rowOff>
    </xdr:to>
    <xdr:grpSp>
      <xdr:nvGrpSpPr>
        <xdr:cNvPr id="8209" name="docshapegroup1">
          <a:extLst>
            <a:ext uri="{FF2B5EF4-FFF2-40B4-BE49-F238E27FC236}">
              <a16:creationId xmlns:a16="http://schemas.microsoft.com/office/drawing/2014/main" id="{2309B84E-0A5E-2156-D1AF-B1BC00B529D1}"/>
            </a:ext>
          </a:extLst>
        </xdr:cNvPr>
        <xdr:cNvGrpSpPr>
          <a:grpSpLocks/>
        </xdr:cNvGrpSpPr>
      </xdr:nvGrpSpPr>
      <xdr:grpSpPr bwMode="auto">
        <a:xfrm>
          <a:off x="4147184" y="230504"/>
          <a:ext cx="1463041" cy="1367791"/>
          <a:chOff x="7256" y="-180"/>
          <a:chExt cx="932" cy="932"/>
        </a:xfrm>
      </xdr:grpSpPr>
      <xdr:sp macro="" textlink="">
        <xdr:nvSpPr>
          <xdr:cNvPr id="8210" name="docshape2">
            <a:extLst>
              <a:ext uri="{FF2B5EF4-FFF2-40B4-BE49-F238E27FC236}">
                <a16:creationId xmlns:a16="http://schemas.microsoft.com/office/drawing/2014/main" id="{148D2538-42AA-8E4E-4D75-6CF6ECB2CEAB}"/>
              </a:ext>
            </a:extLst>
          </xdr:cNvPr>
          <xdr:cNvSpPr>
            <a:spLocks/>
          </xdr:cNvSpPr>
        </xdr:nvSpPr>
        <xdr:spPr bwMode="auto">
          <a:xfrm>
            <a:off x="7341" y="-54"/>
            <a:ext cx="289" cy="805"/>
          </a:xfrm>
          <a:custGeom>
            <a:avLst/>
            <a:gdLst>
              <a:gd name="T0" fmla="+- 0 7420 7341"/>
              <a:gd name="T1" fmla="*/ T0 w 289"/>
              <a:gd name="T2" fmla="+- 0 -54 -54"/>
              <a:gd name="T3" fmla="*/ -54 h 805"/>
              <a:gd name="T4" fmla="+- 0 7341 7341"/>
              <a:gd name="T5" fmla="*/ T4 w 289"/>
              <a:gd name="T6" fmla="+- 0 -33 -54"/>
              <a:gd name="T7" fmla="*/ -33 h 805"/>
              <a:gd name="T8" fmla="+- 0 7551 7341"/>
              <a:gd name="T9" fmla="*/ T8 w 289"/>
              <a:gd name="T10" fmla="+- 0 751 -54"/>
              <a:gd name="T11" fmla="*/ 751 h 805"/>
              <a:gd name="T12" fmla="+- 0 7630 7341"/>
              <a:gd name="T13" fmla="*/ T12 w 289"/>
              <a:gd name="T14" fmla="+- 0 730 -54"/>
              <a:gd name="T15" fmla="*/ 730 h 805"/>
              <a:gd name="T16" fmla="+- 0 7420 7341"/>
              <a:gd name="T17" fmla="*/ T16 w 289"/>
              <a:gd name="T18" fmla="+- 0 -54 -54"/>
              <a:gd name="T19" fmla="*/ -54 h 805"/>
            </a:gdLst>
            <a:ahLst/>
            <a:cxnLst>
              <a:cxn ang="0">
                <a:pos x="T1" y="T3"/>
              </a:cxn>
              <a:cxn ang="0">
                <a:pos x="T5" y="T7"/>
              </a:cxn>
              <a:cxn ang="0">
                <a:pos x="T9" y="T11"/>
              </a:cxn>
              <a:cxn ang="0">
                <a:pos x="T13" y="T15"/>
              </a:cxn>
              <a:cxn ang="0">
                <a:pos x="T17" y="T19"/>
              </a:cxn>
            </a:cxnLst>
            <a:rect l="0" t="0" r="r" b="b"/>
            <a:pathLst>
              <a:path w="289" h="805">
                <a:moveTo>
                  <a:pt x="79" y="0"/>
                </a:moveTo>
                <a:lnTo>
                  <a:pt x="0" y="21"/>
                </a:lnTo>
                <a:lnTo>
                  <a:pt x="210" y="805"/>
                </a:lnTo>
                <a:lnTo>
                  <a:pt x="289" y="784"/>
                </a:lnTo>
                <a:lnTo>
                  <a:pt x="79" y="0"/>
                </a:lnTo>
                <a:close/>
              </a:path>
            </a:pathLst>
          </a:custGeom>
          <a:solidFill>
            <a:srgbClr val="6B62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211" name="docshape3">
            <a:extLst>
              <a:ext uri="{FF2B5EF4-FFF2-40B4-BE49-F238E27FC236}">
                <a16:creationId xmlns:a16="http://schemas.microsoft.com/office/drawing/2014/main" id="{1D19DBAE-59E5-3421-C4FD-67AC99455FE4}"/>
              </a:ext>
            </a:extLst>
          </xdr:cNvPr>
          <xdr:cNvSpPr>
            <a:spLocks/>
          </xdr:cNvSpPr>
        </xdr:nvSpPr>
        <xdr:spPr bwMode="auto">
          <a:xfrm>
            <a:off x="7498" y="-96"/>
            <a:ext cx="289" cy="806"/>
          </a:xfrm>
          <a:custGeom>
            <a:avLst/>
            <a:gdLst>
              <a:gd name="T0" fmla="+- 0 7577 7498"/>
              <a:gd name="T1" fmla="*/ T0 w 289"/>
              <a:gd name="T2" fmla="+- 0 -96 -96"/>
              <a:gd name="T3" fmla="*/ -96 h 806"/>
              <a:gd name="T4" fmla="+- 0 7498 7498"/>
              <a:gd name="T5" fmla="*/ T4 w 289"/>
              <a:gd name="T6" fmla="+- 0 -75 -96"/>
              <a:gd name="T7" fmla="*/ -75 h 806"/>
              <a:gd name="T8" fmla="+- 0 7708 7498"/>
              <a:gd name="T9" fmla="*/ T8 w 289"/>
              <a:gd name="T10" fmla="+- 0 709 -96"/>
              <a:gd name="T11" fmla="*/ 709 h 806"/>
              <a:gd name="T12" fmla="+- 0 7787 7498"/>
              <a:gd name="T13" fmla="*/ T12 w 289"/>
              <a:gd name="T14" fmla="+- 0 688 -96"/>
              <a:gd name="T15" fmla="*/ 688 h 806"/>
              <a:gd name="T16" fmla="+- 0 7577 7498"/>
              <a:gd name="T17" fmla="*/ T16 w 289"/>
              <a:gd name="T18" fmla="+- 0 -96 -96"/>
              <a:gd name="T19" fmla="*/ -96 h 806"/>
            </a:gdLst>
            <a:ahLst/>
            <a:cxnLst>
              <a:cxn ang="0">
                <a:pos x="T1" y="T3"/>
              </a:cxn>
              <a:cxn ang="0">
                <a:pos x="T5" y="T7"/>
              </a:cxn>
              <a:cxn ang="0">
                <a:pos x="T9" y="T11"/>
              </a:cxn>
              <a:cxn ang="0">
                <a:pos x="T13" y="T15"/>
              </a:cxn>
              <a:cxn ang="0">
                <a:pos x="T17" y="T19"/>
              </a:cxn>
            </a:cxnLst>
            <a:rect l="0" t="0" r="r" b="b"/>
            <a:pathLst>
              <a:path w="289" h="806">
                <a:moveTo>
                  <a:pt x="79" y="0"/>
                </a:moveTo>
                <a:lnTo>
                  <a:pt x="0" y="21"/>
                </a:lnTo>
                <a:lnTo>
                  <a:pt x="210" y="805"/>
                </a:lnTo>
                <a:lnTo>
                  <a:pt x="289" y="784"/>
                </a:lnTo>
                <a:lnTo>
                  <a:pt x="79" y="0"/>
                </a:lnTo>
                <a:close/>
              </a:path>
            </a:pathLst>
          </a:custGeom>
          <a:solidFill>
            <a:srgbClr val="66D0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212" name="docshape4">
            <a:extLst>
              <a:ext uri="{FF2B5EF4-FFF2-40B4-BE49-F238E27FC236}">
                <a16:creationId xmlns:a16="http://schemas.microsoft.com/office/drawing/2014/main" id="{DF3422B8-C888-FA2B-CE50-20E484F8DBA4}"/>
              </a:ext>
            </a:extLst>
          </xdr:cNvPr>
          <xdr:cNvSpPr>
            <a:spLocks/>
          </xdr:cNvSpPr>
        </xdr:nvSpPr>
        <xdr:spPr bwMode="auto">
          <a:xfrm>
            <a:off x="7381" y="-180"/>
            <a:ext cx="806" cy="847"/>
          </a:xfrm>
          <a:custGeom>
            <a:avLst/>
            <a:gdLst>
              <a:gd name="T0" fmla="+- 0 8187 7382"/>
              <a:gd name="T1" fmla="*/ T0 w 806"/>
              <a:gd name="T2" fmla="+- 0 456 -180"/>
              <a:gd name="T3" fmla="*/ 456 h 847"/>
              <a:gd name="T4" fmla="+- 0 8166 7382"/>
              <a:gd name="T5" fmla="*/ T4 w 806"/>
              <a:gd name="T6" fmla="+- 0 378 -180"/>
              <a:gd name="T7" fmla="*/ 378 h 847"/>
              <a:gd name="T8" fmla="+- 0 8048 7382"/>
              <a:gd name="T9" fmla="*/ T8 w 806"/>
              <a:gd name="T10" fmla="+- 0 409 -180"/>
              <a:gd name="T11" fmla="*/ 409 h 847"/>
              <a:gd name="T12" fmla="+- 0 7890 7382"/>
              <a:gd name="T13" fmla="*/ T12 w 806"/>
              <a:gd name="T14" fmla="+- 0 -180 -180"/>
              <a:gd name="T15" fmla="*/ -180 h 847"/>
              <a:gd name="T16" fmla="+- 0 7812 7382"/>
              <a:gd name="T17" fmla="*/ T16 w 806"/>
              <a:gd name="T18" fmla="+- 0 -159 -180"/>
              <a:gd name="T19" fmla="*/ -159 h 847"/>
              <a:gd name="T20" fmla="+- 0 7970 7382"/>
              <a:gd name="T21" fmla="*/ T20 w 806"/>
              <a:gd name="T22" fmla="+- 0 430 -180"/>
              <a:gd name="T23" fmla="*/ 430 h 847"/>
              <a:gd name="T24" fmla="+- 0 7382 7382"/>
              <a:gd name="T25" fmla="*/ T24 w 806"/>
              <a:gd name="T26" fmla="+- 0 588 -180"/>
              <a:gd name="T27" fmla="*/ 588 h 847"/>
              <a:gd name="T28" fmla="+- 0 7403 7382"/>
              <a:gd name="T29" fmla="*/ T28 w 806"/>
              <a:gd name="T30" fmla="+- 0 666 -180"/>
              <a:gd name="T31" fmla="*/ 666 h 847"/>
              <a:gd name="T32" fmla="+- 0 7991 7382"/>
              <a:gd name="T33" fmla="*/ T32 w 806"/>
              <a:gd name="T34" fmla="+- 0 509 -180"/>
              <a:gd name="T35" fmla="*/ 509 h 847"/>
              <a:gd name="T36" fmla="+- 0 8022 7382"/>
              <a:gd name="T37" fmla="*/ T36 w 806"/>
              <a:gd name="T38" fmla="+- 0 625 -180"/>
              <a:gd name="T39" fmla="*/ 625 h 847"/>
              <a:gd name="T40" fmla="+- 0 8100 7382"/>
              <a:gd name="T41" fmla="*/ T40 w 806"/>
              <a:gd name="T42" fmla="+- 0 604 -180"/>
              <a:gd name="T43" fmla="*/ 604 h 847"/>
              <a:gd name="T44" fmla="+- 0 8069 7382"/>
              <a:gd name="T45" fmla="*/ T44 w 806"/>
              <a:gd name="T46" fmla="+- 0 488 -180"/>
              <a:gd name="T47" fmla="*/ 488 h 847"/>
              <a:gd name="T48" fmla="+- 0 8187 7382"/>
              <a:gd name="T49" fmla="*/ T48 w 806"/>
              <a:gd name="T50" fmla="+- 0 456 -180"/>
              <a:gd name="T51" fmla="*/ 456 h 847"/>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Lst>
            <a:rect l="0" t="0" r="r" b="b"/>
            <a:pathLst>
              <a:path w="806" h="847">
                <a:moveTo>
                  <a:pt x="805" y="636"/>
                </a:moveTo>
                <a:lnTo>
                  <a:pt x="784" y="558"/>
                </a:lnTo>
                <a:lnTo>
                  <a:pt x="666" y="589"/>
                </a:lnTo>
                <a:lnTo>
                  <a:pt x="508" y="0"/>
                </a:lnTo>
                <a:lnTo>
                  <a:pt x="430" y="21"/>
                </a:lnTo>
                <a:lnTo>
                  <a:pt x="588" y="610"/>
                </a:lnTo>
                <a:lnTo>
                  <a:pt x="0" y="768"/>
                </a:lnTo>
                <a:lnTo>
                  <a:pt x="21" y="846"/>
                </a:lnTo>
                <a:lnTo>
                  <a:pt x="609" y="689"/>
                </a:lnTo>
                <a:lnTo>
                  <a:pt x="640" y="805"/>
                </a:lnTo>
                <a:lnTo>
                  <a:pt x="718" y="784"/>
                </a:lnTo>
                <a:lnTo>
                  <a:pt x="687" y="668"/>
                </a:lnTo>
                <a:lnTo>
                  <a:pt x="805" y="636"/>
                </a:lnTo>
                <a:close/>
              </a:path>
            </a:pathLst>
          </a:custGeom>
          <a:solidFill>
            <a:srgbClr val="A093DA"/>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213" name="docshape5">
            <a:extLst>
              <a:ext uri="{FF2B5EF4-FFF2-40B4-BE49-F238E27FC236}">
                <a16:creationId xmlns:a16="http://schemas.microsoft.com/office/drawing/2014/main" id="{61B22AE6-6BE6-22C1-FA24-FEF7951927AD}"/>
              </a:ext>
            </a:extLst>
          </xdr:cNvPr>
          <xdr:cNvSpPr>
            <a:spLocks/>
          </xdr:cNvSpPr>
        </xdr:nvSpPr>
        <xdr:spPr bwMode="auto">
          <a:xfrm>
            <a:off x="7339" y="221"/>
            <a:ext cx="806" cy="289"/>
          </a:xfrm>
          <a:custGeom>
            <a:avLst/>
            <a:gdLst>
              <a:gd name="T0" fmla="+- 0 8124 7340"/>
              <a:gd name="T1" fmla="*/ T0 w 806"/>
              <a:gd name="T2" fmla="+- 0 221 221"/>
              <a:gd name="T3" fmla="*/ 221 h 289"/>
              <a:gd name="T4" fmla="+- 0 7340 7340"/>
              <a:gd name="T5" fmla="*/ T4 w 806"/>
              <a:gd name="T6" fmla="+- 0 431 221"/>
              <a:gd name="T7" fmla="*/ 431 h 289"/>
              <a:gd name="T8" fmla="+- 0 7361 7340"/>
              <a:gd name="T9" fmla="*/ T8 w 806"/>
              <a:gd name="T10" fmla="+- 0 510 221"/>
              <a:gd name="T11" fmla="*/ 510 h 289"/>
              <a:gd name="T12" fmla="+- 0 8145 7340"/>
              <a:gd name="T13" fmla="*/ T12 w 806"/>
              <a:gd name="T14" fmla="+- 0 299 221"/>
              <a:gd name="T15" fmla="*/ 299 h 289"/>
              <a:gd name="T16" fmla="+- 0 8124 7340"/>
              <a:gd name="T17" fmla="*/ T16 w 806"/>
              <a:gd name="T18" fmla="+- 0 221 221"/>
              <a:gd name="T19" fmla="*/ 221 h 289"/>
            </a:gdLst>
            <a:ahLst/>
            <a:cxnLst>
              <a:cxn ang="0">
                <a:pos x="T1" y="T3"/>
              </a:cxn>
              <a:cxn ang="0">
                <a:pos x="T5" y="T7"/>
              </a:cxn>
              <a:cxn ang="0">
                <a:pos x="T9" y="T11"/>
              </a:cxn>
              <a:cxn ang="0">
                <a:pos x="T13" y="T15"/>
              </a:cxn>
              <a:cxn ang="0">
                <a:pos x="T17" y="T19"/>
              </a:cxn>
            </a:cxnLst>
            <a:rect l="0" t="0" r="r" b="b"/>
            <a:pathLst>
              <a:path w="806" h="289">
                <a:moveTo>
                  <a:pt x="784" y="0"/>
                </a:moveTo>
                <a:lnTo>
                  <a:pt x="0" y="210"/>
                </a:lnTo>
                <a:lnTo>
                  <a:pt x="21" y="289"/>
                </a:lnTo>
                <a:lnTo>
                  <a:pt x="805" y="78"/>
                </a:lnTo>
                <a:lnTo>
                  <a:pt x="784" y="0"/>
                </a:lnTo>
                <a:close/>
              </a:path>
            </a:pathLst>
          </a:custGeom>
          <a:solidFill>
            <a:srgbClr val="6A0E8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214" name="docshape6">
            <a:extLst>
              <a:ext uri="{FF2B5EF4-FFF2-40B4-BE49-F238E27FC236}">
                <a16:creationId xmlns:a16="http://schemas.microsoft.com/office/drawing/2014/main" id="{6B626A6D-2506-0558-89BA-771B92AD01D9}"/>
              </a:ext>
            </a:extLst>
          </xdr:cNvPr>
          <xdr:cNvSpPr>
            <a:spLocks/>
          </xdr:cNvSpPr>
        </xdr:nvSpPr>
        <xdr:spPr bwMode="auto">
          <a:xfrm>
            <a:off x="7297" y="64"/>
            <a:ext cx="806" cy="289"/>
          </a:xfrm>
          <a:custGeom>
            <a:avLst/>
            <a:gdLst>
              <a:gd name="T0" fmla="+- 0 8082 7298"/>
              <a:gd name="T1" fmla="*/ T0 w 806"/>
              <a:gd name="T2" fmla="+- 0 64 64"/>
              <a:gd name="T3" fmla="*/ 64 h 289"/>
              <a:gd name="T4" fmla="+- 0 7298 7298"/>
              <a:gd name="T5" fmla="*/ T4 w 806"/>
              <a:gd name="T6" fmla="+- 0 274 64"/>
              <a:gd name="T7" fmla="*/ 274 h 289"/>
              <a:gd name="T8" fmla="+- 0 7319 7298"/>
              <a:gd name="T9" fmla="*/ T8 w 806"/>
              <a:gd name="T10" fmla="+- 0 353 64"/>
              <a:gd name="T11" fmla="*/ 353 h 289"/>
              <a:gd name="T12" fmla="+- 0 8103 7298"/>
              <a:gd name="T13" fmla="*/ T12 w 806"/>
              <a:gd name="T14" fmla="+- 0 143 64"/>
              <a:gd name="T15" fmla="*/ 143 h 289"/>
              <a:gd name="T16" fmla="+- 0 8082 7298"/>
              <a:gd name="T17" fmla="*/ T16 w 806"/>
              <a:gd name="T18" fmla="+- 0 64 64"/>
              <a:gd name="T19" fmla="*/ 64 h 289"/>
            </a:gdLst>
            <a:ahLst/>
            <a:cxnLst>
              <a:cxn ang="0">
                <a:pos x="T1" y="T3"/>
              </a:cxn>
              <a:cxn ang="0">
                <a:pos x="T5" y="T7"/>
              </a:cxn>
              <a:cxn ang="0">
                <a:pos x="T9" y="T11"/>
              </a:cxn>
              <a:cxn ang="0">
                <a:pos x="T13" y="T15"/>
              </a:cxn>
              <a:cxn ang="0">
                <a:pos x="T17" y="T19"/>
              </a:cxn>
            </a:cxnLst>
            <a:rect l="0" t="0" r="r" b="b"/>
            <a:pathLst>
              <a:path w="806" h="289">
                <a:moveTo>
                  <a:pt x="784" y="0"/>
                </a:moveTo>
                <a:lnTo>
                  <a:pt x="0" y="210"/>
                </a:lnTo>
                <a:lnTo>
                  <a:pt x="21" y="289"/>
                </a:lnTo>
                <a:lnTo>
                  <a:pt x="805" y="79"/>
                </a:lnTo>
                <a:lnTo>
                  <a:pt x="784" y="0"/>
                </a:lnTo>
                <a:close/>
              </a:path>
            </a:pathLst>
          </a:custGeom>
          <a:solidFill>
            <a:srgbClr val="66D0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215" name="docshape7">
            <a:extLst>
              <a:ext uri="{FF2B5EF4-FFF2-40B4-BE49-F238E27FC236}">
                <a16:creationId xmlns:a16="http://schemas.microsoft.com/office/drawing/2014/main" id="{7F0DFF9F-A4AD-0758-D7A8-846596385CFD}"/>
              </a:ext>
            </a:extLst>
          </xdr:cNvPr>
          <xdr:cNvSpPr>
            <a:spLocks/>
          </xdr:cNvSpPr>
        </xdr:nvSpPr>
        <xdr:spPr bwMode="auto">
          <a:xfrm>
            <a:off x="7255" y="-93"/>
            <a:ext cx="806" cy="289"/>
          </a:xfrm>
          <a:custGeom>
            <a:avLst/>
            <a:gdLst>
              <a:gd name="T0" fmla="+- 0 8040 7256"/>
              <a:gd name="T1" fmla="*/ T0 w 806"/>
              <a:gd name="T2" fmla="+- 0 -93 -93"/>
              <a:gd name="T3" fmla="*/ -93 h 289"/>
              <a:gd name="T4" fmla="+- 0 7256 7256"/>
              <a:gd name="T5" fmla="*/ T4 w 806"/>
              <a:gd name="T6" fmla="+- 0 118 -93"/>
              <a:gd name="T7" fmla="*/ 118 h 289"/>
              <a:gd name="T8" fmla="+- 0 7277 7256"/>
              <a:gd name="T9" fmla="*/ T8 w 806"/>
              <a:gd name="T10" fmla="+- 0 196 -93"/>
              <a:gd name="T11" fmla="*/ 196 h 289"/>
              <a:gd name="T12" fmla="+- 0 8061 7256"/>
              <a:gd name="T13" fmla="*/ T12 w 806"/>
              <a:gd name="T14" fmla="+- 0 -14 -93"/>
              <a:gd name="T15" fmla="*/ -14 h 289"/>
              <a:gd name="T16" fmla="+- 0 8040 7256"/>
              <a:gd name="T17" fmla="*/ T16 w 806"/>
              <a:gd name="T18" fmla="+- 0 -93 -93"/>
              <a:gd name="T19" fmla="*/ -93 h 289"/>
            </a:gdLst>
            <a:ahLst/>
            <a:cxnLst>
              <a:cxn ang="0">
                <a:pos x="T1" y="T3"/>
              </a:cxn>
              <a:cxn ang="0">
                <a:pos x="T5" y="T7"/>
              </a:cxn>
              <a:cxn ang="0">
                <a:pos x="T9" y="T11"/>
              </a:cxn>
              <a:cxn ang="0">
                <a:pos x="T13" y="T15"/>
              </a:cxn>
              <a:cxn ang="0">
                <a:pos x="T17" y="T19"/>
              </a:cxn>
            </a:cxnLst>
            <a:rect l="0" t="0" r="r" b="b"/>
            <a:pathLst>
              <a:path w="806" h="289">
                <a:moveTo>
                  <a:pt x="784" y="0"/>
                </a:moveTo>
                <a:lnTo>
                  <a:pt x="0" y="211"/>
                </a:lnTo>
                <a:lnTo>
                  <a:pt x="21" y="289"/>
                </a:lnTo>
                <a:lnTo>
                  <a:pt x="805" y="79"/>
                </a:lnTo>
                <a:lnTo>
                  <a:pt x="784" y="0"/>
                </a:lnTo>
                <a:close/>
              </a:path>
            </a:pathLst>
          </a:custGeom>
          <a:solidFill>
            <a:srgbClr val="6B62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216" name="docshape8">
            <a:extLst>
              <a:ext uri="{FF2B5EF4-FFF2-40B4-BE49-F238E27FC236}">
                <a16:creationId xmlns:a16="http://schemas.microsoft.com/office/drawing/2014/main" id="{56B08F88-2065-3075-3FC0-126E7B5C6BBE}"/>
              </a:ext>
            </a:extLst>
          </xdr:cNvPr>
          <xdr:cNvSpPr>
            <a:spLocks/>
          </xdr:cNvSpPr>
        </xdr:nvSpPr>
        <xdr:spPr bwMode="auto">
          <a:xfrm>
            <a:off x="7654" y="-138"/>
            <a:ext cx="289" cy="806"/>
          </a:xfrm>
          <a:custGeom>
            <a:avLst/>
            <a:gdLst>
              <a:gd name="T0" fmla="+- 0 7733 7655"/>
              <a:gd name="T1" fmla="*/ T0 w 289"/>
              <a:gd name="T2" fmla="+- 0 -138 -138"/>
              <a:gd name="T3" fmla="*/ -138 h 806"/>
              <a:gd name="T4" fmla="+- 0 7655 7655"/>
              <a:gd name="T5" fmla="*/ T4 w 289"/>
              <a:gd name="T6" fmla="+- 0 -117 -138"/>
              <a:gd name="T7" fmla="*/ -117 h 806"/>
              <a:gd name="T8" fmla="+- 0 7865 7655"/>
              <a:gd name="T9" fmla="*/ T8 w 289"/>
              <a:gd name="T10" fmla="+- 0 667 -138"/>
              <a:gd name="T11" fmla="*/ 667 h 806"/>
              <a:gd name="T12" fmla="+- 0 7943 7655"/>
              <a:gd name="T13" fmla="*/ T12 w 289"/>
              <a:gd name="T14" fmla="+- 0 646 -138"/>
              <a:gd name="T15" fmla="*/ 646 h 806"/>
              <a:gd name="T16" fmla="+- 0 7733 7655"/>
              <a:gd name="T17" fmla="*/ T16 w 289"/>
              <a:gd name="T18" fmla="+- 0 -138 -138"/>
              <a:gd name="T19" fmla="*/ -138 h 806"/>
            </a:gdLst>
            <a:ahLst/>
            <a:cxnLst>
              <a:cxn ang="0">
                <a:pos x="T1" y="T3"/>
              </a:cxn>
              <a:cxn ang="0">
                <a:pos x="T5" y="T7"/>
              </a:cxn>
              <a:cxn ang="0">
                <a:pos x="T9" y="T11"/>
              </a:cxn>
              <a:cxn ang="0">
                <a:pos x="T13" y="T15"/>
              </a:cxn>
              <a:cxn ang="0">
                <a:pos x="T17" y="T19"/>
              </a:cxn>
            </a:cxnLst>
            <a:rect l="0" t="0" r="r" b="b"/>
            <a:pathLst>
              <a:path w="289" h="806">
                <a:moveTo>
                  <a:pt x="78" y="0"/>
                </a:moveTo>
                <a:lnTo>
                  <a:pt x="0" y="21"/>
                </a:lnTo>
                <a:lnTo>
                  <a:pt x="210" y="805"/>
                </a:lnTo>
                <a:lnTo>
                  <a:pt x="288" y="784"/>
                </a:lnTo>
                <a:lnTo>
                  <a:pt x="78" y="0"/>
                </a:lnTo>
                <a:close/>
              </a:path>
            </a:pathLst>
          </a:custGeom>
          <a:solidFill>
            <a:srgbClr val="6A0E8E"/>
          </a:solidFill>
          <a:ln>
            <a:noFill/>
          </a:ln>
          <a:extLst>
            <a:ext uri="{91240B29-F687-4F45-9708-019B960494DF}">
              <a14:hiddenLine xmlns:a14="http://schemas.microsoft.com/office/drawing/2010/main" w="9525">
                <a:solidFill>
                  <a:srgbClr val="000000"/>
                </a:solidFill>
                <a:round/>
                <a:headEnd/>
                <a:tailEnd/>
              </a14:hiddenLine>
            </a:ext>
          </a:extLst>
        </xdr:spPr>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1943AD6-7F8F-4DF5-AAA7-41701E122D13}" name="Table1" displayName="Table1" ref="A5:AQ296" totalsRowShown="0" headerRowDxfId="63" dataDxfId="62">
  <tableColumns count="43">
    <tableColumn id="1" xr3:uid="{10C4B5BC-C805-4074-8C83-825667377C15}" name="Unique payroll number / person identifier" dataDxfId="61"/>
    <tableColumn id="2" xr3:uid="{69972953-BBE0-4173-981C-59A6D90C28C9}" name="Last Name" dataDxfId="60"/>
    <tableColumn id="3" xr3:uid="{BBE46854-EFE9-4E4E-9419-5272564B969A}" name="First Name" dataDxfId="59"/>
    <tableColumn id="4" xr3:uid="{24204743-CBAE-40F6-B512-F62F8881BDB2}" name="Continuous Service start (dd/mm/yyyy)" dataDxfId="58"/>
    <tableColumn id="7" xr3:uid="{51E496E6-429E-4E2D-882B-F063362B9F8F}" name="Work location (school name or code)" dataDxfId="57"/>
    <tableColumn id="8" xr3:uid="{A380CDF2-B9F6-4000-A480-63AB9FE310F0}" name="Contract reference (unique to individual) (if applicable)" dataDxfId="56"/>
    <tableColumn id="9" xr3:uid="{28741320-8211-48EC-BD1D-AC3CF72E9426}" name="Staff Role or Job Title name" dataDxfId="55"/>
    <tableColumn id="10" xr3:uid="{869E0A9F-4A0C-4854-BA5A-32BFB9673215}" name="Gross Salary Finance Code / Nominal" dataDxfId="54"/>
    <tableColumn id="11" xr3:uid="{3ED36622-930E-4CC8-8A75-FE6F634438B8}" name="Department Code / cost centre" dataDxfId="53"/>
    <tableColumn id="12" xr3:uid="{3B2B42B0-FF7D-43C3-910F-2A5929B2E11D}" name="Fund Code (if applicable)" dataDxfId="52"/>
    <tableColumn id="13" xr3:uid="{C0101ED8-F363-4AC4-91E7-0D11049BC819}" name="Full time hours for role" dataDxfId="51"/>
    <tableColumn id="14" xr3:uid="{8A4B103B-1ABE-4C18-8224-CCDC8187F39F}" name="Weekly Hours " dataDxfId="50"/>
    <tableColumn id="15" xr3:uid="{5B9A4865-4924-479E-8771-21AF7FC011E5}" name="Weekly FTE" dataDxfId="49"/>
    <tableColumn id="16" xr3:uid="{C524ABED-B202-416D-AABA-559584214FB6}" name="EQWP/ TTO Weeks worked per year" dataDxfId="48"/>
    <tableColumn id="5" xr3:uid="{3C655535-5987-4A48-9CDA-9B61091924F7}" name="EQWP/ TTO Weeks paid per year" dataDxfId="47"/>
    <tableColumn id="6" xr3:uid="{E7585D92-DBB6-4560-AE0C-8ADD0979B134}" name="Pay Scale name " dataDxfId="46"/>
    <tableColumn id="17" xr3:uid="{1594D723-34E2-48BA-8A7A-E24F013B1159}" name="Current Scale Point" dataDxfId="45"/>
    <tableColumn id="18" xr3:uid="{F4493D92-8695-43A1-AF69-F4D76E833FF4}" name="Grade title / max scale point " dataDxfId="44"/>
    <tableColumn id="19" xr3:uid="{11EED3D9-CD52-4002-B893-6726ED28485F}" name="L'ship - individual min-max range / max point" dataDxfId="43"/>
    <tableColumn id="38" xr3:uid="{A0861373-EDE9-4481-A396-C66D23CD213D}" name="FTE Annual salary rate" dataDxfId="42"/>
    <tableColumn id="37" xr3:uid="{B322B310-BFE2-4E4E-8DAC-57F034A15C5C}" name="Actual Annual salary" dataDxfId="41">
      <calculatedColumnFormula>Table1[[#This Row],[FTE Annual salary rate]]/Table1[[#This Row],[Full time hours for role]]*Table1[[#This Row],[Weekly Hours ]]/52.14285*Table1[[#This Row],[EQWP/ TTO Weeks paid per year]]</calculatedColumnFormula>
    </tableColumn>
    <tableColumn id="20" xr3:uid="{149FED2C-AE00-4682-82C7-9C2F36D92848}" name="Allowance 1 -               name / code/ type being paid" dataDxfId="40"/>
    <tableColumn id="21" xr3:uid="{4A41AC24-E403-4ED3-A6BF-5FC3A5AD4966}" name="Allowance 1 -   Annual Rate (FTE)" dataDxfId="39"/>
    <tableColumn id="22" xr3:uid="{9E2D2343-2084-42AA-9F62-B43061A282CB}" name="Allowance 1 - Annual value (Actual)" dataDxfId="38"/>
    <tableColumn id="23" xr3:uid="{78FFBE04-3394-4FCC-AD2D-6CF4E5056CCB}" name="Allowance 1 -             Start (if after budget period start date)" dataDxfId="37"/>
    <tableColumn id="24" xr3:uid="{3B73E5C6-8D55-4563-BB11-1B292AED6A8F}" name="Allowance 1 -   End (if in budget period)" dataDxfId="36"/>
    <tableColumn id="43" xr3:uid="{5A2337EF-C326-4C05-BBBD-48F178C3F736}" name="Allowance 2 - name / code/ type being paid" dataDxfId="35"/>
    <tableColumn id="42" xr3:uid="{0CBE5C42-6D5A-4393-81F2-F643EAFF1A58}" name="Allowance 2 - Annual Rate (FTE)" dataDxfId="34"/>
    <tableColumn id="41" xr3:uid="{8EF6FADD-AD0B-4D5E-8D13-AE8531A5F72A}" name="Allowance 2 - Annual value (Actual)" dataDxfId="33"/>
    <tableColumn id="40" xr3:uid="{59C8FC5A-B6BA-45D8-B502-1ABC84F2B7EB}" name="Allowance 2 - Start (if after budget period start date)" dataDxfId="32"/>
    <tableColumn id="39" xr3:uid="{AC6B7036-B655-4723-A7B9-91BC64395D4A}" name="Allowance 2 -    End (if in budget period)" dataDxfId="31"/>
    <tableColumn id="25" xr3:uid="{5F09F4C8-3641-442A-9F03-82570A5E2EAE}" name="Any Notes for other payments" dataDxfId="30"/>
    <tableColumn id="26" xr3:uid="{9A444560-D8CB-4FB8-8671-65DC2209456B}" name="Scheme TPS/ LGPS/ Other" dataDxfId="29"/>
    <tableColumn id="27" xr3:uid="{354FD582-605A-4662-92F2-C91824F95632}" name="Pension Opt Out" dataDxfId="28"/>
    <tableColumn id="28" xr3:uid="{8074D9E2-AE7D-4E5E-84A6-A04D78F861C8}" name="OTHER scheme name" dataDxfId="27"/>
    <tableColumn id="29" xr3:uid="{9EF74F68-8D1B-4DF7-A4C4-F715E3066E18}" name="OTHER scheme employer %" dataDxfId="26"/>
    <tableColumn id="30" xr3:uid="{8D88493F-6822-4748-A1AA-E390EFC325C6}" name="Gender" dataDxfId="25"/>
    <tableColumn id="31" xr3:uid="{36A56E89-496F-4105-B068-D53D1DB80075}" name="Date of Birth (dd/mm/yyyy)" dataDxfId="24"/>
    <tableColumn id="32" xr3:uid="{92452C19-F116-433C-9D4B-A2F92D1B1F93}" name="Contract type (perm, fixed term etc)" dataDxfId="23"/>
    <tableColumn id="33" xr3:uid="{7785EF38-940B-4599-9501-7DC2185FB620}" name="Contract Start (if after budget period start date)" dataDxfId="22"/>
    <tableColumn id="34" xr3:uid="{DD4D6E14-1B0A-48EB-8254-00E89F52B652}" name="Contract End (if in budget period)" dataDxfId="21"/>
    <tableColumn id="35" xr3:uid="{D4047C54-FCB0-4BA0-BB93-7560AB65064E}" name="Apprenticeship contract - T/F" dataDxfId="20"/>
    <tableColumn id="36" xr3:uid="{362A4804-E4C3-4F39-92A0-05CC879A8594}" name="Casual worker contract - T/F" dataDxfId="19"/>
  </tableColumns>
  <tableStyleInfo name="IMP Colour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1A0C54-E127-46F6-9FCE-69DCA6FD6436}" name="Table24" displayName="Table24" ref="A1:E6" totalsRowShown="0" headerRowDxfId="18" dataDxfId="17" tableBorderDxfId="16">
  <autoFilter ref="A1:E6" xr:uid="{221A0C54-E127-46F6-9FCE-69DCA6FD6436}"/>
  <tableColumns count="5">
    <tableColumn id="1" xr3:uid="{81C0284D-78DD-453B-9171-17827CB9B9F9}" name="School Name or Code" dataDxfId="15"/>
    <tableColumn id="2" xr3:uid="{B90C7380-B642-4FFC-B71D-DD9407844B24}" name="Scheme Name" dataDxfId="14"/>
    <tableColumn id="3" xr3:uid="{26F4FFF0-A0BB-4E47-8388-D4E33F37DB7D}" name="Rate Date From" dataDxfId="13"/>
    <tableColumn id="4" xr3:uid="{DD73A216-45C5-46EC-8884-7A4F6CFFA600}" name="Rate Date To" dataDxfId="12"/>
    <tableColumn id="5" xr3:uid="{38200015-2BED-4300-808E-78FAAFC6C176}" name="Employer Contribution Percentage" dataDxfId="11"/>
  </tableColumns>
  <tableStyleInfo name="IMP Colours"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2F6B2E0-8FDD-4613-83C9-9EE12FC3A415}" name="Table2" displayName="Table2" ref="A4:G15" totalsRowShown="0" headerRowDxfId="10" dataDxfId="9" tableBorderDxfId="8">
  <autoFilter ref="A4:G15" xr:uid="{F2F6B2E0-8FDD-4613-83C9-9EE12FC3A415}"/>
  <tableColumns count="7">
    <tableColumn id="1" xr3:uid="{E22D05DA-924A-4E79-B211-0A57D4606D57}" name="Employee Reference Number" dataDxfId="7"/>
    <tableColumn id="2" xr3:uid="{B5A4C483-CC84-4503-9811-FA843D3BF43D}" name="Name" dataDxfId="6"/>
    <tableColumn id="3" xr3:uid="{4789217E-B85C-49FA-81DB-0A9DA82D0D1F}" name="Teaching / Support" dataDxfId="5"/>
    <tableColumn id="4" xr3:uid="{73D17872-E42C-4D0C-B055-21B911E149CD}" name="Leave Type" dataDxfId="4"/>
    <tableColumn id="5" xr3:uid="{4FC28C26-62AD-40DC-BBFE-B901B90FC241}" name="Leave Date From" dataDxfId="3"/>
    <tableColumn id="6" xr3:uid="{CA7B4263-C764-42FB-9371-675A62AF3ACC}" name="Leave Date To (if known)" dataDxfId="2"/>
    <tableColumn id="7" xr3:uid="{552B934F-DA35-4FE6-9949-1652D7F7AEA4}" name="Column1" dataDxfId="1"/>
  </tableColumns>
  <tableStyleInfo name="IMP Colour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CB2D5E-B053-49EF-83B0-8CB7C682776A}" name="Table3" displayName="Table3" ref="A2:D6" totalsRowShown="0">
  <autoFilter ref="A2:D6" xr:uid="{F1CB2D5E-B053-49EF-83B0-8CB7C682776A}"/>
  <tableColumns count="4">
    <tableColumn id="1" xr3:uid="{D26F0A2C-E104-4D77-9EAF-5E3D5F05E0C6}" name="Type" dataDxfId="0"/>
    <tableColumn id="2" xr3:uid="{3F10555E-5641-4631-84F8-028EE8FDDD4A}" name="Description"/>
    <tableColumn id="3" xr3:uid="{39710DDF-CAAC-44C9-A5D4-2CA3C7BBB7E2}" name="Percentage"/>
    <tableColumn id="4" xr3:uid="{58CF650C-69D4-46C4-9957-A6CCBCB78544}" name="Finance codes"/>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094AB-ABE8-4365-AADF-EC3BE6FE3A0D}">
  <sheetPr>
    <tabColor theme="9" tint="-0.499984740745262"/>
  </sheetPr>
  <dimension ref="A4:Z24"/>
  <sheetViews>
    <sheetView showGridLines="0" topLeftCell="A8" workbookViewId="0">
      <selection activeCell="A22" sqref="A22"/>
    </sheetView>
  </sheetViews>
  <sheetFormatPr defaultRowHeight="14.4"/>
  <cols>
    <col min="1" max="1" width="25.109375" bestFit="1" customWidth="1"/>
  </cols>
  <sheetData>
    <row r="4" spans="1:26" ht="35.4">
      <c r="L4" s="5" t="s">
        <v>19</v>
      </c>
    </row>
    <row r="5" spans="1:26" ht="19.8">
      <c r="F5" s="4"/>
    </row>
    <row r="10" spans="1:26" ht="35.4">
      <c r="N10" s="5" t="s">
        <v>20</v>
      </c>
    </row>
    <row r="13" spans="1:26" ht="87" customHeight="1">
      <c r="A13" s="88" t="s">
        <v>146</v>
      </c>
      <c r="B13" s="88"/>
      <c r="C13" s="88"/>
      <c r="D13" s="88"/>
      <c r="E13" s="88"/>
      <c r="F13" s="88"/>
      <c r="G13" s="88"/>
      <c r="H13" s="88"/>
      <c r="I13" s="88"/>
      <c r="J13" s="88"/>
      <c r="K13" s="88"/>
      <c r="L13" s="88"/>
      <c r="M13" s="88"/>
      <c r="N13" s="88"/>
      <c r="O13" s="88"/>
      <c r="P13" s="88"/>
      <c r="Q13" s="88"/>
      <c r="R13" s="88"/>
      <c r="S13" s="88"/>
      <c r="T13" s="88"/>
      <c r="U13" s="88"/>
      <c r="V13" s="88"/>
      <c r="W13" s="88"/>
      <c r="X13" s="88"/>
      <c r="Y13" s="88"/>
      <c r="Z13" s="88"/>
    </row>
    <row r="15" spans="1:26">
      <c r="A15" s="6" t="s">
        <v>139</v>
      </c>
      <c r="B15" t="s">
        <v>21</v>
      </c>
    </row>
    <row r="17" spans="1:2">
      <c r="A17" s="6" t="s">
        <v>140</v>
      </c>
      <c r="B17" t="s">
        <v>72</v>
      </c>
    </row>
    <row r="19" spans="1:2">
      <c r="A19" s="6" t="s">
        <v>141</v>
      </c>
      <c r="B19" t="s">
        <v>119</v>
      </c>
    </row>
    <row r="21" spans="1:2">
      <c r="A21" s="6" t="s">
        <v>142</v>
      </c>
      <c r="B21" t="s">
        <v>169</v>
      </c>
    </row>
    <row r="23" spans="1:2">
      <c r="A23" s="6" t="s">
        <v>143</v>
      </c>
      <c r="B23" t="s">
        <v>168</v>
      </c>
    </row>
    <row r="24" spans="1:2">
      <c r="B24" t="s">
        <v>145</v>
      </c>
    </row>
  </sheetData>
  <mergeCells count="1">
    <mergeCell ref="A13:Z13"/>
  </mergeCells>
  <hyperlinks>
    <hyperlink ref="A15" location="'Staff Contract Information'!A1" display="2. Staff Contract Information" xr:uid="{DC67A97C-DDA6-4E0B-B907-B2FBF8B57AF9}"/>
    <hyperlink ref="A17" location="'Staff Contract Checklist'!A1" display="3. Staff Contract Checklist" xr:uid="{D3AA2A74-0E5E-45FF-9037-40F7D05397D0}"/>
    <hyperlink ref="A19" location="'LGPS Information'!A1" display="4. LGPS Pension Information" xr:uid="{8415CEF8-8596-446C-BFBB-C4C86CB86EBF}"/>
    <hyperlink ref="A21" location="'Statutory Leave'!A1" display="5. Statutory Leave" xr:uid="{7FC7BE99-84B9-479B-922C-E3DF2A0E332C}"/>
    <hyperlink ref="A23" location="'Equated Weeks'!A1" display="6. Equated Weeks" xr:uid="{446D9ACB-CDB3-4DE8-A822-C53FB5B0263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F9D53-B382-4A88-9767-530B54B03790}">
  <sheetPr>
    <tabColor theme="3"/>
  </sheetPr>
  <dimension ref="A1:E39"/>
  <sheetViews>
    <sheetView showGridLines="0" workbookViewId="0">
      <pane ySplit="1" topLeftCell="A4" activePane="bottomLeft" state="frozen"/>
      <selection pane="bottomLeft" activeCell="B25" sqref="B25"/>
    </sheetView>
  </sheetViews>
  <sheetFormatPr defaultRowHeight="14.4"/>
  <cols>
    <col min="1" max="1" width="27" customWidth="1"/>
    <col min="2" max="2" width="91.44140625" customWidth="1"/>
    <col min="3" max="3" width="31.33203125" bestFit="1" customWidth="1"/>
    <col min="4" max="4" width="22.33203125" bestFit="1" customWidth="1"/>
    <col min="5" max="5" width="53.44140625" bestFit="1" customWidth="1"/>
  </cols>
  <sheetData>
    <row r="1" spans="1:5" s="12" customFormat="1" ht="28.8">
      <c r="A1" s="95" t="s">
        <v>73</v>
      </c>
      <c r="B1" s="95"/>
      <c r="C1" s="24" t="s">
        <v>74</v>
      </c>
      <c r="D1" s="24" t="s">
        <v>144</v>
      </c>
      <c r="E1" s="24" t="s">
        <v>75</v>
      </c>
    </row>
    <row r="2" spans="1:5">
      <c r="A2" s="89" t="s">
        <v>76</v>
      </c>
      <c r="B2" s="13" t="s">
        <v>23</v>
      </c>
      <c r="C2" s="14" t="s">
        <v>1</v>
      </c>
      <c r="D2" s="14" t="s">
        <v>77</v>
      </c>
    </row>
    <row r="3" spans="1:5" ht="15" customHeight="1">
      <c r="A3" s="90"/>
      <c r="B3" s="15" t="s">
        <v>157</v>
      </c>
      <c r="C3" s="14" t="s">
        <v>1</v>
      </c>
      <c r="D3" s="14" t="s">
        <v>77</v>
      </c>
    </row>
    <row r="4" spans="1:5">
      <c r="A4" s="90"/>
      <c r="B4" s="15" t="s">
        <v>156</v>
      </c>
      <c r="C4" s="14" t="s">
        <v>1</v>
      </c>
      <c r="D4" s="14" t="s">
        <v>77</v>
      </c>
    </row>
    <row r="5" spans="1:5">
      <c r="A5" s="90"/>
      <c r="B5" s="15" t="s">
        <v>78</v>
      </c>
      <c r="C5" s="14" t="s">
        <v>1</v>
      </c>
      <c r="D5" s="14" t="s">
        <v>77</v>
      </c>
    </row>
    <row r="6" spans="1:5">
      <c r="A6" s="90"/>
      <c r="B6" s="15" t="s">
        <v>79</v>
      </c>
      <c r="C6" s="14" t="s">
        <v>1</v>
      </c>
      <c r="D6" s="14" t="s">
        <v>80</v>
      </c>
    </row>
    <row r="7" spans="1:5">
      <c r="A7" s="90"/>
      <c r="B7" s="15" t="s">
        <v>81</v>
      </c>
      <c r="C7" s="16" t="s">
        <v>82</v>
      </c>
      <c r="D7" s="16" t="s">
        <v>80</v>
      </c>
      <c r="E7" t="s">
        <v>83</v>
      </c>
    </row>
    <row r="8" spans="1:5">
      <c r="A8" s="90"/>
      <c r="B8" s="15" t="s">
        <v>84</v>
      </c>
      <c r="C8" s="16" t="s">
        <v>82</v>
      </c>
      <c r="D8" s="16" t="s">
        <v>80</v>
      </c>
      <c r="E8" t="s">
        <v>85</v>
      </c>
    </row>
    <row r="9" spans="1:5">
      <c r="A9" s="91"/>
      <c r="B9" s="17" t="s">
        <v>86</v>
      </c>
      <c r="C9" s="16" t="s">
        <v>82</v>
      </c>
      <c r="D9" s="16" t="s">
        <v>77</v>
      </c>
      <c r="E9" t="s">
        <v>83</v>
      </c>
    </row>
    <row r="10" spans="1:5">
      <c r="A10" s="92" t="s">
        <v>87</v>
      </c>
      <c r="B10" s="15" t="s">
        <v>35</v>
      </c>
      <c r="C10" s="18" t="s">
        <v>1</v>
      </c>
      <c r="D10" s="18" t="s">
        <v>77</v>
      </c>
    </row>
    <row r="11" spans="1:5">
      <c r="A11" s="93"/>
      <c r="B11" s="15" t="s">
        <v>88</v>
      </c>
      <c r="C11" s="14" t="s">
        <v>1</v>
      </c>
      <c r="D11" s="14" t="s">
        <v>77</v>
      </c>
    </row>
    <row r="12" spans="1:5">
      <c r="A12" s="93"/>
      <c r="B12" s="19" t="s">
        <v>89</v>
      </c>
      <c r="C12" s="14" t="s">
        <v>1</v>
      </c>
      <c r="D12" s="14" t="s">
        <v>77</v>
      </c>
    </row>
    <row r="13" spans="1:5">
      <c r="A13" s="93"/>
      <c r="B13" s="19" t="s">
        <v>90</v>
      </c>
      <c r="C13" s="14" t="s">
        <v>1</v>
      </c>
      <c r="D13" s="14" t="s">
        <v>77</v>
      </c>
    </row>
    <row r="14" spans="1:5">
      <c r="A14" s="93"/>
      <c r="B14" s="19" t="s">
        <v>91</v>
      </c>
      <c r="C14" s="14" t="s">
        <v>92</v>
      </c>
      <c r="D14" s="14" t="s">
        <v>77</v>
      </c>
      <c r="E14" t="s">
        <v>93</v>
      </c>
    </row>
    <row r="15" spans="1:5">
      <c r="A15" s="93"/>
      <c r="B15" s="20" t="s">
        <v>94</v>
      </c>
      <c r="C15" s="14" t="s">
        <v>1</v>
      </c>
      <c r="D15" s="14" t="s">
        <v>77</v>
      </c>
    </row>
    <row r="16" spans="1:5">
      <c r="A16" s="93"/>
      <c r="B16" s="15" t="s">
        <v>95</v>
      </c>
      <c r="C16" s="16" t="s">
        <v>82</v>
      </c>
      <c r="D16" s="16" t="s">
        <v>77</v>
      </c>
      <c r="E16" t="s">
        <v>96</v>
      </c>
    </row>
    <row r="17" spans="1:5">
      <c r="A17" s="94"/>
      <c r="B17" s="15" t="s">
        <v>97</v>
      </c>
      <c r="C17" s="16" t="s">
        <v>82</v>
      </c>
      <c r="D17" s="16" t="s">
        <v>77</v>
      </c>
      <c r="E17" t="s">
        <v>85</v>
      </c>
    </row>
    <row r="18" spans="1:5">
      <c r="A18" s="89" t="s">
        <v>32</v>
      </c>
      <c r="B18" s="21" t="s">
        <v>98</v>
      </c>
      <c r="C18" s="14" t="s">
        <v>1</v>
      </c>
      <c r="D18" s="14" t="s">
        <v>77</v>
      </c>
    </row>
    <row r="19" spans="1:5">
      <c r="A19" s="90"/>
      <c r="B19" s="15" t="s">
        <v>99</v>
      </c>
      <c r="C19" s="14" t="s">
        <v>1</v>
      </c>
      <c r="D19" s="14" t="s">
        <v>77</v>
      </c>
    </row>
    <row r="20" spans="1:5">
      <c r="A20" s="90"/>
      <c r="B20" s="22" t="s">
        <v>148</v>
      </c>
      <c r="C20" s="14" t="s">
        <v>100</v>
      </c>
      <c r="D20" s="14" t="s">
        <v>77</v>
      </c>
    </row>
    <row r="21" spans="1:5">
      <c r="A21" s="91"/>
      <c r="B21" s="17" t="s">
        <v>149</v>
      </c>
      <c r="C21" s="14" t="s">
        <v>100</v>
      </c>
      <c r="D21" s="14" t="s">
        <v>77</v>
      </c>
      <c r="E21" t="s">
        <v>151</v>
      </c>
    </row>
    <row r="22" spans="1:5">
      <c r="A22" s="92" t="s">
        <v>101</v>
      </c>
      <c r="B22" s="21" t="s">
        <v>43</v>
      </c>
      <c r="C22" s="14" t="s">
        <v>1</v>
      </c>
      <c r="D22" s="14" t="s">
        <v>77</v>
      </c>
    </row>
    <row r="23" spans="1:5">
      <c r="A23" s="93"/>
      <c r="B23" s="15" t="s">
        <v>102</v>
      </c>
      <c r="C23" s="14" t="s">
        <v>1</v>
      </c>
      <c r="D23" s="14" t="s">
        <v>77</v>
      </c>
    </row>
    <row r="24" spans="1:5">
      <c r="A24" s="93"/>
      <c r="B24" s="15" t="s">
        <v>103</v>
      </c>
      <c r="C24" s="14" t="s">
        <v>1</v>
      </c>
      <c r="D24" s="14" t="s">
        <v>77</v>
      </c>
    </row>
    <row r="25" spans="1:5">
      <c r="A25" s="96"/>
      <c r="B25" s="32" t="s">
        <v>104</v>
      </c>
      <c r="C25" s="14" t="s">
        <v>1</v>
      </c>
      <c r="D25" s="14" t="s">
        <v>80</v>
      </c>
    </row>
    <row r="26" spans="1:5">
      <c r="A26" s="93"/>
      <c r="B26" s="15" t="s">
        <v>147</v>
      </c>
      <c r="C26" s="16" t="s">
        <v>82</v>
      </c>
      <c r="D26" s="16" t="s">
        <v>77</v>
      </c>
      <c r="E26" t="s">
        <v>151</v>
      </c>
    </row>
    <row r="27" spans="1:5">
      <c r="A27" s="94"/>
      <c r="B27" s="17" t="s">
        <v>150</v>
      </c>
      <c r="C27" s="16" t="s">
        <v>82</v>
      </c>
      <c r="D27" s="16" t="s">
        <v>77</v>
      </c>
      <c r="E27" t="s">
        <v>151</v>
      </c>
    </row>
    <row r="28" spans="1:5">
      <c r="A28" s="89" t="s">
        <v>56</v>
      </c>
      <c r="B28" s="21" t="s">
        <v>59</v>
      </c>
      <c r="C28" s="16" t="s">
        <v>82</v>
      </c>
      <c r="D28" s="16" t="s">
        <v>77</v>
      </c>
      <c r="E28" t="s">
        <v>105</v>
      </c>
    </row>
    <row r="29" spans="1:5">
      <c r="A29" s="90"/>
      <c r="B29" s="22" t="s">
        <v>152</v>
      </c>
      <c r="C29" s="16" t="s">
        <v>106</v>
      </c>
      <c r="D29" s="16" t="s">
        <v>77</v>
      </c>
      <c r="E29" t="s">
        <v>107</v>
      </c>
    </row>
    <row r="30" spans="1:5">
      <c r="A30" s="90"/>
      <c r="B30" s="15" t="s">
        <v>153</v>
      </c>
      <c r="C30" s="16" t="s">
        <v>106</v>
      </c>
      <c r="D30" s="16" t="s">
        <v>77</v>
      </c>
      <c r="E30" t="s">
        <v>107</v>
      </c>
    </row>
    <row r="31" spans="1:5">
      <c r="A31" s="90"/>
      <c r="B31" s="15" t="s">
        <v>108</v>
      </c>
      <c r="C31" s="16" t="s">
        <v>82</v>
      </c>
      <c r="D31" s="16" t="s">
        <v>77</v>
      </c>
      <c r="E31" t="s">
        <v>96</v>
      </c>
    </row>
    <row r="32" spans="1:5">
      <c r="A32" s="90"/>
      <c r="B32" s="15" t="s">
        <v>109</v>
      </c>
      <c r="C32" s="16" t="s">
        <v>82</v>
      </c>
      <c r="D32" s="16" t="s">
        <v>77</v>
      </c>
      <c r="E32" t="s">
        <v>85</v>
      </c>
    </row>
    <row r="33" spans="1:5">
      <c r="A33" s="91"/>
      <c r="B33" s="17" t="s">
        <v>110</v>
      </c>
      <c r="C33" s="16" t="s">
        <v>2</v>
      </c>
      <c r="D33" s="16" t="s">
        <v>77</v>
      </c>
    </row>
    <row r="34" spans="1:5">
      <c r="A34" s="92" t="s">
        <v>57</v>
      </c>
      <c r="B34" s="13" t="s">
        <v>61</v>
      </c>
      <c r="C34" s="16" t="s">
        <v>82</v>
      </c>
      <c r="D34" s="16" t="s">
        <v>77</v>
      </c>
      <c r="E34" t="s">
        <v>111</v>
      </c>
    </row>
    <row r="35" spans="1:5">
      <c r="A35" s="93"/>
      <c r="B35" s="19" t="s">
        <v>112</v>
      </c>
      <c r="C35" s="16" t="s">
        <v>82</v>
      </c>
      <c r="D35" s="16" t="s">
        <v>80</v>
      </c>
      <c r="E35" t="s">
        <v>113</v>
      </c>
    </row>
    <row r="36" spans="1:5">
      <c r="A36" s="93"/>
      <c r="B36" s="19" t="s">
        <v>63</v>
      </c>
      <c r="C36" s="16" t="s">
        <v>2</v>
      </c>
      <c r="D36" s="16" t="s">
        <v>77</v>
      </c>
      <c r="E36" t="s">
        <v>114</v>
      </c>
    </row>
    <row r="37" spans="1:5">
      <c r="A37" s="94"/>
      <c r="B37" s="23" t="s">
        <v>64</v>
      </c>
      <c r="C37" s="16" t="s">
        <v>2</v>
      </c>
      <c r="D37" s="16" t="s">
        <v>77</v>
      </c>
      <c r="E37" t="s">
        <v>114</v>
      </c>
    </row>
    <row r="38" spans="1:5">
      <c r="A38" s="89" t="s">
        <v>11</v>
      </c>
      <c r="B38" s="13" t="s">
        <v>115</v>
      </c>
      <c r="C38" s="16" t="s">
        <v>82</v>
      </c>
      <c r="D38" s="16" t="s">
        <v>77</v>
      </c>
      <c r="E38" t="s">
        <v>116</v>
      </c>
    </row>
    <row r="39" spans="1:5">
      <c r="A39" s="91"/>
      <c r="B39" s="23" t="s">
        <v>117</v>
      </c>
      <c r="C39" s="16" t="s">
        <v>82</v>
      </c>
      <c r="D39" s="16" t="s">
        <v>77</v>
      </c>
      <c r="E39" t="s">
        <v>118</v>
      </c>
    </row>
  </sheetData>
  <mergeCells count="8">
    <mergeCell ref="A28:A33"/>
    <mergeCell ref="A34:A37"/>
    <mergeCell ref="A38:A39"/>
    <mergeCell ref="A1:B1"/>
    <mergeCell ref="A2:A9"/>
    <mergeCell ref="A10:A17"/>
    <mergeCell ref="A18:A21"/>
    <mergeCell ref="A22:A27"/>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C6AA0-8101-44C4-8576-2328507F53EC}">
  <sheetPr>
    <tabColor theme="3"/>
  </sheetPr>
  <dimension ref="A1:AQ296"/>
  <sheetViews>
    <sheetView showGridLines="0" workbookViewId="0">
      <pane xSplit="3" ySplit="5" topLeftCell="N27" activePane="bottomRight" state="frozen"/>
      <selection pane="topRight" activeCell="D1" sqref="D1"/>
      <selection pane="bottomLeft" activeCell="A6" sqref="A6"/>
      <selection pane="bottomRight" activeCell="P5" sqref="P5"/>
    </sheetView>
  </sheetViews>
  <sheetFormatPr defaultRowHeight="14.4"/>
  <cols>
    <col min="1" max="1" width="13.6640625" customWidth="1"/>
    <col min="2" max="2" width="20.109375" bestFit="1" customWidth="1"/>
    <col min="3" max="3" width="13.88671875" bestFit="1" customWidth="1"/>
    <col min="4" max="4" width="17.6640625" customWidth="1"/>
    <col min="5" max="5" width="27.5546875" customWidth="1"/>
    <col min="6" max="6" width="22.33203125" customWidth="1"/>
    <col min="7" max="7" width="51.88671875" customWidth="1"/>
    <col min="8" max="8" width="35" customWidth="1"/>
    <col min="9" max="9" width="29.109375" customWidth="1"/>
    <col min="10" max="10" width="15.33203125" customWidth="1"/>
    <col min="11" max="11" width="10.33203125" customWidth="1"/>
    <col min="12" max="13" width="9.109375" customWidth="1"/>
    <col min="14" max="14" width="17.88671875" customWidth="1"/>
    <col min="15" max="15" width="13.6640625" customWidth="1"/>
    <col min="16" max="16" width="11.44140625" customWidth="1"/>
    <col min="17" max="17" width="11.6640625" customWidth="1"/>
    <col min="18" max="18" width="17.33203125" customWidth="1"/>
    <col min="19" max="19" width="39.33203125" customWidth="1"/>
    <col min="20" max="20" width="13.33203125" customWidth="1"/>
    <col min="21" max="21" width="15.33203125" style="48" customWidth="1"/>
    <col min="22" max="22" width="22.6640625" customWidth="1"/>
    <col min="23" max="23" width="18.6640625" customWidth="1"/>
    <col min="24" max="24" width="17.6640625" customWidth="1"/>
    <col min="25" max="25" width="21.33203125" customWidth="1"/>
    <col min="26" max="31" width="15.88671875" customWidth="1"/>
    <col min="32" max="32" width="18.33203125" customWidth="1"/>
    <col min="33" max="33" width="16.6640625" customWidth="1"/>
    <col min="34" max="34" width="13.33203125" bestFit="1" customWidth="1"/>
    <col min="35" max="35" width="13.33203125" customWidth="1"/>
    <col min="36" max="36" width="16" customWidth="1"/>
    <col min="37" max="37" width="13.33203125" bestFit="1" customWidth="1"/>
    <col min="38" max="38" width="14.44140625" customWidth="1"/>
    <col min="39" max="39" width="18.33203125" customWidth="1"/>
    <col min="40" max="40" width="20" customWidth="1"/>
    <col min="41" max="41" width="17.44140625" customWidth="1"/>
    <col min="42" max="42" width="15.44140625" customWidth="1"/>
    <col min="43" max="43" width="14" customWidth="1"/>
  </cols>
  <sheetData>
    <row r="1" spans="1:43" ht="21.6" thickBot="1">
      <c r="A1" s="98" t="s">
        <v>22</v>
      </c>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row>
    <row r="2" spans="1:43" ht="18.600000000000001" thickBot="1">
      <c r="A2" s="105" t="s">
        <v>1</v>
      </c>
      <c r="B2" s="106"/>
      <c r="C2" s="106"/>
      <c r="D2" s="106"/>
      <c r="E2" s="106"/>
      <c r="F2" s="106"/>
      <c r="G2" s="106"/>
      <c r="H2" s="106"/>
      <c r="I2" s="106"/>
      <c r="J2" s="106"/>
      <c r="K2" s="106"/>
      <c r="L2" s="106"/>
      <c r="M2" s="106"/>
      <c r="N2" s="106"/>
      <c r="O2" s="106"/>
      <c r="P2" s="106"/>
      <c r="Q2" s="106"/>
      <c r="R2" s="106"/>
      <c r="S2" s="106"/>
      <c r="T2" s="107" t="s">
        <v>170</v>
      </c>
      <c r="U2" s="108"/>
      <c r="V2" s="108"/>
      <c r="W2" s="108"/>
      <c r="X2" s="108"/>
      <c r="Y2" s="108"/>
      <c r="Z2" s="108"/>
      <c r="AA2" s="108"/>
      <c r="AB2" s="108"/>
      <c r="AC2" s="108"/>
      <c r="AD2" s="108"/>
      <c r="AE2" s="108"/>
      <c r="AF2" s="108"/>
      <c r="AG2" s="108"/>
      <c r="AH2" s="108"/>
      <c r="AI2" s="108"/>
      <c r="AJ2" s="108"/>
      <c r="AK2" s="108"/>
      <c r="AL2" s="108"/>
      <c r="AM2" s="108"/>
      <c r="AN2" s="108"/>
      <c r="AO2" s="108"/>
      <c r="AP2" s="108"/>
      <c r="AQ2" s="109"/>
    </row>
    <row r="3" spans="1:43" ht="16.2" thickBot="1">
      <c r="A3" s="102" t="s">
        <v>28</v>
      </c>
      <c r="B3" s="103"/>
      <c r="C3" s="103"/>
      <c r="D3" s="103"/>
      <c r="E3" s="103"/>
      <c r="F3" s="102" t="s">
        <v>31</v>
      </c>
      <c r="G3" s="103"/>
      <c r="H3" s="103"/>
      <c r="I3" s="103"/>
      <c r="J3" s="103"/>
      <c r="K3" s="104"/>
      <c r="L3" s="102" t="s">
        <v>32</v>
      </c>
      <c r="M3" s="103"/>
      <c r="N3" s="103"/>
      <c r="O3" s="103"/>
      <c r="P3" s="102" t="s">
        <v>33</v>
      </c>
      <c r="Q3" s="103"/>
      <c r="R3" s="103"/>
      <c r="S3" s="104"/>
      <c r="T3" s="99" t="s">
        <v>101</v>
      </c>
      <c r="U3" s="101"/>
      <c r="V3" s="99" t="s">
        <v>56</v>
      </c>
      <c r="W3" s="100"/>
      <c r="X3" s="100"/>
      <c r="Y3" s="100"/>
      <c r="Z3" s="100"/>
      <c r="AA3" s="100"/>
      <c r="AB3" s="100"/>
      <c r="AC3" s="100"/>
      <c r="AD3" s="100"/>
      <c r="AE3" s="100"/>
      <c r="AF3" s="101"/>
      <c r="AG3" s="99" t="s">
        <v>57</v>
      </c>
      <c r="AH3" s="100"/>
      <c r="AI3" s="100"/>
      <c r="AJ3" s="101"/>
      <c r="AK3" s="99" t="s">
        <v>58</v>
      </c>
      <c r="AL3" s="100"/>
      <c r="AM3" s="100"/>
      <c r="AN3" s="100"/>
      <c r="AO3" s="100"/>
      <c r="AP3" s="100"/>
      <c r="AQ3" s="100"/>
    </row>
    <row r="4" spans="1:43">
      <c r="A4" s="9" t="s">
        <v>29</v>
      </c>
      <c r="B4" s="9" t="s">
        <v>29</v>
      </c>
      <c r="C4" s="9" t="s">
        <v>29</v>
      </c>
      <c r="D4" s="9" t="s">
        <v>30</v>
      </c>
      <c r="E4" s="9" t="s">
        <v>29</v>
      </c>
      <c r="F4" s="9" t="s">
        <v>29</v>
      </c>
      <c r="G4" s="9" t="s">
        <v>29</v>
      </c>
      <c r="H4" s="9" t="s">
        <v>29</v>
      </c>
      <c r="I4" s="9" t="s">
        <v>29</v>
      </c>
      <c r="J4" s="9" t="s">
        <v>29</v>
      </c>
      <c r="K4" s="9" t="s">
        <v>29</v>
      </c>
      <c r="L4" s="9" t="s">
        <v>29</v>
      </c>
      <c r="M4" s="9" t="s">
        <v>29</v>
      </c>
      <c r="N4" s="97" t="s">
        <v>34</v>
      </c>
      <c r="O4" s="97"/>
      <c r="P4" s="9" t="s">
        <v>29</v>
      </c>
      <c r="Q4" s="9" t="s">
        <v>29</v>
      </c>
      <c r="R4" s="9" t="s">
        <v>29</v>
      </c>
      <c r="S4" s="9" t="s">
        <v>30</v>
      </c>
      <c r="T4" s="9" t="s">
        <v>29</v>
      </c>
      <c r="U4" s="9" t="s">
        <v>29</v>
      </c>
      <c r="V4" s="9" t="s">
        <v>29</v>
      </c>
      <c r="W4" s="97" t="s">
        <v>34</v>
      </c>
      <c r="X4" s="97"/>
      <c r="Y4" s="9" t="s">
        <v>29</v>
      </c>
      <c r="Z4" s="9" t="s">
        <v>29</v>
      </c>
      <c r="AA4" s="9" t="s">
        <v>29</v>
      </c>
      <c r="AB4" s="97" t="s">
        <v>34</v>
      </c>
      <c r="AC4" s="97"/>
      <c r="AD4" s="9" t="s">
        <v>29</v>
      </c>
      <c r="AE4" s="9" t="s">
        <v>29</v>
      </c>
      <c r="AF4" s="9"/>
      <c r="AG4" s="9" t="s">
        <v>29</v>
      </c>
      <c r="AH4" s="9" t="s">
        <v>30</v>
      </c>
      <c r="AI4" s="9" t="s">
        <v>29</v>
      </c>
      <c r="AJ4" s="9" t="s">
        <v>29</v>
      </c>
      <c r="AK4" s="9" t="s">
        <v>30</v>
      </c>
      <c r="AL4" s="9" t="s">
        <v>30</v>
      </c>
      <c r="AM4" s="9" t="s">
        <v>29</v>
      </c>
      <c r="AN4" s="9" t="s">
        <v>29</v>
      </c>
      <c r="AO4" s="9" t="s">
        <v>29</v>
      </c>
      <c r="AP4" s="9" t="s">
        <v>29</v>
      </c>
      <c r="AQ4" s="9" t="s">
        <v>29</v>
      </c>
    </row>
    <row r="5" spans="1:43" s="33" customFormat="1" ht="57.6">
      <c r="A5" s="8" t="s">
        <v>23</v>
      </c>
      <c r="B5" s="8" t="s">
        <v>157</v>
      </c>
      <c r="C5" s="8" t="s">
        <v>156</v>
      </c>
      <c r="D5" s="8" t="s">
        <v>24</v>
      </c>
      <c r="E5" s="8" t="s">
        <v>25</v>
      </c>
      <c r="F5" s="8" t="s">
        <v>35</v>
      </c>
      <c r="G5" s="8" t="s">
        <v>36</v>
      </c>
      <c r="H5" s="8" t="s">
        <v>37</v>
      </c>
      <c r="I5" s="8" t="s">
        <v>38</v>
      </c>
      <c r="J5" s="8" t="s">
        <v>39</v>
      </c>
      <c r="K5" s="8" t="s">
        <v>40</v>
      </c>
      <c r="L5" s="8" t="s">
        <v>41</v>
      </c>
      <c r="M5" s="8" t="s">
        <v>42</v>
      </c>
      <c r="N5" s="8" t="s">
        <v>155</v>
      </c>
      <c r="O5" s="8" t="s">
        <v>154</v>
      </c>
      <c r="P5" s="8" t="s">
        <v>43</v>
      </c>
      <c r="Q5" s="8" t="s">
        <v>44</v>
      </c>
      <c r="R5" s="8" t="s">
        <v>45</v>
      </c>
      <c r="S5" s="8" t="s">
        <v>46</v>
      </c>
      <c r="T5" s="8" t="s">
        <v>147</v>
      </c>
      <c r="U5" s="37" t="s">
        <v>150</v>
      </c>
      <c r="V5" s="8" t="s">
        <v>165</v>
      </c>
      <c r="W5" s="8" t="s">
        <v>164</v>
      </c>
      <c r="X5" s="8" t="s">
        <v>158</v>
      </c>
      <c r="Y5" s="8" t="s">
        <v>166</v>
      </c>
      <c r="Z5" s="8" t="s">
        <v>163</v>
      </c>
      <c r="AA5" s="8" t="s">
        <v>159</v>
      </c>
      <c r="AB5" s="8" t="s">
        <v>160</v>
      </c>
      <c r="AC5" s="8" t="s">
        <v>161</v>
      </c>
      <c r="AD5" s="8" t="s">
        <v>162</v>
      </c>
      <c r="AE5" s="8" t="s">
        <v>167</v>
      </c>
      <c r="AF5" s="8" t="s">
        <v>60</v>
      </c>
      <c r="AG5" s="8" t="s">
        <v>61</v>
      </c>
      <c r="AH5" s="8" t="s">
        <v>62</v>
      </c>
      <c r="AI5" s="8" t="s">
        <v>63</v>
      </c>
      <c r="AJ5" s="8" t="s">
        <v>64</v>
      </c>
      <c r="AK5" s="8" t="s">
        <v>65</v>
      </c>
      <c r="AL5" s="8" t="s">
        <v>66</v>
      </c>
      <c r="AM5" s="8" t="s">
        <v>67</v>
      </c>
      <c r="AN5" s="8" t="s">
        <v>68</v>
      </c>
      <c r="AO5" s="8" t="s">
        <v>69</v>
      </c>
      <c r="AP5" s="8" t="s">
        <v>70</v>
      </c>
      <c r="AQ5" s="8" t="s">
        <v>71</v>
      </c>
    </row>
    <row r="6" spans="1:43" ht="20.100000000000001" customHeight="1">
      <c r="A6" s="26" t="s">
        <v>172</v>
      </c>
      <c r="B6" t="s">
        <v>428</v>
      </c>
      <c r="C6" t="s">
        <v>429</v>
      </c>
      <c r="D6" s="27">
        <v>43346</v>
      </c>
      <c r="E6" t="s">
        <v>819</v>
      </c>
      <c r="F6" t="s">
        <v>825</v>
      </c>
      <c r="G6" t="s">
        <v>1116</v>
      </c>
      <c r="H6" s="26">
        <v>2200</v>
      </c>
      <c r="I6" s="26" t="s">
        <v>1506</v>
      </c>
      <c r="J6" s="26"/>
      <c r="K6" s="26">
        <v>37</v>
      </c>
      <c r="L6" s="39">
        <v>31.75</v>
      </c>
      <c r="M6" s="39"/>
      <c r="N6" s="44">
        <v>38</v>
      </c>
      <c r="O6" s="40">
        <v>44.2</v>
      </c>
      <c r="P6" s="26" t="s">
        <v>1167</v>
      </c>
      <c r="Q6" s="45">
        <v>16</v>
      </c>
      <c r="R6" s="26">
        <v>17</v>
      </c>
      <c r="S6" s="26"/>
      <c r="T6">
        <v>30519</v>
      </c>
      <c r="U6" s="46">
        <f>Table1[[#This Row],[FTE Annual salary rate]]/Table1[[#This Row],[Full time hours for role]]*Table1[[#This Row],[Weekly Hours ]]/52.14285*Table1[[#This Row],[EQWP/ TTO Weeks paid per year]]</f>
        <v>22199.327035820439</v>
      </c>
      <c r="V6" s="26"/>
      <c r="W6" s="26"/>
      <c r="X6" s="26"/>
      <c r="Y6" s="31"/>
      <c r="Z6" s="26"/>
      <c r="AA6" s="11"/>
      <c r="AB6" s="11"/>
      <c r="AC6" s="11"/>
      <c r="AD6" s="11"/>
      <c r="AE6" s="11"/>
      <c r="AF6" s="26"/>
      <c r="AG6" s="26" t="s">
        <v>48</v>
      </c>
      <c r="AH6" s="11" t="b">
        <v>0</v>
      </c>
      <c r="AI6" s="26"/>
      <c r="AJ6" s="26"/>
      <c r="AK6" t="s">
        <v>54</v>
      </c>
      <c r="AL6" s="86">
        <v>30303</v>
      </c>
      <c r="AM6" s="26" t="s">
        <v>50</v>
      </c>
      <c r="AN6" s="26"/>
      <c r="AO6" s="31"/>
      <c r="AP6" s="11" t="b">
        <v>0</v>
      </c>
      <c r="AQ6" s="11" t="b">
        <v>0</v>
      </c>
    </row>
    <row r="7" spans="1:43" ht="20.100000000000001" customHeight="1">
      <c r="A7" s="26" t="s">
        <v>172</v>
      </c>
      <c r="B7" t="s">
        <v>428</v>
      </c>
      <c r="C7" t="s">
        <v>429</v>
      </c>
      <c r="D7" s="27">
        <v>43346</v>
      </c>
      <c r="E7" t="s">
        <v>819</v>
      </c>
      <c r="F7" t="s">
        <v>826</v>
      </c>
      <c r="G7" t="s">
        <v>1117</v>
      </c>
      <c r="H7" s="26">
        <v>2700</v>
      </c>
      <c r="I7" s="26" t="s">
        <v>1508</v>
      </c>
      <c r="J7" s="26"/>
      <c r="K7" s="26">
        <v>37</v>
      </c>
      <c r="L7" s="39">
        <v>3.75</v>
      </c>
      <c r="M7" s="39"/>
      <c r="N7" s="44">
        <v>38</v>
      </c>
      <c r="O7" s="40">
        <v>44.2</v>
      </c>
      <c r="P7" s="26" t="s">
        <v>1167</v>
      </c>
      <c r="Q7" s="45">
        <v>4</v>
      </c>
      <c r="R7" s="26">
        <v>4</v>
      </c>
      <c r="S7" s="26"/>
      <c r="T7">
        <v>25185</v>
      </c>
      <c r="U7" s="46">
        <f>Table1[[#This Row],[FTE Annual salary rate]]/Table1[[#This Row],[Full time hours for role]]*Table1[[#This Row],[Weekly Hours ]]/52.14285*Table1[[#This Row],[EQWP/ TTO Weeks paid per year]]</f>
        <v>2163.7097558580563</v>
      </c>
      <c r="V7" s="26"/>
      <c r="W7" s="26"/>
      <c r="X7" s="26"/>
      <c r="Y7" s="31"/>
      <c r="Z7" s="26"/>
      <c r="AA7" s="11"/>
      <c r="AB7" s="11"/>
      <c r="AC7" s="11"/>
      <c r="AD7" s="11"/>
      <c r="AE7" s="11"/>
      <c r="AF7" s="26"/>
      <c r="AG7" s="26" t="s">
        <v>48</v>
      </c>
      <c r="AH7" s="26" t="b">
        <v>1</v>
      </c>
      <c r="AI7" s="26"/>
      <c r="AJ7" s="26"/>
      <c r="AK7" t="s">
        <v>54</v>
      </c>
      <c r="AL7" s="86">
        <v>30303</v>
      </c>
      <c r="AM7" s="26" t="s">
        <v>50</v>
      </c>
      <c r="AN7" s="26"/>
      <c r="AO7" s="31"/>
      <c r="AP7" s="11" t="b">
        <v>0</v>
      </c>
      <c r="AQ7" s="11" t="b">
        <v>0</v>
      </c>
    </row>
    <row r="8" spans="1:43" ht="20.100000000000001" customHeight="1">
      <c r="A8" s="26" t="s">
        <v>173</v>
      </c>
      <c r="B8" t="s">
        <v>428</v>
      </c>
      <c r="C8" t="s">
        <v>430</v>
      </c>
      <c r="D8" s="27">
        <v>42248</v>
      </c>
      <c r="E8" t="s">
        <v>820</v>
      </c>
      <c r="F8" t="s">
        <v>827</v>
      </c>
      <c r="G8" t="s">
        <v>1118</v>
      </c>
      <c r="H8" s="26">
        <v>2000</v>
      </c>
      <c r="I8" s="26" t="s">
        <v>1507</v>
      </c>
      <c r="J8" s="26"/>
      <c r="K8" s="26">
        <v>32.43</v>
      </c>
      <c r="L8" s="49">
        <v>16.215</v>
      </c>
      <c r="M8" s="39"/>
      <c r="N8" s="44" t="s">
        <v>1115</v>
      </c>
      <c r="O8" s="40" t="s">
        <v>1115</v>
      </c>
      <c r="P8" s="26" t="s">
        <v>1161</v>
      </c>
      <c r="Q8" s="45">
        <v>2</v>
      </c>
      <c r="R8" s="26" t="s">
        <v>52</v>
      </c>
      <c r="S8" s="26"/>
      <c r="T8">
        <v>49232</v>
      </c>
      <c r="U8" s="46">
        <f>Table1[[#This Row],[FTE Annual salary rate]]*16.215/32.43</f>
        <v>24616</v>
      </c>
      <c r="V8" s="26"/>
      <c r="W8" s="26"/>
      <c r="X8" s="26"/>
      <c r="Y8" s="31"/>
      <c r="Z8" s="26"/>
      <c r="AA8" s="11"/>
      <c r="AB8" s="11"/>
      <c r="AC8" s="11"/>
      <c r="AD8" s="11"/>
      <c r="AE8" s="11"/>
      <c r="AF8" s="26"/>
      <c r="AG8" s="11" t="s">
        <v>53</v>
      </c>
      <c r="AH8" s="11" t="b">
        <v>0</v>
      </c>
      <c r="AI8" s="26"/>
      <c r="AJ8" s="26"/>
      <c r="AK8" t="s">
        <v>54</v>
      </c>
      <c r="AL8" s="44" t="s">
        <v>1250</v>
      </c>
      <c r="AM8" s="26" t="s">
        <v>50</v>
      </c>
      <c r="AN8" s="26"/>
      <c r="AO8" s="31"/>
      <c r="AP8" s="11" t="b">
        <v>0</v>
      </c>
      <c r="AQ8" s="11" t="b">
        <v>0</v>
      </c>
    </row>
    <row r="9" spans="1:43" ht="20.100000000000001" customHeight="1">
      <c r="A9" s="26" t="s">
        <v>174</v>
      </c>
      <c r="B9" t="s">
        <v>431</v>
      </c>
      <c r="C9" t="s">
        <v>432</v>
      </c>
      <c r="D9" s="27">
        <v>43495</v>
      </c>
      <c r="E9" t="s">
        <v>821</v>
      </c>
      <c r="F9" t="s">
        <v>828</v>
      </c>
      <c r="G9" t="s">
        <v>1119</v>
      </c>
      <c r="H9" s="26">
        <v>2820</v>
      </c>
      <c r="I9" s="26" t="s">
        <v>1509</v>
      </c>
      <c r="J9" s="26"/>
      <c r="K9" s="26">
        <v>37</v>
      </c>
      <c r="L9" s="39">
        <v>6.25</v>
      </c>
      <c r="M9" s="39"/>
      <c r="N9" s="44">
        <v>38</v>
      </c>
      <c r="O9" s="40">
        <v>44.2</v>
      </c>
      <c r="P9" s="26" t="s">
        <v>1167</v>
      </c>
      <c r="Q9" s="45">
        <v>4</v>
      </c>
      <c r="R9" s="26">
        <v>4</v>
      </c>
      <c r="S9" s="26"/>
      <c r="T9">
        <v>25185</v>
      </c>
      <c r="U9" s="46">
        <f>Table1[[#This Row],[FTE Annual salary rate]]/Table1[[#This Row],[Full time hours for role]]*Table1[[#This Row],[Weekly Hours ]]/52.14285*Table1[[#This Row],[EQWP/ TTO Weeks paid per year]]</f>
        <v>3606.1829264300932</v>
      </c>
      <c r="V9" s="26"/>
      <c r="W9" s="26"/>
      <c r="X9" s="26"/>
      <c r="Y9" s="31"/>
      <c r="Z9" s="26"/>
      <c r="AA9" s="11"/>
      <c r="AB9" s="11"/>
      <c r="AC9" s="11"/>
      <c r="AD9" s="11"/>
      <c r="AE9" s="11"/>
      <c r="AF9" s="26"/>
      <c r="AG9" s="26" t="s">
        <v>48</v>
      </c>
      <c r="AH9" s="11" t="b">
        <v>0</v>
      </c>
      <c r="AI9" s="26"/>
      <c r="AJ9" s="26"/>
      <c r="AK9" t="s">
        <v>54</v>
      </c>
      <c r="AL9" s="44" t="s">
        <v>1251</v>
      </c>
      <c r="AM9" s="26" t="s">
        <v>50</v>
      </c>
      <c r="AN9" s="26"/>
      <c r="AO9" s="31"/>
      <c r="AP9" s="11" t="b">
        <v>0</v>
      </c>
      <c r="AQ9" s="11" t="b">
        <v>0</v>
      </c>
    </row>
    <row r="10" spans="1:43" ht="20.100000000000001" customHeight="1">
      <c r="A10" s="26" t="s">
        <v>174</v>
      </c>
      <c r="B10" t="s">
        <v>431</v>
      </c>
      <c r="C10" t="s">
        <v>432</v>
      </c>
      <c r="D10" s="27">
        <v>43495</v>
      </c>
      <c r="E10" t="s">
        <v>821</v>
      </c>
      <c r="F10" t="s">
        <v>829</v>
      </c>
      <c r="G10" t="s">
        <v>1120</v>
      </c>
      <c r="H10" s="26">
        <v>2200</v>
      </c>
      <c r="I10" s="26" t="s">
        <v>1506</v>
      </c>
      <c r="J10" s="26"/>
      <c r="K10" s="26">
        <v>37</v>
      </c>
      <c r="L10" s="39">
        <v>10</v>
      </c>
      <c r="M10" s="39"/>
      <c r="N10" s="44">
        <v>38</v>
      </c>
      <c r="O10" s="40">
        <v>44.2</v>
      </c>
      <c r="P10" s="26" t="s">
        <v>1167</v>
      </c>
      <c r="Q10" s="45">
        <v>6</v>
      </c>
      <c r="R10" s="26">
        <v>6</v>
      </c>
      <c r="S10" s="26"/>
      <c r="T10">
        <v>25989</v>
      </c>
      <c r="U10" s="46">
        <f>Table1[[#This Row],[FTE Annual salary rate]]/Table1[[#This Row],[Full time hours for role]]*Table1[[#This Row],[Weekly Hours ]]/52.14285*Table1[[#This Row],[EQWP/ TTO Weeks paid per year]]</f>
        <v>5954.0893754213521</v>
      </c>
      <c r="V10" s="26"/>
      <c r="W10" s="26"/>
      <c r="X10" s="26"/>
      <c r="Y10" s="31"/>
      <c r="Z10" s="26"/>
      <c r="AA10" s="11"/>
      <c r="AB10" s="11"/>
      <c r="AC10" s="11"/>
      <c r="AD10" s="11"/>
      <c r="AE10" s="11"/>
      <c r="AF10" s="26"/>
      <c r="AG10" s="26" t="s">
        <v>48</v>
      </c>
      <c r="AH10" s="11" t="b">
        <v>0</v>
      </c>
      <c r="AI10" s="26"/>
      <c r="AJ10" s="26"/>
      <c r="AK10" t="s">
        <v>54</v>
      </c>
      <c r="AL10" s="44" t="s">
        <v>1251</v>
      </c>
      <c r="AM10" s="26" t="s">
        <v>50</v>
      </c>
      <c r="AN10" s="26"/>
      <c r="AO10" s="31"/>
      <c r="AP10" s="11" t="b">
        <v>0</v>
      </c>
      <c r="AQ10" s="11" t="b">
        <v>0</v>
      </c>
    </row>
    <row r="11" spans="1:43" ht="20.100000000000001" customHeight="1">
      <c r="A11" s="26" t="s">
        <v>174</v>
      </c>
      <c r="B11" t="s">
        <v>431</v>
      </c>
      <c r="C11" t="s">
        <v>432</v>
      </c>
      <c r="D11" s="27">
        <v>43495</v>
      </c>
      <c r="E11" t="s">
        <v>821</v>
      </c>
      <c r="F11" t="s">
        <v>830</v>
      </c>
      <c r="G11" t="s">
        <v>1121</v>
      </c>
      <c r="H11" s="26">
        <v>2740</v>
      </c>
      <c r="I11" s="26" t="s">
        <v>1510</v>
      </c>
      <c r="J11" s="26"/>
      <c r="K11" s="26">
        <v>37</v>
      </c>
      <c r="L11" s="39">
        <v>12</v>
      </c>
      <c r="M11" s="39"/>
      <c r="N11" s="44">
        <v>38</v>
      </c>
      <c r="O11" s="40">
        <v>44.2</v>
      </c>
      <c r="P11" s="26" t="s">
        <v>1167</v>
      </c>
      <c r="Q11" s="45">
        <v>5</v>
      </c>
      <c r="R11" s="26">
        <v>6</v>
      </c>
      <c r="S11" s="26"/>
      <c r="T11">
        <v>25584</v>
      </c>
      <c r="U11" s="46">
        <f>Table1[[#This Row],[FTE Annual salary rate]]/Table1[[#This Row],[Full time hours for role]]*Table1[[#This Row],[Weekly Hours ]]/52.14285*Table1[[#This Row],[EQWP/ TTO Weeks paid per year]]</f>
        <v>7033.5644733131639</v>
      </c>
      <c r="V11" s="26"/>
      <c r="W11" s="26"/>
      <c r="X11" s="26"/>
      <c r="Y11" s="31"/>
      <c r="Z11" s="26"/>
      <c r="AA11" s="11"/>
      <c r="AB11" s="11"/>
      <c r="AC11" s="11"/>
      <c r="AD11" s="11"/>
      <c r="AE11" s="11"/>
      <c r="AF11" s="26"/>
      <c r="AG11" s="26" t="s">
        <v>48</v>
      </c>
      <c r="AH11" s="11" t="b">
        <v>0</v>
      </c>
      <c r="AI11" s="26"/>
      <c r="AJ11" s="26"/>
      <c r="AK11" t="s">
        <v>54</v>
      </c>
      <c r="AL11" s="44" t="s">
        <v>1251</v>
      </c>
      <c r="AM11" s="26" t="s">
        <v>50</v>
      </c>
      <c r="AN11" s="26"/>
      <c r="AO11" s="31"/>
      <c r="AP11" s="11" t="b">
        <v>0</v>
      </c>
      <c r="AQ11" s="11" t="b">
        <v>0</v>
      </c>
    </row>
    <row r="12" spans="1:43" ht="20.100000000000001" customHeight="1">
      <c r="A12" s="26" t="s">
        <v>175</v>
      </c>
      <c r="B12" t="s">
        <v>433</v>
      </c>
      <c r="C12" t="s">
        <v>434</v>
      </c>
      <c r="D12" s="27">
        <v>43808</v>
      </c>
      <c r="E12" t="s">
        <v>822</v>
      </c>
      <c r="F12" t="s">
        <v>831</v>
      </c>
      <c r="G12" t="s">
        <v>1117</v>
      </c>
      <c r="H12" s="26">
        <v>2700</v>
      </c>
      <c r="I12" s="26" t="s">
        <v>1508</v>
      </c>
      <c r="J12" s="26"/>
      <c r="K12" s="26">
        <v>37</v>
      </c>
      <c r="L12" s="39">
        <v>6.25</v>
      </c>
      <c r="M12" s="39"/>
      <c r="N12" s="44">
        <v>38</v>
      </c>
      <c r="O12" s="40">
        <v>44.2</v>
      </c>
      <c r="P12" s="26" t="s">
        <v>1167</v>
      </c>
      <c r="Q12" s="45">
        <v>4</v>
      </c>
      <c r="R12" s="26">
        <v>4</v>
      </c>
      <c r="S12" s="26"/>
      <c r="T12">
        <v>25185</v>
      </c>
      <c r="U12" s="46">
        <f>Table1[[#This Row],[FTE Annual salary rate]]/Table1[[#This Row],[Full time hours for role]]*Table1[[#This Row],[Weekly Hours ]]/52.14285*Table1[[#This Row],[EQWP/ TTO Weeks paid per year]]</f>
        <v>3606.1829264300932</v>
      </c>
      <c r="V12" s="26"/>
      <c r="W12" s="26"/>
      <c r="X12" s="26"/>
      <c r="Y12" s="31"/>
      <c r="Z12" s="26"/>
      <c r="AA12" s="11"/>
      <c r="AB12" s="11"/>
      <c r="AC12" s="11"/>
      <c r="AD12" s="11"/>
      <c r="AE12" s="11"/>
      <c r="AF12" s="26"/>
      <c r="AG12" s="26" t="s">
        <v>48</v>
      </c>
      <c r="AH12" s="11" t="b">
        <v>0</v>
      </c>
      <c r="AI12" s="26"/>
      <c r="AJ12" s="26"/>
      <c r="AK12" t="s">
        <v>54</v>
      </c>
      <c r="AL12" s="44" t="s">
        <v>1252</v>
      </c>
      <c r="AM12" s="26" t="s">
        <v>50</v>
      </c>
      <c r="AN12" s="26"/>
      <c r="AO12" s="31"/>
      <c r="AP12" s="11" t="b">
        <v>0</v>
      </c>
      <c r="AQ12" s="11" t="b">
        <v>0</v>
      </c>
    </row>
    <row r="13" spans="1:43" ht="20.100000000000001" customHeight="1">
      <c r="A13" s="26" t="s">
        <v>176</v>
      </c>
      <c r="B13" t="s">
        <v>435</v>
      </c>
      <c r="C13" t="s">
        <v>436</v>
      </c>
      <c r="D13" s="27">
        <v>46036</v>
      </c>
      <c r="E13" t="s">
        <v>823</v>
      </c>
      <c r="F13" t="s">
        <v>832</v>
      </c>
      <c r="G13" t="s">
        <v>1174</v>
      </c>
      <c r="H13" s="26">
        <v>2200</v>
      </c>
      <c r="I13" s="26" t="s">
        <v>1506</v>
      </c>
      <c r="J13" s="26"/>
      <c r="K13" s="26">
        <v>37</v>
      </c>
      <c r="L13" s="39">
        <v>30</v>
      </c>
      <c r="M13" s="39"/>
      <c r="N13" s="44">
        <v>38</v>
      </c>
      <c r="O13" s="40">
        <v>43.3</v>
      </c>
      <c r="P13" s="26" t="s">
        <v>1167</v>
      </c>
      <c r="Q13" s="45">
        <v>7</v>
      </c>
      <c r="R13" s="26">
        <v>9</v>
      </c>
      <c r="S13" s="26"/>
      <c r="T13">
        <v>26403</v>
      </c>
      <c r="U13" s="46">
        <f>Table1[[#This Row],[FTE Annual salary rate]]/Table1[[#This Row],[Full time hours for role]]*Table1[[#This Row],[Weekly Hours ]]/52.14285*Table1[[#This Row],[EQWP/ TTO Weeks paid per year]]</f>
        <v>17777.305582229936</v>
      </c>
      <c r="V13" s="26"/>
      <c r="W13" s="26"/>
      <c r="X13" s="26"/>
      <c r="Y13" s="31"/>
      <c r="Z13" s="26"/>
      <c r="AA13" s="11"/>
      <c r="AB13" s="11"/>
      <c r="AC13" s="11"/>
      <c r="AD13" s="11"/>
      <c r="AE13" s="11"/>
      <c r="AF13" s="26"/>
      <c r="AG13" s="26" t="s">
        <v>48</v>
      </c>
      <c r="AH13" s="11" t="b">
        <v>0</v>
      </c>
      <c r="AI13" s="26"/>
      <c r="AJ13" s="26"/>
      <c r="AK13" t="s">
        <v>54</v>
      </c>
      <c r="AL13" s="44" t="s">
        <v>1253</v>
      </c>
      <c r="AM13" s="26" t="s">
        <v>1186</v>
      </c>
      <c r="AN13" s="26"/>
      <c r="AO13" s="31"/>
      <c r="AP13" s="11" t="b">
        <v>0</v>
      </c>
      <c r="AQ13" s="11" t="b">
        <v>0</v>
      </c>
    </row>
    <row r="14" spans="1:43" ht="20.100000000000001" customHeight="1">
      <c r="A14" s="26" t="s">
        <v>177</v>
      </c>
      <c r="B14" t="s">
        <v>437</v>
      </c>
      <c r="C14" t="s">
        <v>438</v>
      </c>
      <c r="D14" s="27">
        <v>42278</v>
      </c>
      <c r="E14" t="s">
        <v>823</v>
      </c>
      <c r="F14" t="s">
        <v>833</v>
      </c>
      <c r="G14" t="s">
        <v>1123</v>
      </c>
      <c r="H14" s="26">
        <v>2630</v>
      </c>
      <c r="I14" s="26" t="s">
        <v>1511</v>
      </c>
      <c r="J14" s="26"/>
      <c r="K14" s="26">
        <v>37</v>
      </c>
      <c r="L14" s="39">
        <v>24</v>
      </c>
      <c r="M14" s="39"/>
      <c r="N14" s="44">
        <v>39</v>
      </c>
      <c r="O14" s="40">
        <v>45.4</v>
      </c>
      <c r="P14" s="26" t="s">
        <v>1167</v>
      </c>
      <c r="Q14" s="45">
        <v>15</v>
      </c>
      <c r="R14" s="26">
        <v>17</v>
      </c>
      <c r="S14" s="26"/>
      <c r="T14">
        <v>30024</v>
      </c>
      <c r="U14" s="46">
        <f>Table1[[#This Row],[FTE Annual salary rate]]/Table1[[#This Row],[Full time hours for role]]*Table1[[#This Row],[Weekly Hours ]]/52.14285*Table1[[#This Row],[EQWP/ TTO Weeks paid per year]]</f>
        <v>16956.614895945022</v>
      </c>
      <c r="V14" s="26"/>
      <c r="W14" s="26"/>
      <c r="X14" s="26"/>
      <c r="Y14" s="31"/>
      <c r="Z14" s="26"/>
      <c r="AA14" s="11"/>
      <c r="AB14" s="11"/>
      <c r="AC14" s="11"/>
      <c r="AD14" s="11"/>
      <c r="AE14" s="11"/>
      <c r="AF14" s="26"/>
      <c r="AG14" s="26" t="s">
        <v>48</v>
      </c>
      <c r="AH14" s="11" t="b">
        <v>0</v>
      </c>
      <c r="AI14" s="26"/>
      <c r="AJ14" s="26"/>
      <c r="AK14" t="s">
        <v>54</v>
      </c>
      <c r="AL14" s="44" t="s">
        <v>1254</v>
      </c>
      <c r="AM14" s="26" t="s">
        <v>50</v>
      </c>
      <c r="AN14" s="26"/>
      <c r="AO14" s="31"/>
      <c r="AP14" s="11" t="b">
        <v>0</v>
      </c>
      <c r="AQ14" s="11" t="b">
        <v>0</v>
      </c>
    </row>
    <row r="15" spans="1:43" ht="20.100000000000001" customHeight="1">
      <c r="A15" s="26" t="s">
        <v>178</v>
      </c>
      <c r="B15" t="s">
        <v>439</v>
      </c>
      <c r="C15" t="s">
        <v>440</v>
      </c>
      <c r="D15" s="27">
        <v>44865</v>
      </c>
      <c r="E15" t="s">
        <v>821</v>
      </c>
      <c r="F15" t="s">
        <v>834</v>
      </c>
      <c r="G15" t="s">
        <v>1120</v>
      </c>
      <c r="H15" s="26">
        <v>2200</v>
      </c>
      <c r="I15" s="26" t="s">
        <v>1506</v>
      </c>
      <c r="J15" s="26"/>
      <c r="K15" s="26">
        <v>37</v>
      </c>
      <c r="L15" s="39">
        <v>27.5</v>
      </c>
      <c r="M15" s="39"/>
      <c r="N15" s="44">
        <v>38</v>
      </c>
      <c r="O15" s="40">
        <v>43.3</v>
      </c>
      <c r="P15" s="26" t="s">
        <v>1167</v>
      </c>
      <c r="Q15" s="45">
        <v>6</v>
      </c>
      <c r="R15" s="26">
        <v>6</v>
      </c>
      <c r="S15" s="26"/>
      <c r="T15">
        <v>25989</v>
      </c>
      <c r="U15" s="46">
        <f>Table1[[#This Row],[FTE Annual salary rate]]/Table1[[#This Row],[Full time hours for role]]*Table1[[#This Row],[Weekly Hours ]]/52.14285*Table1[[#This Row],[EQWP/ TTO Weeks paid per year]]</f>
        <v>16040.343718966004</v>
      </c>
      <c r="V15" s="26"/>
      <c r="W15" s="26"/>
      <c r="X15" s="26"/>
      <c r="Y15" s="31"/>
      <c r="Z15" s="26"/>
      <c r="AA15" s="11"/>
      <c r="AB15" s="11"/>
      <c r="AC15" s="11"/>
      <c r="AD15" s="11"/>
      <c r="AE15" s="11"/>
      <c r="AF15" s="26"/>
      <c r="AG15" s="26" t="s">
        <v>48</v>
      </c>
      <c r="AH15" s="11" t="b">
        <v>0</v>
      </c>
      <c r="AI15" s="26"/>
      <c r="AJ15" s="26"/>
      <c r="AK15" t="s">
        <v>54</v>
      </c>
      <c r="AL15" s="44" t="s">
        <v>1255</v>
      </c>
      <c r="AM15" s="26" t="s">
        <v>50</v>
      </c>
      <c r="AN15" s="26"/>
      <c r="AO15" s="31"/>
      <c r="AP15" s="11" t="b">
        <v>0</v>
      </c>
      <c r="AQ15" s="11" t="b">
        <v>0</v>
      </c>
    </row>
    <row r="16" spans="1:43" ht="20.100000000000001" customHeight="1">
      <c r="A16" s="26" t="s">
        <v>179</v>
      </c>
      <c r="B16" t="s">
        <v>439</v>
      </c>
      <c r="C16" t="s">
        <v>441</v>
      </c>
      <c r="D16" s="27">
        <v>37865</v>
      </c>
      <c r="E16" t="s">
        <v>821</v>
      </c>
      <c r="F16" t="s">
        <v>835</v>
      </c>
      <c r="G16" t="s">
        <v>1116</v>
      </c>
      <c r="H16" s="26">
        <v>2200</v>
      </c>
      <c r="I16" s="26" t="s">
        <v>1506</v>
      </c>
      <c r="J16" s="26"/>
      <c r="K16" s="26">
        <v>37</v>
      </c>
      <c r="L16" s="39">
        <v>30</v>
      </c>
      <c r="M16" s="39"/>
      <c r="N16" s="44">
        <v>38</v>
      </c>
      <c r="O16" s="40">
        <v>44.8</v>
      </c>
      <c r="P16" s="26" t="s">
        <v>1167</v>
      </c>
      <c r="Q16" s="45">
        <v>17</v>
      </c>
      <c r="R16" s="26">
        <v>17</v>
      </c>
      <c r="S16" s="26"/>
      <c r="T16">
        <v>31022</v>
      </c>
      <c r="U16" s="46">
        <f>Table1[[#This Row],[FTE Annual salary rate]]/Table1[[#This Row],[Full time hours for role]]*Table1[[#This Row],[Weekly Hours ]]/52.14285*Table1[[#This Row],[EQWP/ TTO Weeks paid per year]]</f>
        <v>21610.886040735961</v>
      </c>
      <c r="V16" s="26"/>
      <c r="W16" s="26"/>
      <c r="X16" s="26"/>
      <c r="Y16" s="31"/>
      <c r="Z16" s="26"/>
      <c r="AA16" s="11"/>
      <c r="AB16" s="11"/>
      <c r="AC16" s="11"/>
      <c r="AD16" s="11"/>
      <c r="AE16" s="11"/>
      <c r="AF16" s="26"/>
      <c r="AG16" s="26" t="s">
        <v>48</v>
      </c>
      <c r="AH16" s="11" t="b">
        <v>0</v>
      </c>
      <c r="AI16" s="26"/>
      <c r="AJ16" s="26"/>
      <c r="AK16" t="s">
        <v>54</v>
      </c>
      <c r="AL16" s="44" t="s">
        <v>1256</v>
      </c>
      <c r="AM16" s="26" t="s">
        <v>50</v>
      </c>
      <c r="AN16" s="26"/>
      <c r="AO16" s="31"/>
      <c r="AP16" s="11" t="b">
        <v>0</v>
      </c>
      <c r="AQ16" s="11" t="b">
        <v>0</v>
      </c>
    </row>
    <row r="17" spans="1:43" ht="20.100000000000001" customHeight="1">
      <c r="A17" s="26" t="s">
        <v>180</v>
      </c>
      <c r="B17" t="s">
        <v>439</v>
      </c>
      <c r="C17" t="s">
        <v>442</v>
      </c>
      <c r="D17" s="27">
        <v>45666</v>
      </c>
      <c r="E17" t="s">
        <v>823</v>
      </c>
      <c r="F17" t="s">
        <v>836</v>
      </c>
      <c r="G17" t="s">
        <v>1124</v>
      </c>
      <c r="H17" s="26">
        <v>2200</v>
      </c>
      <c r="I17" s="26" t="s">
        <v>1506</v>
      </c>
      <c r="J17" s="26"/>
      <c r="K17" s="26">
        <v>37</v>
      </c>
      <c r="L17" s="39">
        <v>10</v>
      </c>
      <c r="M17" s="39"/>
      <c r="N17" s="44">
        <v>38</v>
      </c>
      <c r="O17" s="40">
        <v>43.3</v>
      </c>
      <c r="P17" s="26" t="s">
        <v>1167</v>
      </c>
      <c r="Q17" s="45">
        <v>13</v>
      </c>
      <c r="R17" s="26">
        <v>17</v>
      </c>
      <c r="S17" s="26"/>
      <c r="T17">
        <v>29065</v>
      </c>
      <c r="U17" s="46">
        <f>Table1[[#This Row],[FTE Annual salary rate]]/Table1[[#This Row],[Full time hours for role]]*Table1[[#This Row],[Weekly Hours ]]/52.14285*Table1[[#This Row],[EQWP/ TTO Weeks paid per year]]</f>
        <v>6523.21562887441</v>
      </c>
      <c r="V17" s="26"/>
      <c r="W17" s="26"/>
      <c r="X17" s="26"/>
      <c r="Y17" s="31"/>
      <c r="Z17" s="26"/>
      <c r="AA17" s="11"/>
      <c r="AB17" s="11"/>
      <c r="AC17" s="11"/>
      <c r="AD17" s="11"/>
      <c r="AE17" s="11"/>
      <c r="AF17" s="26"/>
      <c r="AG17" s="26" t="s">
        <v>48</v>
      </c>
      <c r="AH17" s="11" t="b">
        <v>0</v>
      </c>
      <c r="AI17" s="26"/>
      <c r="AJ17" s="26"/>
      <c r="AK17" t="s">
        <v>54</v>
      </c>
      <c r="AL17" s="44" t="s">
        <v>1257</v>
      </c>
      <c r="AM17" s="26" t="s">
        <v>50</v>
      </c>
      <c r="AN17" s="26"/>
      <c r="AO17" s="31"/>
      <c r="AP17" s="11" t="b">
        <v>0</v>
      </c>
      <c r="AQ17" s="11" t="b">
        <v>0</v>
      </c>
    </row>
    <row r="18" spans="1:43" ht="20.100000000000001" customHeight="1">
      <c r="A18" s="26" t="s">
        <v>211</v>
      </c>
      <c r="B18" t="s">
        <v>498</v>
      </c>
      <c r="C18" t="s">
        <v>499</v>
      </c>
      <c r="D18" s="27">
        <v>42614</v>
      </c>
      <c r="E18" t="s">
        <v>822</v>
      </c>
      <c r="F18" t="s">
        <v>869</v>
      </c>
      <c r="G18" t="s">
        <v>1120</v>
      </c>
      <c r="H18" s="26">
        <v>2200</v>
      </c>
      <c r="I18" s="26" t="s">
        <v>1506</v>
      </c>
      <c r="J18" s="26"/>
      <c r="K18" s="26">
        <v>37</v>
      </c>
      <c r="L18" s="39">
        <v>32.08</v>
      </c>
      <c r="M18" s="39"/>
      <c r="N18" s="44">
        <v>38</v>
      </c>
      <c r="O18" s="40">
        <v>44.2</v>
      </c>
      <c r="P18" s="26" t="s">
        <v>1167</v>
      </c>
      <c r="Q18" s="45">
        <v>6</v>
      </c>
      <c r="R18" s="26">
        <v>6</v>
      </c>
      <c r="S18" s="26"/>
      <c r="T18">
        <v>25989</v>
      </c>
      <c r="U18" s="46">
        <f>Table1[[#This Row],[FTE Annual salary rate]]/Table1[[#This Row],[Full time hours for role]]*Table1[[#This Row],[Weekly Hours ]]/52.14285*Table1[[#This Row],[EQWP/ TTO Weeks paid per year]]</f>
        <v>19100.718716351694</v>
      </c>
      <c r="V18" s="26" t="s">
        <v>47</v>
      </c>
      <c r="W18" s="26">
        <v>238.44</v>
      </c>
      <c r="X18" s="26">
        <v>238.44</v>
      </c>
      <c r="Y18" s="31"/>
      <c r="Z18" s="26"/>
      <c r="AA18" s="11"/>
      <c r="AB18" s="11"/>
      <c r="AC18" s="11"/>
      <c r="AD18" s="11"/>
      <c r="AE18" s="11"/>
      <c r="AF18" s="26"/>
      <c r="AG18" s="11" t="s">
        <v>48</v>
      </c>
      <c r="AH18" s="11" t="b">
        <v>0</v>
      </c>
      <c r="AI18" s="26"/>
      <c r="AJ18" s="26"/>
      <c r="AK18" t="s">
        <v>54</v>
      </c>
      <c r="AL18" s="44" t="s">
        <v>1288</v>
      </c>
      <c r="AM18" s="26" t="s">
        <v>50</v>
      </c>
      <c r="AN18" s="26"/>
      <c r="AO18" s="31"/>
      <c r="AP18" s="11" t="b">
        <v>0</v>
      </c>
      <c r="AQ18" s="11" t="b">
        <v>0</v>
      </c>
    </row>
    <row r="19" spans="1:43" ht="20.100000000000001" customHeight="1">
      <c r="A19" s="26" t="s">
        <v>182</v>
      </c>
      <c r="B19" t="s">
        <v>445</v>
      </c>
      <c r="C19" t="s">
        <v>446</v>
      </c>
      <c r="D19" s="27">
        <v>45481</v>
      </c>
      <c r="E19" t="s">
        <v>819</v>
      </c>
      <c r="F19" t="s">
        <v>838</v>
      </c>
      <c r="G19" t="s">
        <v>1120</v>
      </c>
      <c r="H19" s="26">
        <v>2200</v>
      </c>
      <c r="I19" s="26" t="s">
        <v>1506</v>
      </c>
      <c r="J19" s="26"/>
      <c r="K19" s="26">
        <v>37</v>
      </c>
      <c r="L19" s="39">
        <v>18</v>
      </c>
      <c r="M19" s="39"/>
      <c r="N19" s="44">
        <v>38</v>
      </c>
      <c r="O19" s="40">
        <v>43.3</v>
      </c>
      <c r="P19" s="26" t="s">
        <v>1167</v>
      </c>
      <c r="Q19" s="45">
        <v>6</v>
      </c>
      <c r="R19" s="26">
        <v>6</v>
      </c>
      <c r="S19" s="26"/>
      <c r="T19">
        <v>25989</v>
      </c>
      <c r="U19" s="46">
        <f>Table1[[#This Row],[FTE Annual salary rate]]/Table1[[#This Row],[Full time hours for role]]*Table1[[#This Row],[Weekly Hours ]]/52.14285*Table1[[#This Row],[EQWP/ TTO Weeks paid per year]]</f>
        <v>10499.134070595926</v>
      </c>
      <c r="V19" s="26"/>
      <c r="W19" s="26"/>
      <c r="X19" s="26"/>
      <c r="Y19" s="31"/>
      <c r="Z19" s="26"/>
      <c r="AA19" s="11"/>
      <c r="AB19" s="11"/>
      <c r="AC19" s="11"/>
      <c r="AD19" s="11"/>
      <c r="AE19" s="11"/>
      <c r="AF19" s="26"/>
      <c r="AG19" s="26" t="s">
        <v>48</v>
      </c>
      <c r="AH19" s="11" t="b">
        <v>0</v>
      </c>
      <c r="AI19" s="26"/>
      <c r="AJ19" s="26"/>
      <c r="AK19" t="s">
        <v>54</v>
      </c>
      <c r="AL19" s="44" t="s">
        <v>1259</v>
      </c>
      <c r="AM19" s="26" t="s">
        <v>50</v>
      </c>
      <c r="AN19" s="26"/>
      <c r="AO19" s="31"/>
      <c r="AP19" s="11" t="b">
        <v>0</v>
      </c>
      <c r="AQ19" s="11" t="b">
        <v>0</v>
      </c>
    </row>
    <row r="20" spans="1:43" ht="20.100000000000001" customHeight="1">
      <c r="A20" s="26" t="s">
        <v>183</v>
      </c>
      <c r="B20" t="s">
        <v>447</v>
      </c>
      <c r="C20" t="s">
        <v>448</v>
      </c>
      <c r="D20" s="27">
        <v>39065</v>
      </c>
      <c r="E20" t="s">
        <v>823</v>
      </c>
      <c r="F20" t="s">
        <v>839</v>
      </c>
      <c r="G20" t="s">
        <v>1126</v>
      </c>
      <c r="H20" s="26">
        <v>2200</v>
      </c>
      <c r="I20" s="26" t="s">
        <v>1506</v>
      </c>
      <c r="J20" s="26"/>
      <c r="K20" s="26">
        <v>37</v>
      </c>
      <c r="L20" s="39">
        <v>16</v>
      </c>
      <c r="M20" s="39"/>
      <c r="N20" s="44">
        <v>38</v>
      </c>
      <c r="O20" s="40">
        <v>44.8</v>
      </c>
      <c r="P20" s="26" t="s">
        <v>1167</v>
      </c>
      <c r="Q20" s="45">
        <v>17</v>
      </c>
      <c r="R20" s="26">
        <v>17</v>
      </c>
      <c r="S20" s="26"/>
      <c r="T20">
        <v>31022</v>
      </c>
      <c r="U20" s="46">
        <f>Table1[[#This Row],[FTE Annual salary rate]]/Table1[[#This Row],[Full time hours for role]]*Table1[[#This Row],[Weekly Hours ]]/52.14285*Table1[[#This Row],[EQWP/ TTO Weeks paid per year]]</f>
        <v>11525.805888392513</v>
      </c>
      <c r="V20" s="26"/>
      <c r="W20" s="26"/>
      <c r="X20" s="26"/>
      <c r="Y20" s="31"/>
      <c r="Z20" s="26"/>
      <c r="AA20" s="11"/>
      <c r="AB20" s="11"/>
      <c r="AC20" s="11"/>
      <c r="AD20" s="11"/>
      <c r="AE20" s="11"/>
      <c r="AF20" s="26"/>
      <c r="AG20" s="26" t="s">
        <v>48</v>
      </c>
      <c r="AH20" s="11" t="b">
        <v>0</v>
      </c>
      <c r="AI20" s="26"/>
      <c r="AJ20" s="26"/>
      <c r="AK20" t="s">
        <v>54</v>
      </c>
      <c r="AL20" s="44" t="s">
        <v>1260</v>
      </c>
      <c r="AM20" s="26" t="s">
        <v>50</v>
      </c>
      <c r="AN20" s="26"/>
      <c r="AO20" s="31"/>
      <c r="AP20" s="11" t="b">
        <v>0</v>
      </c>
      <c r="AQ20" s="11" t="b">
        <v>0</v>
      </c>
    </row>
    <row r="21" spans="1:43" ht="20.100000000000001" customHeight="1">
      <c r="A21" s="26" t="s">
        <v>184</v>
      </c>
      <c r="B21" t="s">
        <v>449</v>
      </c>
      <c r="C21" t="s">
        <v>450</v>
      </c>
      <c r="D21" s="27">
        <v>44075</v>
      </c>
      <c r="E21" t="s">
        <v>820</v>
      </c>
      <c r="F21" t="s">
        <v>840</v>
      </c>
      <c r="G21" t="s">
        <v>1125</v>
      </c>
      <c r="H21" s="26">
        <v>2000</v>
      </c>
      <c r="I21" s="26" t="s">
        <v>1507</v>
      </c>
      <c r="J21" s="26"/>
      <c r="K21" s="26">
        <v>32.43</v>
      </c>
      <c r="L21" s="39">
        <v>32.43</v>
      </c>
      <c r="M21" s="39"/>
      <c r="N21" s="44" t="s">
        <v>1115</v>
      </c>
      <c r="O21" s="40" t="s">
        <v>1115</v>
      </c>
      <c r="P21" s="26" t="s">
        <v>1160</v>
      </c>
      <c r="Q21" s="45">
        <v>6</v>
      </c>
      <c r="R21" s="26" t="s">
        <v>51</v>
      </c>
      <c r="S21" s="26"/>
      <c r="T21">
        <v>45352</v>
      </c>
      <c r="U21" s="46">
        <v>45352</v>
      </c>
      <c r="V21" s="26"/>
      <c r="W21" s="26"/>
      <c r="X21" s="26"/>
      <c r="Y21" s="31"/>
      <c r="Z21" s="26"/>
      <c r="AA21" s="11"/>
      <c r="AB21" s="11"/>
      <c r="AC21" s="11"/>
      <c r="AD21" s="11"/>
      <c r="AE21" s="11"/>
      <c r="AF21" s="26"/>
      <c r="AG21" s="11" t="s">
        <v>53</v>
      </c>
      <c r="AH21" s="11" t="b">
        <v>0</v>
      </c>
      <c r="AI21" s="26"/>
      <c r="AJ21" s="26"/>
      <c r="AK21" t="s">
        <v>49</v>
      </c>
      <c r="AL21" s="44" t="s">
        <v>1261</v>
      </c>
      <c r="AM21" s="26" t="s">
        <v>50</v>
      </c>
      <c r="AN21" s="26"/>
      <c r="AO21" s="31"/>
      <c r="AP21" s="11" t="b">
        <v>0</v>
      </c>
      <c r="AQ21" s="11" t="b">
        <v>0</v>
      </c>
    </row>
    <row r="22" spans="1:43" ht="20.100000000000001" customHeight="1">
      <c r="A22" s="26" t="s">
        <v>185</v>
      </c>
      <c r="B22" t="s">
        <v>451</v>
      </c>
      <c r="C22" t="s">
        <v>452</v>
      </c>
      <c r="D22" s="27">
        <v>45967</v>
      </c>
      <c r="E22" t="s">
        <v>820</v>
      </c>
      <c r="F22" t="s">
        <v>841</v>
      </c>
      <c r="G22" t="s">
        <v>1119</v>
      </c>
      <c r="H22" s="26">
        <v>2820</v>
      </c>
      <c r="I22" s="26" t="s">
        <v>1509</v>
      </c>
      <c r="J22" s="26"/>
      <c r="K22" s="26">
        <v>37</v>
      </c>
      <c r="L22" s="39">
        <v>6.25</v>
      </c>
      <c r="M22" s="39"/>
      <c r="N22" s="44">
        <v>38</v>
      </c>
      <c r="O22" s="40">
        <v>43.3</v>
      </c>
      <c r="P22" s="26" t="s">
        <v>1167</v>
      </c>
      <c r="Q22" s="45">
        <v>3</v>
      </c>
      <c r="R22" s="26">
        <v>4</v>
      </c>
      <c r="S22" s="26"/>
      <c r="T22">
        <v>24796</v>
      </c>
      <c r="U22" s="46">
        <f>Table1[[#This Row],[FTE Annual salary rate]]/Table1[[#This Row],[Full time hours for role]]*Table1[[#This Row],[Weekly Hours ]]/52.14285*Table1[[#This Row],[EQWP/ TTO Weeks paid per year]]</f>
        <v>3478.1879996036873</v>
      </c>
      <c r="V22" s="26"/>
      <c r="W22" s="26"/>
      <c r="X22" s="26"/>
      <c r="Y22" s="31"/>
      <c r="Z22" s="26"/>
      <c r="AA22" s="11"/>
      <c r="AB22" s="11"/>
      <c r="AC22" s="11"/>
      <c r="AD22" s="11"/>
      <c r="AE22" s="11"/>
      <c r="AF22" s="26"/>
      <c r="AG22" s="26" t="s">
        <v>48</v>
      </c>
      <c r="AH22" s="11" t="b">
        <v>0</v>
      </c>
      <c r="AI22" s="26"/>
      <c r="AJ22" s="26"/>
      <c r="AK22" t="s">
        <v>54</v>
      </c>
      <c r="AL22" s="44" t="s">
        <v>1262</v>
      </c>
      <c r="AM22" s="26" t="s">
        <v>50</v>
      </c>
      <c r="AN22" s="26"/>
      <c r="AO22" s="31"/>
      <c r="AP22" s="11" t="b">
        <v>0</v>
      </c>
      <c r="AQ22" s="11" t="b">
        <v>0</v>
      </c>
    </row>
    <row r="23" spans="1:43" ht="20.100000000000001" customHeight="1">
      <c r="A23" s="26" t="s">
        <v>186</v>
      </c>
      <c r="B23" t="s">
        <v>453</v>
      </c>
      <c r="C23" t="s">
        <v>454</v>
      </c>
      <c r="D23" s="27">
        <v>45901</v>
      </c>
      <c r="E23" t="s">
        <v>822</v>
      </c>
      <c r="F23" t="s">
        <v>842</v>
      </c>
      <c r="G23" t="s">
        <v>1116</v>
      </c>
      <c r="H23" s="26">
        <v>2200</v>
      </c>
      <c r="I23" s="26" t="s">
        <v>1506</v>
      </c>
      <c r="J23" s="26"/>
      <c r="K23" s="26">
        <v>37</v>
      </c>
      <c r="L23" s="39">
        <v>31.75</v>
      </c>
      <c r="M23" s="39"/>
      <c r="N23" s="44">
        <v>38</v>
      </c>
      <c r="O23" s="40">
        <v>43.3</v>
      </c>
      <c r="P23" s="26" t="s">
        <v>1167</v>
      </c>
      <c r="Q23" s="45">
        <v>12</v>
      </c>
      <c r="R23" s="26">
        <v>17</v>
      </c>
      <c r="S23" s="26"/>
      <c r="T23">
        <v>28598</v>
      </c>
      <c r="U23" s="46">
        <f>Table1[[#This Row],[FTE Annual salary rate]]/Table1[[#This Row],[Full time hours for role]]*Table1[[#This Row],[Weekly Hours ]]/52.14285*Table1[[#This Row],[EQWP/ TTO Weeks paid per year]]</f>
        <v>20378.43360607939</v>
      </c>
      <c r="V23" s="26"/>
      <c r="W23" s="26"/>
      <c r="X23" s="26"/>
      <c r="Y23" s="31"/>
      <c r="Z23" s="26"/>
      <c r="AA23" s="11"/>
      <c r="AB23" s="11"/>
      <c r="AC23" s="11"/>
      <c r="AD23" s="11"/>
      <c r="AE23" s="11"/>
      <c r="AF23" s="26"/>
      <c r="AG23" s="26" t="s">
        <v>48</v>
      </c>
      <c r="AH23" s="11" t="b">
        <v>0</v>
      </c>
      <c r="AI23" s="26"/>
      <c r="AJ23" s="26"/>
      <c r="AK23" t="s">
        <v>54</v>
      </c>
      <c r="AL23" s="44" t="s">
        <v>1263</v>
      </c>
      <c r="AM23" s="26" t="s">
        <v>50</v>
      </c>
      <c r="AN23" s="26"/>
      <c r="AO23" s="31"/>
      <c r="AP23" s="11" t="b">
        <v>0</v>
      </c>
      <c r="AQ23" s="11" t="b">
        <v>0</v>
      </c>
    </row>
    <row r="24" spans="1:43" ht="20.100000000000001" customHeight="1">
      <c r="A24" s="26" t="s">
        <v>187</v>
      </c>
      <c r="B24" t="s">
        <v>455</v>
      </c>
      <c r="C24" t="s">
        <v>456</v>
      </c>
      <c r="D24" s="27">
        <v>45551</v>
      </c>
      <c r="E24" t="s">
        <v>820</v>
      </c>
      <c r="F24" t="s">
        <v>843</v>
      </c>
      <c r="G24" t="s">
        <v>1127</v>
      </c>
      <c r="H24" s="26">
        <v>2300</v>
      </c>
      <c r="I24" s="26" t="s">
        <v>1512</v>
      </c>
      <c r="J24" s="26"/>
      <c r="K24" s="26">
        <v>37</v>
      </c>
      <c r="L24" s="39">
        <v>0</v>
      </c>
      <c r="M24" s="39"/>
      <c r="N24" s="44">
        <v>41.4</v>
      </c>
      <c r="O24" s="40">
        <v>46.4</v>
      </c>
      <c r="P24" s="26" t="s">
        <v>1170</v>
      </c>
      <c r="Q24" s="44" t="s">
        <v>1169</v>
      </c>
      <c r="R24" s="26" t="s">
        <v>1169</v>
      </c>
      <c r="S24" s="26"/>
      <c r="T24">
        <v>0</v>
      </c>
      <c r="U24" s="46"/>
      <c r="V24" s="26"/>
      <c r="W24" s="26"/>
      <c r="X24" s="26"/>
      <c r="Y24" s="31"/>
      <c r="Z24" s="26"/>
      <c r="AA24" s="11"/>
      <c r="AB24" s="11"/>
      <c r="AC24" s="11"/>
      <c r="AD24" s="11"/>
      <c r="AE24" s="11"/>
      <c r="AF24" s="26"/>
      <c r="AG24" s="26"/>
      <c r="AH24" s="26"/>
      <c r="AI24" s="26"/>
      <c r="AJ24" s="26"/>
      <c r="AK24" t="s">
        <v>49</v>
      </c>
      <c r="AL24" s="44" t="s">
        <v>1264</v>
      </c>
      <c r="AM24" s="26" t="s">
        <v>50</v>
      </c>
      <c r="AN24" s="26"/>
      <c r="AO24" s="31"/>
      <c r="AP24" s="11" t="b">
        <v>0</v>
      </c>
      <c r="AQ24" s="26" t="b">
        <v>1</v>
      </c>
    </row>
    <row r="25" spans="1:43" ht="20.100000000000001" customHeight="1">
      <c r="A25" s="26" t="s">
        <v>188</v>
      </c>
      <c r="B25" t="s">
        <v>457</v>
      </c>
      <c r="C25" t="s">
        <v>458</v>
      </c>
      <c r="D25" s="27">
        <v>38657</v>
      </c>
      <c r="E25" t="s">
        <v>821</v>
      </c>
      <c r="F25" t="s">
        <v>844</v>
      </c>
      <c r="G25" t="s">
        <v>1119</v>
      </c>
      <c r="H25" s="26">
        <v>2820</v>
      </c>
      <c r="I25" s="26" t="s">
        <v>1509</v>
      </c>
      <c r="J25" s="26"/>
      <c r="K25" s="26">
        <v>37</v>
      </c>
      <c r="L25" s="39">
        <v>7.5</v>
      </c>
      <c r="M25" s="39"/>
      <c r="N25" s="44">
        <v>38</v>
      </c>
      <c r="O25" s="40">
        <v>44.8</v>
      </c>
      <c r="P25" s="26" t="s">
        <v>1167</v>
      </c>
      <c r="Q25" s="45">
        <v>4</v>
      </c>
      <c r="R25" s="26">
        <v>4</v>
      </c>
      <c r="S25" s="26"/>
      <c r="T25">
        <v>25185</v>
      </c>
      <c r="U25" s="46">
        <f>Table1[[#This Row],[FTE Annual salary rate]]/Table1[[#This Row],[Full time hours for role]]*Table1[[#This Row],[Weekly Hours ]]/52.14285*Table1[[#This Row],[EQWP/ TTO Weeks paid per year]]</f>
        <v>4386.1627630063758</v>
      </c>
      <c r="V25" s="26"/>
      <c r="W25" s="26"/>
      <c r="X25" s="26"/>
      <c r="Y25" s="31"/>
      <c r="Z25" s="26"/>
      <c r="AA25" s="11"/>
      <c r="AB25" s="11"/>
      <c r="AC25" s="11"/>
      <c r="AD25" s="11"/>
      <c r="AE25" s="11"/>
      <c r="AF25" s="26"/>
      <c r="AG25" s="11" t="b">
        <v>0</v>
      </c>
      <c r="AH25" s="26" t="b">
        <v>1</v>
      </c>
      <c r="AI25" s="26"/>
      <c r="AJ25" s="26"/>
      <c r="AK25" t="s">
        <v>54</v>
      </c>
      <c r="AL25" s="44" t="s">
        <v>1265</v>
      </c>
      <c r="AM25" s="26" t="s">
        <v>50</v>
      </c>
      <c r="AN25" s="26"/>
      <c r="AO25" s="31"/>
      <c r="AP25" s="11" t="b">
        <v>0</v>
      </c>
      <c r="AQ25" s="11" t="b">
        <v>0</v>
      </c>
    </row>
    <row r="26" spans="1:43" ht="20.100000000000001" customHeight="1">
      <c r="A26" s="26" t="s">
        <v>189</v>
      </c>
      <c r="B26" t="s">
        <v>459</v>
      </c>
      <c r="C26" t="s">
        <v>460</v>
      </c>
      <c r="D26" s="27">
        <v>45818</v>
      </c>
      <c r="E26" t="s">
        <v>821</v>
      </c>
      <c r="F26" t="s">
        <v>845</v>
      </c>
      <c r="G26" t="s">
        <v>1127</v>
      </c>
      <c r="H26" s="26">
        <v>2300</v>
      </c>
      <c r="I26" s="26" t="s">
        <v>1512</v>
      </c>
      <c r="J26" s="26"/>
      <c r="K26" s="26">
        <v>37</v>
      </c>
      <c r="L26" s="39">
        <v>12.5</v>
      </c>
      <c r="M26" s="39"/>
      <c r="N26" s="44">
        <v>41.4</v>
      </c>
      <c r="O26" s="40">
        <v>46.4</v>
      </c>
      <c r="P26" s="26" t="s">
        <v>1162</v>
      </c>
      <c r="Q26" s="45">
        <v>1</v>
      </c>
      <c r="R26" s="26">
        <v>1</v>
      </c>
      <c r="S26" s="26"/>
      <c r="T26">
        <v>23557</v>
      </c>
      <c r="U26" s="46">
        <f>Table1[[#This Row],[FTE Annual salary rate]]/Table1[[#This Row],[Full time hours for role]]*Table1[[#This Row],[Weekly Hours ]]/52.14285*Table1[[#This Row],[EQWP/ TTO Weeks paid per year]]</f>
        <v>7081.9276639441805</v>
      </c>
      <c r="V26" s="26"/>
      <c r="W26" s="26"/>
      <c r="X26" s="26"/>
      <c r="Y26" s="31"/>
      <c r="Z26" s="26"/>
      <c r="AA26" s="11"/>
      <c r="AB26" s="11"/>
      <c r="AC26" s="11"/>
      <c r="AD26" s="11"/>
      <c r="AE26" s="11"/>
      <c r="AF26" s="26"/>
      <c r="AG26" s="26" t="s">
        <v>48</v>
      </c>
      <c r="AH26" s="11" t="b">
        <v>0</v>
      </c>
      <c r="AI26" s="26"/>
      <c r="AJ26" s="26"/>
      <c r="AK26" t="s">
        <v>54</v>
      </c>
      <c r="AL26" s="44" t="s">
        <v>1266</v>
      </c>
      <c r="AM26" s="26" t="s">
        <v>50</v>
      </c>
      <c r="AN26" s="26"/>
      <c r="AO26" s="31"/>
      <c r="AP26" s="11" t="b">
        <v>0</v>
      </c>
      <c r="AQ26" s="11" t="b">
        <v>0</v>
      </c>
    </row>
    <row r="27" spans="1:43" ht="20.100000000000001" customHeight="1">
      <c r="A27" s="26" t="s">
        <v>190</v>
      </c>
      <c r="B27" t="s">
        <v>459</v>
      </c>
      <c r="C27" t="s">
        <v>461</v>
      </c>
      <c r="D27" s="27">
        <v>44719</v>
      </c>
      <c r="E27" t="s">
        <v>819</v>
      </c>
      <c r="F27" t="s">
        <v>846</v>
      </c>
      <c r="G27" t="s">
        <v>1128</v>
      </c>
      <c r="H27" s="26">
        <v>2200</v>
      </c>
      <c r="I27" s="26" t="s">
        <v>1506</v>
      </c>
      <c r="J27" s="26"/>
      <c r="K27" s="26">
        <v>37</v>
      </c>
      <c r="L27" s="39">
        <v>31.25</v>
      </c>
      <c r="M27" s="39"/>
      <c r="N27" s="44">
        <v>38</v>
      </c>
      <c r="O27" s="40">
        <v>43.3</v>
      </c>
      <c r="P27" s="26" t="s">
        <v>1167</v>
      </c>
      <c r="Q27" s="45">
        <v>6</v>
      </c>
      <c r="R27" s="26">
        <v>6</v>
      </c>
      <c r="S27" s="26"/>
      <c r="T27">
        <v>25989</v>
      </c>
      <c r="U27" s="46">
        <f>Table1[[#This Row],[FTE Annual salary rate]]/Table1[[#This Row],[Full time hours for role]]*Table1[[#This Row],[Weekly Hours ]]/52.14285*Table1[[#This Row],[EQWP/ TTO Weeks paid per year]]</f>
        <v>18227.66331700682</v>
      </c>
      <c r="V27" s="26"/>
      <c r="W27" s="26"/>
      <c r="X27" s="26"/>
      <c r="Y27" s="31"/>
      <c r="Z27" s="26"/>
      <c r="AA27" s="11"/>
      <c r="AB27" s="11"/>
      <c r="AC27" s="11"/>
      <c r="AD27" s="11"/>
      <c r="AE27" s="11"/>
      <c r="AF27" s="26"/>
      <c r="AG27" s="26" t="s">
        <v>48</v>
      </c>
      <c r="AH27" s="11" t="b">
        <v>0</v>
      </c>
      <c r="AI27" s="26"/>
      <c r="AJ27" s="26"/>
      <c r="AK27" t="s">
        <v>54</v>
      </c>
      <c r="AL27" s="44" t="s">
        <v>1267</v>
      </c>
      <c r="AM27" s="26" t="s">
        <v>50</v>
      </c>
      <c r="AN27" s="26"/>
      <c r="AO27" s="31"/>
      <c r="AP27" s="11" t="b">
        <v>0</v>
      </c>
      <c r="AQ27" s="11" t="b">
        <v>0</v>
      </c>
    </row>
    <row r="28" spans="1:43" ht="20.100000000000001" customHeight="1">
      <c r="A28" s="26" t="s">
        <v>191</v>
      </c>
      <c r="B28" t="s">
        <v>462</v>
      </c>
      <c r="C28" t="s">
        <v>463</v>
      </c>
      <c r="D28" s="27">
        <v>45713</v>
      </c>
      <c r="E28" t="s">
        <v>823</v>
      </c>
      <c r="F28" t="s">
        <v>847</v>
      </c>
      <c r="G28" t="s">
        <v>1119</v>
      </c>
      <c r="H28" s="26">
        <v>2820</v>
      </c>
      <c r="I28" s="26" t="s">
        <v>1509</v>
      </c>
      <c r="J28" s="26"/>
      <c r="K28" s="26">
        <v>37</v>
      </c>
      <c r="L28" s="39">
        <v>6.25</v>
      </c>
      <c r="M28" s="39"/>
      <c r="N28" s="44">
        <v>38</v>
      </c>
      <c r="O28" s="40">
        <v>43.3</v>
      </c>
      <c r="P28" s="26" t="s">
        <v>1167</v>
      </c>
      <c r="Q28" s="45">
        <v>4</v>
      </c>
      <c r="R28" s="26">
        <v>4</v>
      </c>
      <c r="S28" s="26"/>
      <c r="T28">
        <v>25185</v>
      </c>
      <c r="U28" s="46">
        <f>Table1[[#This Row],[FTE Annual salary rate]]/Table1[[#This Row],[Full time hours for role]]*Table1[[#This Row],[Weekly Hours ]]/52.14285*Table1[[#This Row],[EQWP/ TTO Weeks paid per year]]</f>
        <v>3532.7538623172627</v>
      </c>
      <c r="V28" s="26"/>
      <c r="W28" s="26"/>
      <c r="X28" s="26"/>
      <c r="Y28" s="31"/>
      <c r="Z28" s="26"/>
      <c r="AA28" s="11"/>
      <c r="AB28" s="11"/>
      <c r="AC28" s="11"/>
      <c r="AD28" s="11"/>
      <c r="AE28" s="11"/>
      <c r="AF28" s="26"/>
      <c r="AG28" s="26" t="s">
        <v>48</v>
      </c>
      <c r="AH28" s="11" t="b">
        <v>0</v>
      </c>
      <c r="AI28" s="26"/>
      <c r="AJ28" s="26"/>
      <c r="AK28" t="s">
        <v>54</v>
      </c>
      <c r="AL28" s="44" t="s">
        <v>1268</v>
      </c>
      <c r="AM28" s="26" t="s">
        <v>50</v>
      </c>
      <c r="AN28" s="26"/>
      <c r="AO28" s="31"/>
      <c r="AP28" s="11" t="b">
        <v>0</v>
      </c>
      <c r="AQ28" s="11" t="b">
        <v>0</v>
      </c>
    </row>
    <row r="29" spans="1:43" ht="20.100000000000001" customHeight="1">
      <c r="A29" s="26" t="s">
        <v>192</v>
      </c>
      <c r="B29" t="s">
        <v>464</v>
      </c>
      <c r="C29" t="s">
        <v>465</v>
      </c>
      <c r="D29" s="27">
        <v>38169</v>
      </c>
      <c r="E29" t="s">
        <v>824</v>
      </c>
      <c r="F29" t="s">
        <v>848</v>
      </c>
      <c r="G29" t="s">
        <v>1129</v>
      </c>
      <c r="H29" s="26">
        <v>2500</v>
      </c>
      <c r="I29" s="26" t="s">
        <v>1513</v>
      </c>
      <c r="J29" s="26"/>
      <c r="K29" s="26">
        <v>37</v>
      </c>
      <c r="L29" s="39">
        <v>31</v>
      </c>
      <c r="M29" s="39"/>
      <c r="N29" s="44">
        <v>39</v>
      </c>
      <c r="O29" s="40">
        <v>46</v>
      </c>
      <c r="P29" s="26" t="s">
        <v>1167</v>
      </c>
      <c r="Q29" s="45">
        <v>23</v>
      </c>
      <c r="R29" s="26">
        <v>23</v>
      </c>
      <c r="S29" s="26"/>
      <c r="T29">
        <v>34434</v>
      </c>
      <c r="U29" s="46">
        <f>Table1[[#This Row],[FTE Annual salary rate]]/Table1[[#This Row],[Full time hours for role]]*Table1[[#This Row],[Weekly Hours ]]/52.14285*Table1[[#This Row],[EQWP/ TTO Weeks paid per year]]</f>
        <v>25451.331735280539</v>
      </c>
      <c r="V29" s="26"/>
      <c r="W29" s="26"/>
      <c r="X29" s="26"/>
      <c r="Y29" s="31"/>
      <c r="Z29" s="26"/>
      <c r="AA29" s="11"/>
      <c r="AB29" s="11"/>
      <c r="AC29" s="11"/>
      <c r="AD29" s="11"/>
      <c r="AE29" s="11"/>
      <c r="AF29" s="26"/>
      <c r="AG29" s="26" t="s">
        <v>48</v>
      </c>
      <c r="AH29" s="11" t="b">
        <v>0</v>
      </c>
      <c r="AI29" s="26"/>
      <c r="AJ29" s="26"/>
      <c r="AK29" t="s">
        <v>54</v>
      </c>
      <c r="AL29" s="44" t="s">
        <v>1269</v>
      </c>
      <c r="AM29" s="26" t="s">
        <v>50</v>
      </c>
      <c r="AN29" s="26"/>
      <c r="AO29" s="31"/>
      <c r="AP29" s="11" t="b">
        <v>0</v>
      </c>
      <c r="AQ29" s="11" t="b">
        <v>0</v>
      </c>
    </row>
    <row r="30" spans="1:43" ht="20.100000000000001" customHeight="1">
      <c r="A30" s="26" t="s">
        <v>193</v>
      </c>
      <c r="B30" t="s">
        <v>466</v>
      </c>
      <c r="C30" t="s">
        <v>467</v>
      </c>
      <c r="D30" s="27">
        <v>43159</v>
      </c>
      <c r="E30" t="s">
        <v>819</v>
      </c>
      <c r="F30" t="s">
        <v>849</v>
      </c>
      <c r="G30" t="s">
        <v>1120</v>
      </c>
      <c r="H30" s="26">
        <v>2200</v>
      </c>
      <c r="I30" s="26" t="s">
        <v>1506</v>
      </c>
      <c r="J30" s="26"/>
      <c r="K30" s="26">
        <v>37</v>
      </c>
      <c r="L30" s="39">
        <v>22.66</v>
      </c>
      <c r="M30" s="39"/>
      <c r="N30" s="44">
        <v>38</v>
      </c>
      <c r="O30" s="40">
        <v>44.2</v>
      </c>
      <c r="P30" s="26" t="s">
        <v>1167</v>
      </c>
      <c r="Q30" s="45">
        <v>6</v>
      </c>
      <c r="R30" s="26">
        <v>6</v>
      </c>
      <c r="S30" s="26"/>
      <c r="T30">
        <v>25989</v>
      </c>
      <c r="U30" s="46">
        <f>Table1[[#This Row],[FTE Annual salary rate]]/Table1[[#This Row],[Full time hours for role]]*Table1[[#This Row],[Weekly Hours ]]/52.14285*Table1[[#This Row],[EQWP/ TTO Weeks paid per year]]</f>
        <v>13491.966524704781</v>
      </c>
      <c r="V30" s="26"/>
      <c r="W30" s="26"/>
      <c r="X30" s="26"/>
      <c r="Y30" s="31"/>
      <c r="Z30" s="26"/>
      <c r="AA30" s="11"/>
      <c r="AB30" s="11"/>
      <c r="AC30" s="11"/>
      <c r="AD30" s="11"/>
      <c r="AE30" s="11"/>
      <c r="AF30" s="26"/>
      <c r="AG30" s="26" t="s">
        <v>48</v>
      </c>
      <c r="AH30" s="11" t="b">
        <v>0</v>
      </c>
      <c r="AI30" s="26"/>
      <c r="AJ30" s="26"/>
      <c r="AK30" t="s">
        <v>54</v>
      </c>
      <c r="AL30" s="44" t="s">
        <v>1270</v>
      </c>
      <c r="AM30" s="26" t="s">
        <v>50</v>
      </c>
      <c r="AN30" s="26"/>
      <c r="AO30" s="31"/>
      <c r="AP30" s="11" t="b">
        <v>0</v>
      </c>
      <c r="AQ30" s="11" t="b">
        <v>0</v>
      </c>
    </row>
    <row r="31" spans="1:43" ht="20.100000000000001" customHeight="1">
      <c r="A31" s="26" t="s">
        <v>194</v>
      </c>
      <c r="B31" t="s">
        <v>468</v>
      </c>
      <c r="C31" t="s">
        <v>469</v>
      </c>
      <c r="D31" s="27">
        <v>45901</v>
      </c>
      <c r="E31" t="s">
        <v>819</v>
      </c>
      <c r="F31" t="s">
        <v>850</v>
      </c>
      <c r="G31" t="s">
        <v>1125</v>
      </c>
      <c r="H31" s="26">
        <v>2000</v>
      </c>
      <c r="I31" s="26" t="s">
        <v>1507</v>
      </c>
      <c r="J31" s="26"/>
      <c r="K31" s="26">
        <v>32.43</v>
      </c>
      <c r="L31" s="39">
        <v>32.43</v>
      </c>
      <c r="M31" s="39"/>
      <c r="N31" s="44"/>
      <c r="O31" s="40"/>
      <c r="P31" s="26" t="s">
        <v>1160</v>
      </c>
      <c r="Q31" s="45">
        <v>1</v>
      </c>
      <c r="R31" s="26" t="s">
        <v>51</v>
      </c>
      <c r="S31" s="26"/>
      <c r="T31">
        <v>32916</v>
      </c>
      <c r="U31" s="46">
        <v>32916</v>
      </c>
      <c r="V31" s="26"/>
      <c r="W31" s="26"/>
      <c r="X31" s="26"/>
      <c r="Y31" s="31"/>
      <c r="Z31" s="26"/>
      <c r="AA31" s="11"/>
      <c r="AB31" s="11"/>
      <c r="AC31" s="11"/>
      <c r="AD31" s="11"/>
      <c r="AE31" s="11"/>
      <c r="AF31" s="26"/>
      <c r="AG31" s="11" t="s">
        <v>53</v>
      </c>
      <c r="AH31" s="11" t="b">
        <v>0</v>
      </c>
      <c r="AI31" s="26"/>
      <c r="AJ31" s="26"/>
      <c r="AK31" t="s">
        <v>49</v>
      </c>
      <c r="AL31" s="44" t="s">
        <v>1271</v>
      </c>
      <c r="AM31" s="26" t="s">
        <v>1186</v>
      </c>
      <c r="AN31" s="26"/>
      <c r="AO31" s="31"/>
      <c r="AP31" s="11" t="b">
        <v>0</v>
      </c>
      <c r="AQ31" s="11" t="b">
        <v>0</v>
      </c>
    </row>
    <row r="32" spans="1:43" ht="20.100000000000001" customHeight="1">
      <c r="A32" s="26" t="s">
        <v>195</v>
      </c>
      <c r="B32" t="s">
        <v>470</v>
      </c>
      <c r="C32" t="s">
        <v>471</v>
      </c>
      <c r="D32" s="27">
        <v>44805</v>
      </c>
      <c r="E32" t="s">
        <v>822</v>
      </c>
      <c r="F32" t="s">
        <v>851</v>
      </c>
      <c r="G32" t="s">
        <v>1125</v>
      </c>
      <c r="H32" s="26">
        <v>2000</v>
      </c>
      <c r="I32" s="26" t="s">
        <v>1507</v>
      </c>
      <c r="J32" s="26"/>
      <c r="K32" s="26">
        <v>32.43</v>
      </c>
      <c r="L32" s="39">
        <v>32.43</v>
      </c>
      <c r="M32" s="39"/>
      <c r="N32" s="44" t="s">
        <v>1115</v>
      </c>
      <c r="O32" s="40" t="s">
        <v>1115</v>
      </c>
      <c r="P32" s="26" t="s">
        <v>1160</v>
      </c>
      <c r="Q32" s="45">
        <v>4</v>
      </c>
      <c r="R32" s="26" t="s">
        <v>51</v>
      </c>
      <c r="S32" s="26"/>
      <c r="T32">
        <v>39556</v>
      </c>
      <c r="U32" s="46">
        <v>39556</v>
      </c>
      <c r="V32" s="26"/>
      <c r="W32" s="26"/>
      <c r="X32" s="26"/>
      <c r="Y32" s="31"/>
      <c r="Z32" s="26"/>
      <c r="AA32" s="11"/>
      <c r="AB32" s="11"/>
      <c r="AC32" s="11"/>
      <c r="AD32" s="11"/>
      <c r="AE32" s="11"/>
      <c r="AF32" s="26"/>
      <c r="AG32" s="11" t="s">
        <v>53</v>
      </c>
      <c r="AH32" s="11" t="b">
        <v>0</v>
      </c>
      <c r="AI32" s="26"/>
      <c r="AJ32" s="26"/>
      <c r="AK32" t="s">
        <v>54</v>
      </c>
      <c r="AL32" s="44" t="s">
        <v>1272</v>
      </c>
      <c r="AM32" s="26" t="s">
        <v>50</v>
      </c>
      <c r="AN32" s="26"/>
      <c r="AO32" s="31"/>
      <c r="AP32" s="11" t="b">
        <v>0</v>
      </c>
      <c r="AQ32" s="11" t="b">
        <v>0</v>
      </c>
    </row>
    <row r="33" spans="1:43" ht="20.100000000000001" customHeight="1">
      <c r="A33" s="26" t="s">
        <v>196</v>
      </c>
      <c r="B33" t="s">
        <v>472</v>
      </c>
      <c r="C33" t="s">
        <v>473</v>
      </c>
      <c r="D33" s="27">
        <v>43486</v>
      </c>
      <c r="E33" t="s">
        <v>820</v>
      </c>
      <c r="F33" t="s">
        <v>852</v>
      </c>
      <c r="G33" t="s">
        <v>1125</v>
      </c>
      <c r="H33" s="26">
        <v>2000</v>
      </c>
      <c r="I33" s="26" t="s">
        <v>1507</v>
      </c>
      <c r="J33" s="26"/>
      <c r="K33" s="26">
        <v>32.43</v>
      </c>
      <c r="L33" s="49">
        <v>16.215</v>
      </c>
      <c r="M33" s="39"/>
      <c r="N33" s="44" t="s">
        <v>1115</v>
      </c>
      <c r="O33" s="40" t="s">
        <v>1115</v>
      </c>
      <c r="P33" s="26" t="s">
        <v>1160</v>
      </c>
      <c r="Q33" s="45">
        <v>6</v>
      </c>
      <c r="R33" s="26" t="s">
        <v>51</v>
      </c>
      <c r="S33" s="26"/>
      <c r="T33">
        <v>45352</v>
      </c>
      <c r="U33" s="46">
        <f>Table1[[#This Row],[FTE Annual salary rate]]*16.215/32.43</f>
        <v>22676</v>
      </c>
      <c r="V33" s="26"/>
      <c r="W33" s="26"/>
      <c r="X33" s="26"/>
      <c r="Y33" s="31"/>
      <c r="Z33" s="26"/>
      <c r="AA33" s="11"/>
      <c r="AB33" s="11"/>
      <c r="AC33" s="11"/>
      <c r="AD33" s="11"/>
      <c r="AE33" s="11"/>
      <c r="AF33" s="26"/>
      <c r="AG33" s="11" t="s">
        <v>53</v>
      </c>
      <c r="AH33" s="11" t="b">
        <v>0</v>
      </c>
      <c r="AI33" s="26"/>
      <c r="AJ33" s="26"/>
      <c r="AK33" t="s">
        <v>54</v>
      </c>
      <c r="AL33" s="44" t="s">
        <v>1273</v>
      </c>
      <c r="AM33" s="26" t="s">
        <v>50</v>
      </c>
      <c r="AN33" s="26"/>
      <c r="AO33" s="31"/>
      <c r="AP33" s="11" t="b">
        <v>0</v>
      </c>
      <c r="AQ33" s="11" t="b">
        <v>0</v>
      </c>
    </row>
    <row r="34" spans="1:43" ht="20.100000000000001" customHeight="1">
      <c r="A34" s="26" t="s">
        <v>197</v>
      </c>
      <c r="B34" t="s">
        <v>474</v>
      </c>
      <c r="C34" t="s">
        <v>475</v>
      </c>
      <c r="D34" s="27">
        <v>40577</v>
      </c>
      <c r="E34" t="s">
        <v>823</v>
      </c>
      <c r="F34" t="s">
        <v>853</v>
      </c>
      <c r="G34" t="s">
        <v>1130</v>
      </c>
      <c r="H34" s="26">
        <v>2630</v>
      </c>
      <c r="I34" s="26" t="s">
        <v>1511</v>
      </c>
      <c r="J34" s="26"/>
      <c r="K34" s="26">
        <v>37</v>
      </c>
      <c r="L34" s="39">
        <v>37</v>
      </c>
      <c r="M34" s="39"/>
      <c r="N34" s="44">
        <v>40.6</v>
      </c>
      <c r="O34" s="40">
        <v>47.8</v>
      </c>
      <c r="P34" s="26" t="s">
        <v>1167</v>
      </c>
      <c r="Q34" s="45">
        <v>23</v>
      </c>
      <c r="R34" s="26">
        <v>23</v>
      </c>
      <c r="S34" s="26"/>
      <c r="T34">
        <v>34434</v>
      </c>
      <c r="U34" s="46">
        <f>Table1[[#This Row],[FTE Annual salary rate]]/Table1[[#This Row],[Full time hours for role]]*Table1[[#This Row],[Weekly Hours ]]/52.14285*Table1[[#This Row],[EQWP/ TTO Weeks paid per year]]</f>
        <v>31566.076652887212</v>
      </c>
      <c r="V34" s="26"/>
      <c r="W34" s="26"/>
      <c r="X34" s="26"/>
      <c r="Y34" s="31"/>
      <c r="Z34" s="26"/>
      <c r="AA34" s="11"/>
      <c r="AB34" s="11"/>
      <c r="AC34" s="11"/>
      <c r="AD34" s="11"/>
      <c r="AE34" s="11"/>
      <c r="AF34" s="26"/>
      <c r="AG34" s="26" t="s">
        <v>48</v>
      </c>
      <c r="AH34" s="11" t="b">
        <v>0</v>
      </c>
      <c r="AI34" s="26"/>
      <c r="AJ34" s="26"/>
      <c r="AK34" t="s">
        <v>49</v>
      </c>
      <c r="AL34" s="44" t="s">
        <v>1274</v>
      </c>
      <c r="AM34" s="26" t="s">
        <v>50</v>
      </c>
      <c r="AN34" s="26"/>
      <c r="AO34" s="31"/>
      <c r="AP34" s="11" t="b">
        <v>0</v>
      </c>
      <c r="AQ34" s="11" t="b">
        <v>0</v>
      </c>
    </row>
    <row r="35" spans="1:43" ht="20.100000000000001" customHeight="1">
      <c r="A35" s="26" t="s">
        <v>198</v>
      </c>
      <c r="B35" t="s">
        <v>476</v>
      </c>
      <c r="C35" t="s">
        <v>477</v>
      </c>
      <c r="D35" s="27">
        <v>44676</v>
      </c>
      <c r="E35" t="s">
        <v>822</v>
      </c>
      <c r="F35" t="s">
        <v>854</v>
      </c>
      <c r="G35" t="s">
        <v>1131</v>
      </c>
      <c r="H35" s="26">
        <v>2300</v>
      </c>
      <c r="I35" s="26" t="s">
        <v>1512</v>
      </c>
      <c r="J35" s="26"/>
      <c r="K35" s="26">
        <v>37</v>
      </c>
      <c r="L35" s="39">
        <v>12.5</v>
      </c>
      <c r="M35" s="39"/>
      <c r="N35" s="44">
        <v>41.4</v>
      </c>
      <c r="O35" s="40">
        <v>46.4</v>
      </c>
      <c r="P35" s="26" t="s">
        <v>1162</v>
      </c>
      <c r="Q35" s="45">
        <v>2</v>
      </c>
      <c r="R35" s="26">
        <v>2</v>
      </c>
      <c r="S35" s="26"/>
      <c r="T35">
        <v>24404</v>
      </c>
      <c r="U35" s="46">
        <f>Table1[[#This Row],[FTE Annual salary rate]]/Table1[[#This Row],[Full time hours for role]]*Table1[[#This Row],[Weekly Hours ]]/52.14285*Table1[[#This Row],[EQWP/ TTO Weeks paid per year]]</f>
        <v>7336.5607976777101</v>
      </c>
      <c r="V35" s="26"/>
      <c r="W35" s="26"/>
      <c r="X35" s="26"/>
      <c r="Y35" s="31"/>
      <c r="Z35" s="26"/>
      <c r="AA35" s="11"/>
      <c r="AB35" s="11"/>
      <c r="AC35" s="11"/>
      <c r="AD35" s="11"/>
      <c r="AE35" s="11"/>
      <c r="AF35" s="26"/>
      <c r="AG35" s="26" t="s">
        <v>48</v>
      </c>
      <c r="AH35" s="11" t="b">
        <v>0</v>
      </c>
      <c r="AI35" s="26"/>
      <c r="AJ35" s="26"/>
      <c r="AK35" t="s">
        <v>54</v>
      </c>
      <c r="AL35" s="44" t="s">
        <v>1275</v>
      </c>
      <c r="AM35" s="26" t="s">
        <v>50</v>
      </c>
      <c r="AN35" s="26"/>
      <c r="AO35" s="31"/>
      <c r="AP35" s="11" t="b">
        <v>0</v>
      </c>
      <c r="AQ35" s="11" t="b">
        <v>0</v>
      </c>
    </row>
    <row r="36" spans="1:43" ht="20.100000000000001" customHeight="1">
      <c r="A36" s="26" t="s">
        <v>199</v>
      </c>
      <c r="B36" t="s">
        <v>478</v>
      </c>
      <c r="C36" t="s">
        <v>479</v>
      </c>
      <c r="D36" s="27">
        <v>45903</v>
      </c>
      <c r="E36" t="s">
        <v>820</v>
      </c>
      <c r="F36" t="s">
        <v>855</v>
      </c>
      <c r="G36" t="s">
        <v>1116</v>
      </c>
      <c r="H36" s="26">
        <v>2200</v>
      </c>
      <c r="I36" s="26" t="s">
        <v>1506</v>
      </c>
      <c r="J36" s="26"/>
      <c r="K36" s="26">
        <v>37</v>
      </c>
      <c r="L36" s="39">
        <v>30.5</v>
      </c>
      <c r="M36" s="39"/>
      <c r="N36" s="44">
        <v>38</v>
      </c>
      <c r="O36" s="40">
        <v>43.3</v>
      </c>
      <c r="P36" s="26" t="s">
        <v>1167</v>
      </c>
      <c r="Q36" s="45">
        <v>12</v>
      </c>
      <c r="R36" s="26">
        <v>17</v>
      </c>
      <c r="S36" s="26"/>
      <c r="T36">
        <v>28598</v>
      </c>
      <c r="U36" s="46">
        <f>Table1[[#This Row],[FTE Annual salary rate]]/Table1[[#This Row],[Full time hours for role]]*Table1[[#This Row],[Weekly Hours ]]/52.14285*Table1[[#This Row],[EQWP/ TTO Weeks paid per year]]</f>
        <v>19576.133070406973</v>
      </c>
      <c r="V36" s="26"/>
      <c r="W36" s="26"/>
      <c r="X36" s="26"/>
      <c r="Y36" s="31"/>
      <c r="Z36" s="26"/>
      <c r="AA36" s="11"/>
      <c r="AB36" s="11"/>
      <c r="AC36" s="11"/>
      <c r="AD36" s="11"/>
      <c r="AE36" s="11"/>
      <c r="AF36" s="26"/>
      <c r="AG36" s="26" t="s">
        <v>48</v>
      </c>
      <c r="AH36" s="11" t="b">
        <v>0</v>
      </c>
      <c r="AI36" s="26"/>
      <c r="AJ36" s="26"/>
      <c r="AK36" t="s">
        <v>54</v>
      </c>
      <c r="AL36" s="44" t="s">
        <v>1276</v>
      </c>
      <c r="AM36" s="26" t="s">
        <v>1186</v>
      </c>
      <c r="AN36" s="26"/>
      <c r="AO36" s="31"/>
      <c r="AP36" s="11" t="b">
        <v>0</v>
      </c>
      <c r="AQ36" s="11" t="b">
        <v>0</v>
      </c>
    </row>
    <row r="37" spans="1:43" ht="20.100000000000001" customHeight="1">
      <c r="A37" s="26" t="s">
        <v>200</v>
      </c>
      <c r="B37" t="s">
        <v>480</v>
      </c>
      <c r="C37" t="s">
        <v>481</v>
      </c>
      <c r="D37" s="27">
        <v>42614</v>
      </c>
      <c r="E37" t="s">
        <v>821</v>
      </c>
      <c r="F37" t="s">
        <v>856</v>
      </c>
      <c r="G37" t="s">
        <v>1117</v>
      </c>
      <c r="H37" s="26">
        <v>2700</v>
      </c>
      <c r="I37" s="26" t="s">
        <v>1508</v>
      </c>
      <c r="J37" s="26"/>
      <c r="K37" s="26">
        <v>37</v>
      </c>
      <c r="L37" s="39">
        <v>5</v>
      </c>
      <c r="M37" s="39"/>
      <c r="N37" s="44">
        <v>38</v>
      </c>
      <c r="O37" s="40">
        <v>44.2</v>
      </c>
      <c r="P37" s="26" t="s">
        <v>1167</v>
      </c>
      <c r="Q37" s="45">
        <v>4</v>
      </c>
      <c r="R37" s="26">
        <v>4</v>
      </c>
      <c r="S37" s="26"/>
      <c r="T37">
        <v>25185</v>
      </c>
      <c r="U37" s="46">
        <f>Table1[[#This Row],[FTE Annual salary rate]]/Table1[[#This Row],[Full time hours for role]]*Table1[[#This Row],[Weekly Hours ]]/52.14285*Table1[[#This Row],[EQWP/ TTO Weeks paid per year]]</f>
        <v>2884.9463411440747</v>
      </c>
      <c r="V37" s="26"/>
      <c r="W37" s="26"/>
      <c r="X37" s="26"/>
      <c r="Y37" s="31"/>
      <c r="Z37" s="26"/>
      <c r="AA37" s="11"/>
      <c r="AB37" s="11"/>
      <c r="AC37" s="11"/>
      <c r="AD37" s="11"/>
      <c r="AE37" s="11"/>
      <c r="AF37" s="26"/>
      <c r="AG37" s="26" t="s">
        <v>48</v>
      </c>
      <c r="AH37" s="11" t="b">
        <v>0</v>
      </c>
      <c r="AI37" s="26"/>
      <c r="AJ37" s="26"/>
      <c r="AK37" t="s">
        <v>54</v>
      </c>
      <c r="AL37" s="44" t="s">
        <v>1277</v>
      </c>
      <c r="AM37" s="26" t="s">
        <v>50</v>
      </c>
      <c r="AN37" s="26"/>
      <c r="AO37" s="31"/>
      <c r="AP37" s="11" t="b">
        <v>0</v>
      </c>
      <c r="AQ37" s="11" t="b">
        <v>0</v>
      </c>
    </row>
    <row r="38" spans="1:43" ht="20.100000000000001" customHeight="1">
      <c r="A38" s="26" t="s">
        <v>200</v>
      </c>
      <c r="B38" t="s">
        <v>480</v>
      </c>
      <c r="C38" t="s">
        <v>481</v>
      </c>
      <c r="D38" s="27">
        <v>42614</v>
      </c>
      <c r="E38" t="s">
        <v>821</v>
      </c>
      <c r="F38" t="s">
        <v>857</v>
      </c>
      <c r="G38" t="s">
        <v>1116</v>
      </c>
      <c r="H38" s="26">
        <v>2200</v>
      </c>
      <c r="I38" s="26" t="s">
        <v>1506</v>
      </c>
      <c r="J38" s="26"/>
      <c r="K38" s="26">
        <v>37</v>
      </c>
      <c r="L38" s="39">
        <v>30.5</v>
      </c>
      <c r="M38" s="39"/>
      <c r="N38" s="44">
        <v>38</v>
      </c>
      <c r="O38" s="40">
        <v>44.2</v>
      </c>
      <c r="P38" s="26" t="s">
        <v>1167</v>
      </c>
      <c r="Q38" s="45">
        <v>16</v>
      </c>
      <c r="R38" s="26">
        <v>17</v>
      </c>
      <c r="S38" s="26"/>
      <c r="T38">
        <v>30519</v>
      </c>
      <c r="U38" s="46">
        <f>Table1[[#This Row],[FTE Annual salary rate]]/Table1[[#This Row],[Full time hours for role]]*Table1[[#This Row],[Weekly Hours ]]/52.14285*Table1[[#This Row],[EQWP/ TTO Weeks paid per year]]</f>
        <v>21325.337782441682</v>
      </c>
      <c r="V38" s="26"/>
      <c r="W38" s="26"/>
      <c r="X38" s="26"/>
      <c r="Y38" s="31"/>
      <c r="Z38" s="26"/>
      <c r="AA38" s="11"/>
      <c r="AB38" s="11"/>
      <c r="AC38" s="11"/>
      <c r="AD38" s="11"/>
      <c r="AE38" s="11"/>
      <c r="AF38" s="26"/>
      <c r="AG38" s="26" t="s">
        <v>48</v>
      </c>
      <c r="AH38" s="11" t="b">
        <v>0</v>
      </c>
      <c r="AI38" s="26"/>
      <c r="AJ38" s="26"/>
      <c r="AK38" t="s">
        <v>54</v>
      </c>
      <c r="AL38" s="44" t="s">
        <v>1277</v>
      </c>
      <c r="AM38" s="26" t="s">
        <v>50</v>
      </c>
      <c r="AN38" s="26"/>
      <c r="AO38" s="31"/>
      <c r="AP38" s="11" t="b">
        <v>0</v>
      </c>
      <c r="AQ38" s="11" t="b">
        <v>0</v>
      </c>
    </row>
    <row r="39" spans="1:43" ht="20.100000000000001" customHeight="1">
      <c r="A39" s="26" t="s">
        <v>200</v>
      </c>
      <c r="B39" t="s">
        <v>480</v>
      </c>
      <c r="C39" t="s">
        <v>481</v>
      </c>
      <c r="D39" s="27">
        <v>42614</v>
      </c>
      <c r="E39" t="s">
        <v>821</v>
      </c>
      <c r="F39" t="s">
        <v>858</v>
      </c>
      <c r="G39" t="s">
        <v>1132</v>
      </c>
      <c r="H39" s="26">
        <v>2740</v>
      </c>
      <c r="I39" s="26" t="s">
        <v>1514</v>
      </c>
      <c r="J39" s="26"/>
      <c r="K39" s="26">
        <v>37</v>
      </c>
      <c r="L39" s="39">
        <v>5</v>
      </c>
      <c r="M39" s="39"/>
      <c r="N39" s="44">
        <v>38</v>
      </c>
      <c r="O39" s="40">
        <v>44.2</v>
      </c>
      <c r="P39" s="26" t="s">
        <v>1167</v>
      </c>
      <c r="Q39" s="45">
        <v>3</v>
      </c>
      <c r="R39" s="26">
        <v>4</v>
      </c>
      <c r="S39" s="26"/>
      <c r="T39">
        <v>24796</v>
      </c>
      <c r="U39" s="46">
        <f>Table1[[#This Row],[FTE Annual salary rate]]/Table1[[#This Row],[Full time hours for role]]*Table1[[#This Row],[Weekly Hours ]]/52.14285*Table1[[#This Row],[EQWP/ TTO Weeks paid per year]]</f>
        <v>2840.3863202306325</v>
      </c>
      <c r="V39" s="26"/>
      <c r="W39" s="26"/>
      <c r="X39" s="26"/>
      <c r="Y39" s="31"/>
      <c r="Z39" s="26"/>
      <c r="AA39" s="11"/>
      <c r="AB39" s="11"/>
      <c r="AC39" s="11"/>
      <c r="AD39" s="11"/>
      <c r="AE39" s="11"/>
      <c r="AF39" s="26"/>
      <c r="AG39" s="26" t="s">
        <v>48</v>
      </c>
      <c r="AH39" s="11" t="b">
        <v>0</v>
      </c>
      <c r="AI39" s="26"/>
      <c r="AJ39" s="26"/>
      <c r="AK39" t="s">
        <v>54</v>
      </c>
      <c r="AL39" s="44" t="s">
        <v>1277</v>
      </c>
      <c r="AM39" s="26" t="s">
        <v>50</v>
      </c>
      <c r="AN39" s="26"/>
      <c r="AO39" s="31"/>
      <c r="AP39" s="11" t="b">
        <v>0</v>
      </c>
      <c r="AQ39" s="11" t="b">
        <v>0</v>
      </c>
    </row>
    <row r="40" spans="1:43" ht="20.100000000000001" customHeight="1">
      <c r="A40" s="26" t="s">
        <v>201</v>
      </c>
      <c r="B40" t="s">
        <v>482</v>
      </c>
      <c r="C40" t="s">
        <v>483</v>
      </c>
      <c r="D40" s="27">
        <v>44676</v>
      </c>
      <c r="E40" t="s">
        <v>822</v>
      </c>
      <c r="F40" t="s">
        <v>859</v>
      </c>
      <c r="G40" t="s">
        <v>1133</v>
      </c>
      <c r="H40" s="26">
        <v>2300</v>
      </c>
      <c r="I40" s="26" t="s">
        <v>1515</v>
      </c>
      <c r="J40" s="26"/>
      <c r="K40" s="26">
        <v>37</v>
      </c>
      <c r="L40" s="39">
        <v>20</v>
      </c>
      <c r="M40" s="39"/>
      <c r="N40" s="44"/>
      <c r="O40" s="40"/>
      <c r="P40" s="26" t="s">
        <v>1167</v>
      </c>
      <c r="Q40" s="45">
        <v>16</v>
      </c>
      <c r="R40" s="26">
        <v>17</v>
      </c>
      <c r="S40" s="26"/>
      <c r="T40">
        <v>30519</v>
      </c>
      <c r="U40" s="46">
        <f>30519/37*20</f>
        <v>16496.756756756757</v>
      </c>
      <c r="V40" s="26"/>
      <c r="W40" s="26"/>
      <c r="X40" s="26"/>
      <c r="Y40" s="31"/>
      <c r="Z40" s="26"/>
      <c r="AA40" s="11"/>
      <c r="AB40" s="11"/>
      <c r="AC40" s="11"/>
      <c r="AD40" s="11"/>
      <c r="AE40" s="11"/>
      <c r="AF40" s="26"/>
      <c r="AG40" s="26" t="s">
        <v>48</v>
      </c>
      <c r="AH40" s="11" t="b">
        <v>0</v>
      </c>
      <c r="AI40" s="26"/>
      <c r="AJ40" s="26"/>
      <c r="AK40" t="s">
        <v>49</v>
      </c>
      <c r="AL40" s="44" t="s">
        <v>1278</v>
      </c>
      <c r="AM40" s="26" t="s">
        <v>50</v>
      </c>
      <c r="AN40" s="26"/>
      <c r="AO40" s="31"/>
      <c r="AP40" s="11" t="b">
        <v>0</v>
      </c>
      <c r="AQ40" s="11" t="b">
        <v>0</v>
      </c>
    </row>
    <row r="41" spans="1:43" ht="20.100000000000001" customHeight="1">
      <c r="A41" s="26" t="s">
        <v>202</v>
      </c>
      <c r="B41" t="s">
        <v>482</v>
      </c>
      <c r="C41" t="s">
        <v>477</v>
      </c>
      <c r="D41" s="27">
        <v>36039</v>
      </c>
      <c r="E41" t="s">
        <v>823</v>
      </c>
      <c r="F41" t="s">
        <v>860</v>
      </c>
      <c r="G41" t="s">
        <v>1134</v>
      </c>
      <c r="H41" s="26">
        <v>2000</v>
      </c>
      <c r="I41" s="26" t="s">
        <v>1507</v>
      </c>
      <c r="J41" s="26"/>
      <c r="K41" s="26">
        <v>32.43</v>
      </c>
      <c r="L41" s="39">
        <v>25.94</v>
      </c>
      <c r="M41" s="39"/>
      <c r="N41" s="44" t="s">
        <v>1115</v>
      </c>
      <c r="O41" s="40" t="s">
        <v>1115</v>
      </c>
      <c r="P41" s="26" t="s">
        <v>1165</v>
      </c>
      <c r="Q41" s="45">
        <v>43</v>
      </c>
      <c r="R41" s="26">
        <v>43</v>
      </c>
      <c r="S41" s="26"/>
      <c r="T41">
        <v>151947</v>
      </c>
      <c r="U41" s="46">
        <v>121579.71</v>
      </c>
      <c r="V41" s="26"/>
      <c r="W41" s="26"/>
      <c r="X41" s="26"/>
      <c r="Y41" s="31"/>
      <c r="Z41" s="26"/>
      <c r="AA41" s="11"/>
      <c r="AB41" s="11"/>
      <c r="AC41" s="11"/>
      <c r="AD41" s="11"/>
      <c r="AE41" s="11"/>
      <c r="AF41" s="26"/>
      <c r="AG41" s="11" t="s">
        <v>53</v>
      </c>
      <c r="AH41" s="11" t="b">
        <v>0</v>
      </c>
      <c r="AI41" s="26"/>
      <c r="AJ41" s="26"/>
      <c r="AK41" t="s">
        <v>54</v>
      </c>
      <c r="AL41" s="44" t="s">
        <v>1279</v>
      </c>
      <c r="AM41" s="26" t="s">
        <v>50</v>
      </c>
      <c r="AN41" s="26"/>
      <c r="AO41" s="31"/>
      <c r="AP41" s="11" t="b">
        <v>0</v>
      </c>
      <c r="AQ41" s="11" t="b">
        <v>0</v>
      </c>
    </row>
    <row r="42" spans="1:43" ht="20.100000000000001" customHeight="1">
      <c r="A42" s="26" t="s">
        <v>203</v>
      </c>
      <c r="B42" t="s">
        <v>484</v>
      </c>
      <c r="C42" t="s">
        <v>485</v>
      </c>
      <c r="D42" s="27">
        <v>45538</v>
      </c>
      <c r="E42" t="s">
        <v>821</v>
      </c>
      <c r="F42" t="s">
        <v>861</v>
      </c>
      <c r="G42" t="s">
        <v>1119</v>
      </c>
      <c r="H42" s="26">
        <v>2820</v>
      </c>
      <c r="I42" s="26" t="s">
        <v>1509</v>
      </c>
      <c r="J42" s="26"/>
      <c r="K42" s="26">
        <v>37</v>
      </c>
      <c r="L42" s="39">
        <v>6.25</v>
      </c>
      <c r="M42" s="39"/>
      <c r="N42" s="44">
        <v>38</v>
      </c>
      <c r="O42" s="40">
        <v>43.3</v>
      </c>
      <c r="P42" s="26" t="s">
        <v>1167</v>
      </c>
      <c r="Q42" s="45">
        <v>4</v>
      </c>
      <c r="R42" s="26">
        <v>4</v>
      </c>
      <c r="S42" s="26"/>
      <c r="T42">
        <v>25185</v>
      </c>
      <c r="U42" s="46">
        <f>Table1[[#This Row],[FTE Annual salary rate]]/Table1[[#This Row],[Full time hours for role]]*Table1[[#This Row],[Weekly Hours ]]/52.14285*Table1[[#This Row],[EQWP/ TTO Weeks paid per year]]</f>
        <v>3532.7538623172627</v>
      </c>
      <c r="V42" s="26"/>
      <c r="W42" s="26"/>
      <c r="X42" s="26"/>
      <c r="Y42" s="31"/>
      <c r="Z42" s="26"/>
      <c r="AA42" s="11"/>
      <c r="AB42" s="11"/>
      <c r="AC42" s="11"/>
      <c r="AD42" s="11"/>
      <c r="AE42" s="11"/>
      <c r="AF42" s="26"/>
      <c r="AG42" s="26" t="s">
        <v>48</v>
      </c>
      <c r="AH42" s="11" t="b">
        <v>0</v>
      </c>
      <c r="AI42" s="26"/>
      <c r="AJ42" s="26"/>
      <c r="AK42" t="s">
        <v>54</v>
      </c>
      <c r="AL42" s="44" t="s">
        <v>1280</v>
      </c>
      <c r="AM42" s="26" t="s">
        <v>50</v>
      </c>
      <c r="AN42" s="26"/>
      <c r="AO42" s="31"/>
      <c r="AP42" s="11" t="b">
        <v>0</v>
      </c>
      <c r="AQ42" s="11" t="b">
        <v>0</v>
      </c>
    </row>
    <row r="43" spans="1:43" ht="20.100000000000001" customHeight="1">
      <c r="A43" s="26" t="s">
        <v>257</v>
      </c>
      <c r="B43" t="s">
        <v>577</v>
      </c>
      <c r="C43" t="s">
        <v>578</v>
      </c>
      <c r="D43" s="27">
        <v>35863</v>
      </c>
      <c r="E43" t="s">
        <v>820</v>
      </c>
      <c r="F43" t="s">
        <v>922</v>
      </c>
      <c r="G43" t="s">
        <v>1119</v>
      </c>
      <c r="H43" s="26">
        <v>2820</v>
      </c>
      <c r="I43" s="26" t="s">
        <v>1509</v>
      </c>
      <c r="J43" s="26"/>
      <c r="K43" s="26">
        <v>37</v>
      </c>
      <c r="L43" s="39">
        <v>13.75</v>
      </c>
      <c r="M43" s="39"/>
      <c r="N43" s="44">
        <v>38</v>
      </c>
      <c r="O43" s="40">
        <v>44.8</v>
      </c>
      <c r="P43" s="26" t="s">
        <v>1167</v>
      </c>
      <c r="Q43" s="45">
        <v>4</v>
      </c>
      <c r="R43" s="26">
        <v>4</v>
      </c>
      <c r="S43" s="26"/>
      <c r="T43">
        <v>25185</v>
      </c>
      <c r="U43" s="46">
        <f>Table1[[#This Row],[FTE Annual salary rate]]/Table1[[#This Row],[Full time hours for role]]*Table1[[#This Row],[Weekly Hours ]]/52.14285*Table1[[#This Row],[EQWP/ TTO Weeks paid per year]]</f>
        <v>8041.2983988450214</v>
      </c>
      <c r="V43" s="26" t="s">
        <v>1183</v>
      </c>
      <c r="W43" s="26">
        <v>100.56</v>
      </c>
      <c r="X43" s="26">
        <v>100.56</v>
      </c>
      <c r="Y43" s="31"/>
      <c r="Z43" s="26"/>
      <c r="AA43" s="11"/>
      <c r="AB43" s="11"/>
      <c r="AC43" s="11"/>
      <c r="AD43" s="11"/>
      <c r="AE43" s="11"/>
      <c r="AF43" s="26"/>
      <c r="AG43" s="11" t="s">
        <v>48</v>
      </c>
      <c r="AH43" s="11" t="b">
        <v>0</v>
      </c>
      <c r="AI43" s="26"/>
      <c r="AJ43" s="26"/>
      <c r="AK43" t="s">
        <v>54</v>
      </c>
      <c r="AL43" s="44" t="s">
        <v>1334</v>
      </c>
      <c r="AM43" s="26" t="s">
        <v>50</v>
      </c>
      <c r="AN43" s="26"/>
      <c r="AO43" s="31"/>
      <c r="AP43" s="11" t="b">
        <v>0</v>
      </c>
      <c r="AQ43" s="11" t="b">
        <v>0</v>
      </c>
    </row>
    <row r="44" spans="1:43" ht="20.100000000000001" customHeight="1">
      <c r="A44" s="26" t="s">
        <v>205</v>
      </c>
      <c r="B44" t="s">
        <v>488</v>
      </c>
      <c r="C44" t="s">
        <v>489</v>
      </c>
      <c r="D44" s="27">
        <v>44676</v>
      </c>
      <c r="E44" t="s">
        <v>821</v>
      </c>
      <c r="F44" t="s">
        <v>863</v>
      </c>
      <c r="G44" t="s">
        <v>1120</v>
      </c>
      <c r="H44" s="26">
        <v>2200</v>
      </c>
      <c r="I44" s="26" t="s">
        <v>1506</v>
      </c>
      <c r="J44" s="26"/>
      <c r="K44" s="26">
        <v>37</v>
      </c>
      <c r="L44" s="39">
        <v>27.5</v>
      </c>
      <c r="M44" s="39"/>
      <c r="N44" s="44">
        <v>38</v>
      </c>
      <c r="O44" s="40">
        <v>43.3</v>
      </c>
      <c r="P44" s="26" t="s">
        <v>1167</v>
      </c>
      <c r="Q44" s="45">
        <v>6</v>
      </c>
      <c r="R44" s="26">
        <v>6</v>
      </c>
      <c r="S44" s="26"/>
      <c r="T44">
        <v>25989</v>
      </c>
      <c r="U44" s="46">
        <f>Table1[[#This Row],[FTE Annual salary rate]]/Table1[[#This Row],[Full time hours for role]]*Table1[[#This Row],[Weekly Hours ]]/52.14285*Table1[[#This Row],[EQWP/ TTO Weeks paid per year]]</f>
        <v>16040.343718966004</v>
      </c>
      <c r="V44" s="26"/>
      <c r="W44" s="26"/>
      <c r="X44" s="26"/>
      <c r="Y44" s="31"/>
      <c r="Z44" s="26"/>
      <c r="AA44" s="11"/>
      <c r="AB44" s="11"/>
      <c r="AC44" s="11"/>
      <c r="AD44" s="11"/>
      <c r="AE44" s="11"/>
      <c r="AF44" s="26"/>
      <c r="AG44" s="26" t="s">
        <v>48</v>
      </c>
      <c r="AH44" s="11" t="b">
        <v>0</v>
      </c>
      <c r="AI44" s="26"/>
      <c r="AJ44" s="26"/>
      <c r="AK44" t="s">
        <v>54</v>
      </c>
      <c r="AL44" s="44" t="s">
        <v>1282</v>
      </c>
      <c r="AM44" s="26" t="s">
        <v>50</v>
      </c>
      <c r="AN44" s="26"/>
      <c r="AO44" s="31"/>
      <c r="AP44" s="11" t="b">
        <v>0</v>
      </c>
      <c r="AQ44" s="11" t="b">
        <v>0</v>
      </c>
    </row>
    <row r="45" spans="1:43" ht="20.100000000000001" customHeight="1">
      <c r="A45" s="26" t="s">
        <v>206</v>
      </c>
      <c r="B45" t="s">
        <v>490</v>
      </c>
      <c r="C45" t="s">
        <v>491</v>
      </c>
      <c r="D45" s="27">
        <v>41153</v>
      </c>
      <c r="E45" t="s">
        <v>823</v>
      </c>
      <c r="F45" t="s">
        <v>864</v>
      </c>
      <c r="G45" t="s">
        <v>1135</v>
      </c>
      <c r="H45" s="26">
        <v>2000</v>
      </c>
      <c r="I45" s="26" t="s">
        <v>1507</v>
      </c>
      <c r="J45" s="26"/>
      <c r="K45" s="26">
        <v>32.43</v>
      </c>
      <c r="L45" s="39">
        <v>32.43</v>
      </c>
      <c r="M45" s="39"/>
      <c r="N45" s="44" t="s">
        <v>1115</v>
      </c>
      <c r="O45" s="40" t="s">
        <v>1115</v>
      </c>
      <c r="P45" s="26" t="s">
        <v>1168</v>
      </c>
      <c r="Q45" s="45">
        <v>12</v>
      </c>
      <c r="R45" s="26">
        <v>12</v>
      </c>
      <c r="S45" s="26"/>
      <c r="T45">
        <v>67898</v>
      </c>
      <c r="U45" s="46">
        <v>67898</v>
      </c>
      <c r="V45" s="26"/>
      <c r="W45" s="26"/>
      <c r="X45" s="26"/>
      <c r="Y45" s="31"/>
      <c r="Z45" s="26"/>
      <c r="AA45" s="11"/>
      <c r="AB45" s="11"/>
      <c r="AC45" s="11"/>
      <c r="AD45" s="11"/>
      <c r="AE45" s="11"/>
      <c r="AF45" s="26"/>
      <c r="AG45" s="11" t="s">
        <v>53</v>
      </c>
      <c r="AH45" s="11" t="b">
        <v>0</v>
      </c>
      <c r="AI45" s="26"/>
      <c r="AJ45" s="26"/>
      <c r="AK45" t="s">
        <v>54</v>
      </c>
      <c r="AL45" s="44" t="s">
        <v>1283</v>
      </c>
      <c r="AM45" s="26" t="s">
        <v>50</v>
      </c>
      <c r="AN45" s="26"/>
      <c r="AO45" s="31"/>
      <c r="AP45" s="11" t="b">
        <v>0</v>
      </c>
      <c r="AQ45" s="11" t="b">
        <v>0</v>
      </c>
    </row>
    <row r="46" spans="1:43" ht="20.100000000000001" customHeight="1">
      <c r="A46" s="26" t="s">
        <v>207</v>
      </c>
      <c r="B46" t="s">
        <v>492</v>
      </c>
      <c r="C46" t="s">
        <v>493</v>
      </c>
      <c r="D46" s="27">
        <v>42614</v>
      </c>
      <c r="E46" t="s">
        <v>819</v>
      </c>
      <c r="F46" t="s">
        <v>865</v>
      </c>
      <c r="G46" t="s">
        <v>1118</v>
      </c>
      <c r="H46" s="26">
        <v>2000</v>
      </c>
      <c r="I46" s="26" t="s">
        <v>1507</v>
      </c>
      <c r="J46" s="26"/>
      <c r="K46" s="26">
        <v>32.43</v>
      </c>
      <c r="L46" s="39">
        <v>25.94</v>
      </c>
      <c r="M46" s="39"/>
      <c r="N46" s="44" t="s">
        <v>1115</v>
      </c>
      <c r="O46" s="40" t="s">
        <v>1115</v>
      </c>
      <c r="P46" s="26" t="s">
        <v>1161</v>
      </c>
      <c r="Q46" s="45">
        <v>3</v>
      </c>
      <c r="R46" s="26" t="s">
        <v>52</v>
      </c>
      <c r="S46" s="26"/>
      <c r="T46">
        <v>51048</v>
      </c>
      <c r="U46" s="46">
        <v>40845.82</v>
      </c>
      <c r="V46" s="26"/>
      <c r="W46" s="26"/>
      <c r="X46" s="26"/>
      <c r="Y46" s="31"/>
      <c r="Z46" s="26"/>
      <c r="AA46" s="11"/>
      <c r="AB46" s="11"/>
      <c r="AC46" s="11"/>
      <c r="AD46" s="11"/>
      <c r="AE46" s="11"/>
      <c r="AF46" s="26"/>
      <c r="AG46" s="11" t="s">
        <v>53</v>
      </c>
      <c r="AH46" s="11" t="b">
        <v>0</v>
      </c>
      <c r="AI46" s="26"/>
      <c r="AJ46" s="26"/>
      <c r="AK46" t="s">
        <v>49</v>
      </c>
      <c r="AL46" s="44" t="s">
        <v>1284</v>
      </c>
      <c r="AM46" s="26" t="s">
        <v>50</v>
      </c>
      <c r="AN46" s="26"/>
      <c r="AO46" s="31"/>
      <c r="AP46" s="11" t="b">
        <v>0</v>
      </c>
      <c r="AQ46" s="11" t="b">
        <v>0</v>
      </c>
    </row>
    <row r="47" spans="1:43" ht="20.100000000000001" customHeight="1">
      <c r="A47" s="26" t="s">
        <v>208</v>
      </c>
      <c r="B47" t="s">
        <v>494</v>
      </c>
      <c r="C47" t="s">
        <v>477</v>
      </c>
      <c r="D47" s="27">
        <v>45726</v>
      </c>
      <c r="E47" t="s">
        <v>820</v>
      </c>
      <c r="F47" t="s">
        <v>866</v>
      </c>
      <c r="G47" t="s">
        <v>1120</v>
      </c>
      <c r="H47" s="26">
        <v>2200</v>
      </c>
      <c r="I47" s="26" t="s">
        <v>1506</v>
      </c>
      <c r="J47" s="26"/>
      <c r="K47" s="26">
        <v>37</v>
      </c>
      <c r="L47" s="39">
        <v>27.5</v>
      </c>
      <c r="M47" s="39"/>
      <c r="N47" s="44">
        <v>38</v>
      </c>
      <c r="O47" s="40">
        <v>43.3</v>
      </c>
      <c r="P47" s="26" t="s">
        <v>1167</v>
      </c>
      <c r="Q47" s="45">
        <v>5</v>
      </c>
      <c r="R47" s="26">
        <v>6</v>
      </c>
      <c r="S47" s="26"/>
      <c r="T47">
        <v>25584</v>
      </c>
      <c r="U47" s="46">
        <f>Table1[[#This Row],[FTE Annual salary rate]]/Table1[[#This Row],[Full time hours for role]]*Table1[[#This Row],[Weekly Hours ]]/52.14285*Table1[[#This Row],[EQWP/ TTO Weeks paid per year]]</f>
        <v>15790.378764324378</v>
      </c>
      <c r="V47" s="26"/>
      <c r="W47" s="26"/>
      <c r="X47" s="26"/>
      <c r="Y47" s="31"/>
      <c r="Z47" s="26"/>
      <c r="AA47" s="11"/>
      <c r="AB47" s="11"/>
      <c r="AC47" s="11"/>
      <c r="AD47" s="11"/>
      <c r="AE47" s="11"/>
      <c r="AF47" s="26"/>
      <c r="AG47" s="26" t="s">
        <v>48</v>
      </c>
      <c r="AH47" s="11" t="b">
        <v>0</v>
      </c>
      <c r="AI47" s="26"/>
      <c r="AJ47" s="26"/>
      <c r="AK47" t="s">
        <v>54</v>
      </c>
      <c r="AL47" s="44" t="s">
        <v>1285</v>
      </c>
      <c r="AM47" s="26" t="s">
        <v>55</v>
      </c>
      <c r="AN47" s="26"/>
      <c r="AO47" s="31"/>
      <c r="AP47" s="11" t="b">
        <v>0</v>
      </c>
      <c r="AQ47" s="11" t="b">
        <v>0</v>
      </c>
    </row>
    <row r="48" spans="1:43" ht="20.100000000000001" customHeight="1">
      <c r="A48" s="26" t="s">
        <v>209</v>
      </c>
      <c r="B48" t="s">
        <v>495</v>
      </c>
      <c r="C48" t="s">
        <v>496</v>
      </c>
      <c r="D48" s="27">
        <v>41235</v>
      </c>
      <c r="E48" t="s">
        <v>823</v>
      </c>
      <c r="F48" t="s">
        <v>867</v>
      </c>
      <c r="G48" t="s">
        <v>1136</v>
      </c>
      <c r="H48" s="26">
        <v>2630</v>
      </c>
      <c r="I48" s="26" t="s">
        <v>1511</v>
      </c>
      <c r="J48" s="26"/>
      <c r="K48" s="26">
        <v>37</v>
      </c>
      <c r="L48" s="39">
        <v>36</v>
      </c>
      <c r="M48" s="39"/>
      <c r="N48" s="44"/>
      <c r="O48" s="40"/>
      <c r="P48" s="26" t="s">
        <v>1167</v>
      </c>
      <c r="Q48" s="45">
        <v>43</v>
      </c>
      <c r="R48" s="26">
        <v>43</v>
      </c>
      <c r="S48" s="26"/>
      <c r="T48">
        <v>55025</v>
      </c>
      <c r="U48" s="46">
        <v>53537.84</v>
      </c>
      <c r="V48" s="26"/>
      <c r="W48" s="26"/>
      <c r="X48" s="26"/>
      <c r="Y48" s="31"/>
      <c r="Z48" s="26"/>
      <c r="AA48" s="11"/>
      <c r="AB48" s="11"/>
      <c r="AC48" s="11"/>
      <c r="AD48" s="11"/>
      <c r="AE48" s="11"/>
      <c r="AF48" s="26"/>
      <c r="AG48" s="26" t="s">
        <v>48</v>
      </c>
      <c r="AH48" s="11" t="b">
        <v>0</v>
      </c>
      <c r="AI48" s="26"/>
      <c r="AJ48" s="26"/>
      <c r="AK48" t="s">
        <v>54</v>
      </c>
      <c r="AL48" s="44" t="s">
        <v>1286</v>
      </c>
      <c r="AM48" s="26" t="s">
        <v>50</v>
      </c>
      <c r="AN48" s="26"/>
      <c r="AO48" s="31"/>
      <c r="AP48" s="11" t="b">
        <v>0</v>
      </c>
      <c r="AQ48" s="11" t="b">
        <v>0</v>
      </c>
    </row>
    <row r="49" spans="1:43" ht="20.100000000000001" customHeight="1">
      <c r="A49" s="26" t="s">
        <v>210</v>
      </c>
      <c r="B49" t="s">
        <v>495</v>
      </c>
      <c r="C49" t="s">
        <v>497</v>
      </c>
      <c r="D49" s="27">
        <v>45470</v>
      </c>
      <c r="E49" t="s">
        <v>820</v>
      </c>
      <c r="F49" t="s">
        <v>868</v>
      </c>
      <c r="G49" t="s">
        <v>1127</v>
      </c>
      <c r="H49" s="26">
        <v>2300</v>
      </c>
      <c r="I49" s="26" t="s">
        <v>1512</v>
      </c>
      <c r="J49" s="26"/>
      <c r="K49" s="26">
        <v>37</v>
      </c>
      <c r="L49" s="39">
        <v>0</v>
      </c>
      <c r="M49" s="39"/>
      <c r="N49" s="44" t="s">
        <v>1115</v>
      </c>
      <c r="O49" s="40" t="s">
        <v>1115</v>
      </c>
      <c r="P49" s="26" t="s">
        <v>1170</v>
      </c>
      <c r="Q49" s="44" t="s">
        <v>1169</v>
      </c>
      <c r="R49" s="26" t="s">
        <v>1169</v>
      </c>
      <c r="S49" s="26"/>
      <c r="T49">
        <v>0</v>
      </c>
      <c r="U49" s="46"/>
      <c r="V49" s="26"/>
      <c r="W49" s="26"/>
      <c r="X49" s="26"/>
      <c r="Y49" s="31"/>
      <c r="Z49" s="26"/>
      <c r="AA49" s="11"/>
      <c r="AB49" s="11"/>
      <c r="AC49" s="11"/>
      <c r="AD49" s="11"/>
      <c r="AE49" s="11"/>
      <c r="AF49" s="26"/>
      <c r="AG49" s="26"/>
      <c r="AH49" s="26"/>
      <c r="AI49" s="26"/>
      <c r="AJ49" s="26"/>
      <c r="AK49" t="s">
        <v>49</v>
      </c>
      <c r="AL49" s="44" t="s">
        <v>1287</v>
      </c>
      <c r="AM49" s="26" t="s">
        <v>50</v>
      </c>
      <c r="AN49" s="26"/>
      <c r="AO49" s="31"/>
      <c r="AP49" s="11" t="b">
        <v>0</v>
      </c>
      <c r="AQ49" s="26" t="b">
        <v>1</v>
      </c>
    </row>
    <row r="50" spans="1:43" ht="20.100000000000001" customHeight="1">
      <c r="A50" s="26" t="s">
        <v>281</v>
      </c>
      <c r="B50" t="s">
        <v>614</v>
      </c>
      <c r="C50" t="s">
        <v>615</v>
      </c>
      <c r="D50" s="87">
        <v>45538</v>
      </c>
      <c r="E50" t="s">
        <v>819</v>
      </c>
      <c r="F50" t="s">
        <v>950</v>
      </c>
      <c r="G50" t="s">
        <v>1119</v>
      </c>
      <c r="H50" s="26">
        <v>2820</v>
      </c>
      <c r="I50" s="26" t="s">
        <v>1509</v>
      </c>
      <c r="J50" s="26"/>
      <c r="K50" s="26">
        <v>37</v>
      </c>
      <c r="L50" s="39">
        <v>8.75</v>
      </c>
      <c r="M50" s="39"/>
      <c r="N50" s="44">
        <v>38</v>
      </c>
      <c r="O50" s="40">
        <v>43.3</v>
      </c>
      <c r="P50" s="26" t="s">
        <v>1167</v>
      </c>
      <c r="Q50" s="45">
        <v>4</v>
      </c>
      <c r="R50" s="26">
        <v>4</v>
      </c>
      <c r="S50" s="26"/>
      <c r="T50">
        <v>25185</v>
      </c>
      <c r="U50" s="46">
        <f>Table1[[#This Row],[FTE Annual salary rate]]/Table1[[#This Row],[Full time hours for role]]*Table1[[#This Row],[Weekly Hours ]]/52.14285*Table1[[#This Row],[EQWP/ TTO Weeks paid per year]]</f>
        <v>4945.8554072441684</v>
      </c>
      <c r="V50" s="26" t="s">
        <v>1183</v>
      </c>
      <c r="W50" s="26">
        <v>100.56</v>
      </c>
      <c r="X50" s="26">
        <v>100.56</v>
      </c>
      <c r="Y50" s="31"/>
      <c r="Z50" s="26"/>
      <c r="AA50" s="11"/>
      <c r="AB50" s="11"/>
      <c r="AC50" s="11"/>
      <c r="AD50" s="11"/>
      <c r="AE50" s="11"/>
      <c r="AF50" s="26"/>
      <c r="AG50" s="26" t="s">
        <v>48</v>
      </c>
      <c r="AH50" s="11" t="b">
        <v>0</v>
      </c>
      <c r="AI50" s="26"/>
      <c r="AJ50" s="26"/>
      <c r="AK50" t="s">
        <v>54</v>
      </c>
      <c r="AL50" s="44" t="s">
        <v>1358</v>
      </c>
      <c r="AM50" s="26" t="s">
        <v>50</v>
      </c>
      <c r="AN50" s="26"/>
      <c r="AO50" s="31"/>
      <c r="AP50" s="11" t="b">
        <v>0</v>
      </c>
      <c r="AQ50" s="11" t="b">
        <v>0</v>
      </c>
    </row>
    <row r="51" spans="1:43" ht="20.100000000000001" customHeight="1">
      <c r="A51" s="26" t="s">
        <v>212</v>
      </c>
      <c r="B51" t="s">
        <v>500</v>
      </c>
      <c r="C51" t="s">
        <v>501</v>
      </c>
      <c r="D51" s="27">
        <v>45622</v>
      </c>
      <c r="E51" t="s">
        <v>823</v>
      </c>
      <c r="F51" t="s">
        <v>870</v>
      </c>
      <c r="G51" t="s">
        <v>1137</v>
      </c>
      <c r="H51" s="26">
        <v>2200</v>
      </c>
      <c r="I51" s="26" t="s">
        <v>1516</v>
      </c>
      <c r="J51" s="26"/>
      <c r="K51" s="26">
        <v>37</v>
      </c>
      <c r="L51" s="39">
        <v>32.5</v>
      </c>
      <c r="M51" s="39"/>
      <c r="N51" s="44">
        <v>38</v>
      </c>
      <c r="O51" s="40">
        <v>43.3</v>
      </c>
      <c r="P51" s="26" t="s">
        <v>1167</v>
      </c>
      <c r="Q51" s="45">
        <v>13</v>
      </c>
      <c r="R51" s="26">
        <v>17</v>
      </c>
      <c r="S51" s="26"/>
      <c r="T51">
        <v>29065</v>
      </c>
      <c r="U51" s="46">
        <f>Table1[[#This Row],[FTE Annual salary rate]]/Table1[[#This Row],[Full time hours for role]]*Table1[[#This Row],[Weekly Hours ]]/52.14285*Table1[[#This Row],[EQWP/ TTO Weeks paid per year]]</f>
        <v>21200.450793841832</v>
      </c>
      <c r="V51" s="26"/>
      <c r="W51" s="26"/>
      <c r="X51" s="26"/>
      <c r="Y51" s="31"/>
      <c r="Z51" s="26"/>
      <c r="AA51" s="11"/>
      <c r="AB51" s="11"/>
      <c r="AC51" s="11"/>
      <c r="AD51" s="11"/>
      <c r="AE51" s="11"/>
      <c r="AF51" s="26"/>
      <c r="AG51" s="26" t="s">
        <v>48</v>
      </c>
      <c r="AH51" s="11" t="b">
        <v>0</v>
      </c>
      <c r="AI51" s="26"/>
      <c r="AJ51" s="26"/>
      <c r="AK51" t="s">
        <v>54</v>
      </c>
      <c r="AL51" s="44" t="s">
        <v>1289</v>
      </c>
      <c r="AM51" s="26" t="s">
        <v>50</v>
      </c>
      <c r="AN51" s="26"/>
      <c r="AO51" s="31"/>
      <c r="AP51" s="11" t="b">
        <v>0</v>
      </c>
      <c r="AQ51" s="11" t="b">
        <v>0</v>
      </c>
    </row>
    <row r="52" spans="1:43" ht="20.100000000000001" customHeight="1">
      <c r="A52" s="26" t="s">
        <v>213</v>
      </c>
      <c r="B52" t="s">
        <v>502</v>
      </c>
      <c r="C52" t="s">
        <v>503</v>
      </c>
      <c r="D52" s="27">
        <v>44805</v>
      </c>
      <c r="E52" t="s">
        <v>821</v>
      </c>
      <c r="F52" t="s">
        <v>871</v>
      </c>
      <c r="G52" t="s">
        <v>1119</v>
      </c>
      <c r="H52" s="26">
        <v>2820</v>
      </c>
      <c r="I52" s="26" t="s">
        <v>1509</v>
      </c>
      <c r="J52" s="26"/>
      <c r="K52" s="26">
        <v>37</v>
      </c>
      <c r="L52" s="39">
        <v>6.25</v>
      </c>
      <c r="M52" s="39"/>
      <c r="N52" s="44">
        <v>38</v>
      </c>
      <c r="O52" s="40">
        <v>43.3</v>
      </c>
      <c r="P52" s="26" t="s">
        <v>1167</v>
      </c>
      <c r="Q52" s="45">
        <v>4</v>
      </c>
      <c r="R52" s="26">
        <v>4</v>
      </c>
      <c r="S52" s="26"/>
      <c r="T52">
        <v>25185</v>
      </c>
      <c r="U52" s="46">
        <f>Table1[[#This Row],[FTE Annual salary rate]]/Table1[[#This Row],[Full time hours for role]]*Table1[[#This Row],[Weekly Hours ]]/52.14285*Table1[[#This Row],[EQWP/ TTO Weeks paid per year]]</f>
        <v>3532.7538623172627</v>
      </c>
      <c r="V52" s="26"/>
      <c r="W52" s="26"/>
      <c r="X52" s="26"/>
      <c r="Y52" s="31"/>
      <c r="Z52" s="26"/>
      <c r="AA52" s="11"/>
      <c r="AB52" s="11"/>
      <c r="AC52" s="11"/>
      <c r="AD52" s="11"/>
      <c r="AE52" s="11"/>
      <c r="AF52" s="26"/>
      <c r="AG52" s="26" t="s">
        <v>48</v>
      </c>
      <c r="AH52" s="11" t="b">
        <v>0</v>
      </c>
      <c r="AI52" s="26"/>
      <c r="AJ52" s="26"/>
      <c r="AK52" t="s">
        <v>54</v>
      </c>
      <c r="AL52" s="44" t="s">
        <v>1290</v>
      </c>
      <c r="AM52" s="26" t="s">
        <v>50</v>
      </c>
      <c r="AN52" s="26"/>
      <c r="AO52" s="31"/>
      <c r="AP52" s="11" t="b">
        <v>0</v>
      </c>
      <c r="AQ52" s="11" t="b">
        <v>0</v>
      </c>
    </row>
    <row r="53" spans="1:43" ht="20.100000000000001" customHeight="1">
      <c r="A53" s="26" t="s">
        <v>213</v>
      </c>
      <c r="B53" t="s">
        <v>502</v>
      </c>
      <c r="C53" t="s">
        <v>503</v>
      </c>
      <c r="D53" s="27">
        <v>44805</v>
      </c>
      <c r="E53" t="s">
        <v>821</v>
      </c>
      <c r="F53" t="s">
        <v>872</v>
      </c>
      <c r="G53" t="s">
        <v>1132</v>
      </c>
      <c r="H53" s="26">
        <v>2740</v>
      </c>
      <c r="I53" s="26" t="s">
        <v>1514</v>
      </c>
      <c r="J53" s="26"/>
      <c r="K53" s="26">
        <v>37</v>
      </c>
      <c r="L53" s="39">
        <v>15</v>
      </c>
      <c r="M53" s="39"/>
      <c r="N53" s="44">
        <v>38</v>
      </c>
      <c r="O53" s="40">
        <v>43.3</v>
      </c>
      <c r="P53" s="26" t="s">
        <v>1167</v>
      </c>
      <c r="Q53" s="45">
        <v>4</v>
      </c>
      <c r="R53" s="26">
        <v>4</v>
      </c>
      <c r="S53" s="26"/>
      <c r="T53">
        <v>25185</v>
      </c>
      <c r="U53" s="46">
        <f>Table1[[#This Row],[FTE Annual salary rate]]/Table1[[#This Row],[Full time hours for role]]*Table1[[#This Row],[Weekly Hours ]]/52.14285*Table1[[#This Row],[EQWP/ TTO Weeks paid per year]]</f>
        <v>8478.6092695614316</v>
      </c>
      <c r="V53" s="26"/>
      <c r="W53" s="26"/>
      <c r="X53" s="26"/>
      <c r="Y53" s="31"/>
      <c r="Z53" s="26"/>
      <c r="AA53" s="11"/>
      <c r="AB53" s="11"/>
      <c r="AC53" s="11"/>
      <c r="AD53" s="11"/>
      <c r="AE53" s="11"/>
      <c r="AF53" s="26"/>
      <c r="AG53" s="26" t="s">
        <v>48</v>
      </c>
      <c r="AH53" s="11" t="b">
        <v>0</v>
      </c>
      <c r="AI53" s="26"/>
      <c r="AJ53" s="26"/>
      <c r="AK53" t="s">
        <v>54</v>
      </c>
      <c r="AL53" s="44" t="s">
        <v>1290</v>
      </c>
      <c r="AM53" s="26" t="s">
        <v>50</v>
      </c>
      <c r="AN53" s="26"/>
      <c r="AO53" s="31"/>
      <c r="AP53" s="11" t="b">
        <v>0</v>
      </c>
      <c r="AQ53" s="11" t="b">
        <v>0</v>
      </c>
    </row>
    <row r="54" spans="1:43" ht="20.100000000000001" customHeight="1">
      <c r="A54" s="26" t="s">
        <v>214</v>
      </c>
      <c r="B54" t="s">
        <v>504</v>
      </c>
      <c r="C54" t="s">
        <v>505</v>
      </c>
      <c r="D54" s="27">
        <v>44805</v>
      </c>
      <c r="E54" t="s">
        <v>820</v>
      </c>
      <c r="F54" t="s">
        <v>873</v>
      </c>
      <c r="G54" t="s">
        <v>1125</v>
      </c>
      <c r="H54" s="26">
        <v>2000</v>
      </c>
      <c r="I54" s="26" t="s">
        <v>1507</v>
      </c>
      <c r="J54" s="26"/>
      <c r="K54" s="26">
        <v>32.43</v>
      </c>
      <c r="L54" s="39">
        <v>32.43</v>
      </c>
      <c r="M54" s="39"/>
      <c r="N54" s="44" t="s">
        <v>1115</v>
      </c>
      <c r="O54" s="40" t="s">
        <v>1115</v>
      </c>
      <c r="P54" s="26" t="s">
        <v>1160</v>
      </c>
      <c r="Q54" s="45">
        <v>4</v>
      </c>
      <c r="R54" s="26" t="s">
        <v>51</v>
      </c>
      <c r="S54" s="26"/>
      <c r="T54">
        <v>39556</v>
      </c>
      <c r="U54" s="46">
        <v>39556</v>
      </c>
      <c r="V54" s="26"/>
      <c r="W54" s="26"/>
      <c r="X54" s="26"/>
      <c r="Y54" s="31"/>
      <c r="Z54" s="26"/>
      <c r="AA54" s="11"/>
      <c r="AB54" s="11"/>
      <c r="AC54" s="11"/>
      <c r="AD54" s="11"/>
      <c r="AE54" s="11"/>
      <c r="AF54" s="26"/>
      <c r="AG54" s="11" t="s">
        <v>53</v>
      </c>
      <c r="AH54" s="11" t="b">
        <v>0</v>
      </c>
      <c r="AI54" s="26"/>
      <c r="AJ54" s="26"/>
      <c r="AK54" t="s">
        <v>54</v>
      </c>
      <c r="AL54" s="44" t="s">
        <v>1291</v>
      </c>
      <c r="AM54" s="26" t="s">
        <v>50</v>
      </c>
      <c r="AN54" s="26"/>
      <c r="AO54" s="31"/>
      <c r="AP54" s="11" t="b">
        <v>0</v>
      </c>
      <c r="AQ54" s="11" t="b">
        <v>0</v>
      </c>
    </row>
    <row r="55" spans="1:43" ht="20.100000000000001" customHeight="1">
      <c r="A55" s="26" t="s">
        <v>215</v>
      </c>
      <c r="B55" t="s">
        <v>506</v>
      </c>
      <c r="C55" t="s">
        <v>507</v>
      </c>
      <c r="D55" s="27">
        <v>40868</v>
      </c>
      <c r="E55" t="s">
        <v>820</v>
      </c>
      <c r="F55" t="s">
        <v>874</v>
      </c>
      <c r="G55" t="s">
        <v>1116</v>
      </c>
      <c r="H55" s="26">
        <v>2200</v>
      </c>
      <c r="I55" s="26" t="s">
        <v>1506</v>
      </c>
      <c r="J55" s="26"/>
      <c r="K55" s="26">
        <v>37</v>
      </c>
      <c r="L55" s="39">
        <v>24.5</v>
      </c>
      <c r="M55" s="39"/>
      <c r="N55" s="44">
        <v>38</v>
      </c>
      <c r="O55" s="40">
        <v>44.8</v>
      </c>
      <c r="P55" s="26" t="s">
        <v>1167</v>
      </c>
      <c r="Q55" s="45">
        <v>17</v>
      </c>
      <c r="R55" s="26">
        <v>17</v>
      </c>
      <c r="S55" s="26"/>
      <c r="T55">
        <v>31022</v>
      </c>
      <c r="U55" s="46">
        <f>Table1[[#This Row],[FTE Annual salary rate]]/Table1[[#This Row],[Full time hours for role]]*Table1[[#This Row],[Weekly Hours ]]/52.14285*Table1[[#This Row],[EQWP/ TTO Weeks paid per year]]</f>
        <v>17648.890266601033</v>
      </c>
      <c r="V55" s="26"/>
      <c r="W55" s="26"/>
      <c r="X55" s="26"/>
      <c r="Y55" s="31"/>
      <c r="Z55" s="26"/>
      <c r="AA55" s="11"/>
      <c r="AB55" s="11"/>
      <c r="AC55" s="11"/>
      <c r="AD55" s="11"/>
      <c r="AE55" s="11"/>
      <c r="AF55" s="26"/>
      <c r="AG55" s="26" t="s">
        <v>48</v>
      </c>
      <c r="AH55" s="11" t="b">
        <v>0</v>
      </c>
      <c r="AI55" s="26"/>
      <c r="AJ55" s="26"/>
      <c r="AK55" t="s">
        <v>54</v>
      </c>
      <c r="AL55" s="44" t="s">
        <v>1292</v>
      </c>
      <c r="AM55" s="26" t="s">
        <v>50</v>
      </c>
      <c r="AN55" s="26"/>
      <c r="AO55" s="31"/>
      <c r="AP55" s="11" t="b">
        <v>0</v>
      </c>
      <c r="AQ55" s="11" t="b">
        <v>0</v>
      </c>
    </row>
    <row r="56" spans="1:43" ht="20.100000000000001" customHeight="1">
      <c r="A56" s="26" t="s">
        <v>215</v>
      </c>
      <c r="B56" t="s">
        <v>506</v>
      </c>
      <c r="C56" t="s">
        <v>507</v>
      </c>
      <c r="D56" s="27">
        <v>40868</v>
      </c>
      <c r="E56" t="s">
        <v>820</v>
      </c>
      <c r="F56" t="s">
        <v>875</v>
      </c>
      <c r="G56" t="s">
        <v>1117</v>
      </c>
      <c r="H56" s="26">
        <v>2700</v>
      </c>
      <c r="I56" s="26" t="s">
        <v>1508</v>
      </c>
      <c r="J56" s="26"/>
      <c r="K56" s="26">
        <v>37</v>
      </c>
      <c r="L56" s="39">
        <v>5</v>
      </c>
      <c r="M56" s="39"/>
      <c r="N56" s="44">
        <v>38</v>
      </c>
      <c r="O56" s="40">
        <v>44.8</v>
      </c>
      <c r="P56" s="26" t="s">
        <v>1167</v>
      </c>
      <c r="Q56" s="45">
        <v>3</v>
      </c>
      <c r="R56" s="26">
        <v>4</v>
      </c>
      <c r="S56" s="26"/>
      <c r="T56">
        <v>24796</v>
      </c>
      <c r="U56" s="46">
        <f>Table1[[#This Row],[FTE Annual salary rate]]/Table1[[#This Row],[Full time hours for role]]*Table1[[#This Row],[Weekly Hours ]]/52.14285*Table1[[#This Row],[EQWP/ TTO Weeks paid per year]]</f>
        <v>2878.9436005957537</v>
      </c>
      <c r="V56" s="26"/>
      <c r="W56" s="26"/>
      <c r="X56" s="26"/>
      <c r="Y56" s="31"/>
      <c r="Z56" s="26"/>
      <c r="AA56" s="11"/>
      <c r="AB56" s="11"/>
      <c r="AC56" s="11"/>
      <c r="AD56" s="11"/>
      <c r="AE56" s="11"/>
      <c r="AF56" s="26"/>
      <c r="AG56" s="26" t="s">
        <v>48</v>
      </c>
      <c r="AH56" s="11" t="b">
        <v>0</v>
      </c>
      <c r="AI56" s="26"/>
      <c r="AJ56" s="26"/>
      <c r="AK56" t="s">
        <v>54</v>
      </c>
      <c r="AL56" s="44" t="s">
        <v>1292</v>
      </c>
      <c r="AM56" s="26" t="s">
        <v>50</v>
      </c>
      <c r="AN56" s="26"/>
      <c r="AO56" s="31"/>
      <c r="AP56" s="11" t="b">
        <v>0</v>
      </c>
      <c r="AQ56" s="11" t="b">
        <v>0</v>
      </c>
    </row>
    <row r="57" spans="1:43" ht="20.100000000000001" customHeight="1">
      <c r="A57" s="26" t="s">
        <v>216</v>
      </c>
      <c r="B57" t="s">
        <v>508</v>
      </c>
      <c r="C57" t="s">
        <v>509</v>
      </c>
      <c r="D57" s="27">
        <v>44805</v>
      </c>
      <c r="E57" t="s">
        <v>822</v>
      </c>
      <c r="F57" t="s">
        <v>876</v>
      </c>
      <c r="G57" t="s">
        <v>1125</v>
      </c>
      <c r="H57" s="26">
        <v>2000</v>
      </c>
      <c r="I57" s="26" t="s">
        <v>1507</v>
      </c>
      <c r="J57" s="26"/>
      <c r="K57" s="26">
        <v>32.43</v>
      </c>
      <c r="L57" s="39">
        <v>32.43</v>
      </c>
      <c r="M57" s="39"/>
      <c r="N57" s="44" t="s">
        <v>1115</v>
      </c>
      <c r="O57" s="40" t="s">
        <v>1115</v>
      </c>
      <c r="P57" s="26" t="s">
        <v>1160</v>
      </c>
      <c r="Q57" s="45">
        <v>4</v>
      </c>
      <c r="R57" s="26" t="s">
        <v>51</v>
      </c>
      <c r="S57" s="26"/>
      <c r="T57">
        <v>39556</v>
      </c>
      <c r="U57" s="46">
        <v>39556</v>
      </c>
      <c r="V57" s="26"/>
      <c r="W57" s="26"/>
      <c r="X57" s="26"/>
      <c r="Y57" s="31"/>
      <c r="Z57" s="26"/>
      <c r="AA57" s="11"/>
      <c r="AB57" s="11"/>
      <c r="AC57" s="11"/>
      <c r="AD57" s="11"/>
      <c r="AE57" s="11"/>
      <c r="AF57" s="26"/>
      <c r="AG57" s="11" t="s">
        <v>53</v>
      </c>
      <c r="AH57" s="11" t="b">
        <v>0</v>
      </c>
      <c r="AI57" s="26"/>
      <c r="AJ57" s="26"/>
      <c r="AK57" t="s">
        <v>54</v>
      </c>
      <c r="AL57" s="44" t="s">
        <v>1293</v>
      </c>
      <c r="AM57" s="26" t="s">
        <v>50</v>
      </c>
      <c r="AN57" s="26"/>
      <c r="AO57" s="31"/>
      <c r="AP57" s="11" t="b">
        <v>0</v>
      </c>
      <c r="AQ57" s="11" t="b">
        <v>0</v>
      </c>
    </row>
    <row r="58" spans="1:43" ht="20.100000000000001" customHeight="1">
      <c r="A58" s="26" t="s">
        <v>217</v>
      </c>
      <c r="B58" t="s">
        <v>510</v>
      </c>
      <c r="C58" t="s">
        <v>511</v>
      </c>
      <c r="D58" s="27">
        <v>43052</v>
      </c>
      <c r="E58" t="s">
        <v>819</v>
      </c>
      <c r="F58" t="s">
        <v>877</v>
      </c>
      <c r="G58" t="s">
        <v>1138</v>
      </c>
      <c r="H58" s="26">
        <v>2200</v>
      </c>
      <c r="I58" s="26" t="s">
        <v>1506</v>
      </c>
      <c r="J58" s="26"/>
      <c r="K58" s="26">
        <v>37</v>
      </c>
      <c r="L58" s="39">
        <v>10</v>
      </c>
      <c r="M58" s="39"/>
      <c r="N58" s="44">
        <v>38</v>
      </c>
      <c r="O58" s="40">
        <v>44.2</v>
      </c>
      <c r="P58" s="26" t="s">
        <v>1167</v>
      </c>
      <c r="Q58" s="45">
        <v>6</v>
      </c>
      <c r="R58" s="26">
        <v>6</v>
      </c>
      <c r="S58" s="26"/>
      <c r="T58">
        <v>25989</v>
      </c>
      <c r="U58" s="46">
        <f>Table1[[#This Row],[FTE Annual salary rate]]/Table1[[#This Row],[Full time hours for role]]*Table1[[#This Row],[Weekly Hours ]]/52.14285*Table1[[#This Row],[EQWP/ TTO Weeks paid per year]]</f>
        <v>5954.0893754213521</v>
      </c>
      <c r="V58" s="26"/>
      <c r="W58" s="26"/>
      <c r="X58" s="26"/>
      <c r="Y58" s="31"/>
      <c r="Z58" s="26"/>
      <c r="AA58" s="11"/>
      <c r="AB58" s="11"/>
      <c r="AC58" s="11"/>
      <c r="AD58" s="11"/>
      <c r="AE58" s="11"/>
      <c r="AF58" s="26"/>
      <c r="AG58" s="26" t="s">
        <v>48</v>
      </c>
      <c r="AH58" s="11" t="b">
        <v>0</v>
      </c>
      <c r="AI58" s="26"/>
      <c r="AJ58" s="26"/>
      <c r="AK58" t="s">
        <v>54</v>
      </c>
      <c r="AL58" s="44" t="s">
        <v>1294</v>
      </c>
      <c r="AM58" s="26" t="s">
        <v>50</v>
      </c>
      <c r="AN58" s="26"/>
      <c r="AO58" s="31"/>
      <c r="AP58" s="11" t="b">
        <v>0</v>
      </c>
      <c r="AQ58" s="11" t="b">
        <v>0</v>
      </c>
    </row>
    <row r="59" spans="1:43" ht="20.100000000000001" customHeight="1">
      <c r="A59" s="26" t="s">
        <v>217</v>
      </c>
      <c r="B59" t="s">
        <v>510</v>
      </c>
      <c r="C59" t="s">
        <v>511</v>
      </c>
      <c r="D59" s="27">
        <v>43052</v>
      </c>
      <c r="E59" t="s">
        <v>819</v>
      </c>
      <c r="F59" t="s">
        <v>878</v>
      </c>
      <c r="G59" t="s">
        <v>1120</v>
      </c>
      <c r="H59" s="26">
        <v>2200</v>
      </c>
      <c r="I59" s="26" t="s">
        <v>1506</v>
      </c>
      <c r="J59" s="26"/>
      <c r="K59" s="26">
        <v>37</v>
      </c>
      <c r="L59" s="39">
        <v>11</v>
      </c>
      <c r="M59" s="39"/>
      <c r="N59" s="44">
        <v>38</v>
      </c>
      <c r="O59" s="40">
        <v>44.2</v>
      </c>
      <c r="P59" s="26" t="s">
        <v>1167</v>
      </c>
      <c r="Q59" s="45">
        <v>6</v>
      </c>
      <c r="R59" s="26">
        <v>6</v>
      </c>
      <c r="S59" s="26"/>
      <c r="T59">
        <v>25989</v>
      </c>
      <c r="U59" s="46">
        <f>Table1[[#This Row],[FTE Annual salary rate]]/Table1[[#This Row],[Full time hours for role]]*Table1[[#This Row],[Weekly Hours ]]/52.14285*Table1[[#This Row],[EQWP/ TTO Weeks paid per year]]</f>
        <v>6549.4983129634866</v>
      </c>
      <c r="V59" s="26"/>
      <c r="W59" s="26"/>
      <c r="X59" s="26"/>
      <c r="Y59" s="31"/>
      <c r="Z59" s="26"/>
      <c r="AA59" s="11"/>
      <c r="AB59" s="11"/>
      <c r="AC59" s="11"/>
      <c r="AD59" s="11"/>
      <c r="AE59" s="11"/>
      <c r="AF59" s="26"/>
      <c r="AG59" s="26" t="s">
        <v>48</v>
      </c>
      <c r="AH59" s="11" t="b">
        <v>0</v>
      </c>
      <c r="AI59" s="26"/>
      <c r="AJ59" s="26"/>
      <c r="AK59" t="s">
        <v>54</v>
      </c>
      <c r="AL59" s="44" t="s">
        <v>1294</v>
      </c>
      <c r="AM59" s="26" t="s">
        <v>50</v>
      </c>
      <c r="AN59" s="26"/>
      <c r="AO59" s="31"/>
      <c r="AP59" s="11" t="b">
        <v>0</v>
      </c>
      <c r="AQ59" s="11" t="b">
        <v>0</v>
      </c>
    </row>
    <row r="60" spans="1:43" ht="20.100000000000001" customHeight="1">
      <c r="A60" s="26" t="s">
        <v>218</v>
      </c>
      <c r="B60" t="s">
        <v>512</v>
      </c>
      <c r="C60" t="s">
        <v>513</v>
      </c>
      <c r="D60" s="27">
        <v>45576</v>
      </c>
      <c r="E60" t="s">
        <v>820</v>
      </c>
      <c r="F60" t="s">
        <v>879</v>
      </c>
      <c r="G60" t="s">
        <v>1127</v>
      </c>
      <c r="H60" s="26">
        <v>2300</v>
      </c>
      <c r="I60" s="26" t="s">
        <v>1512</v>
      </c>
      <c r="J60" s="26"/>
      <c r="K60" s="26">
        <v>37</v>
      </c>
      <c r="L60" s="39">
        <v>0</v>
      </c>
      <c r="M60" s="39"/>
      <c r="N60" s="44" t="s">
        <v>1115</v>
      </c>
      <c r="O60" s="40" t="s">
        <v>1115</v>
      </c>
      <c r="P60" s="26" t="s">
        <v>1170</v>
      </c>
      <c r="Q60" s="44" t="s">
        <v>1169</v>
      </c>
      <c r="R60" s="26" t="s">
        <v>1169</v>
      </c>
      <c r="S60" s="26"/>
      <c r="T60">
        <v>0</v>
      </c>
      <c r="U60" s="46"/>
      <c r="V60" s="26"/>
      <c r="W60" s="26"/>
      <c r="X60" s="26"/>
      <c r="Y60" s="31"/>
      <c r="Z60" s="26"/>
      <c r="AA60" s="11"/>
      <c r="AB60" s="11"/>
      <c r="AC60" s="11"/>
      <c r="AD60" s="11"/>
      <c r="AE60" s="11"/>
      <c r="AF60" s="26"/>
      <c r="AG60" s="26"/>
      <c r="AH60" s="26"/>
      <c r="AI60" s="26"/>
      <c r="AJ60" s="26"/>
      <c r="AK60" t="s">
        <v>49</v>
      </c>
      <c r="AL60" s="44" t="s">
        <v>1295</v>
      </c>
      <c r="AM60" s="26" t="s">
        <v>50</v>
      </c>
      <c r="AN60" s="26"/>
      <c r="AO60" s="31"/>
      <c r="AP60" s="11" t="b">
        <v>0</v>
      </c>
      <c r="AQ60" s="26" t="b">
        <v>1</v>
      </c>
    </row>
    <row r="61" spans="1:43" ht="20.100000000000001" customHeight="1">
      <c r="A61" s="26" t="s">
        <v>219</v>
      </c>
      <c r="B61" t="s">
        <v>514</v>
      </c>
      <c r="C61" t="s">
        <v>515</v>
      </c>
      <c r="D61" s="27">
        <v>45552</v>
      </c>
      <c r="E61" t="s">
        <v>822</v>
      </c>
      <c r="F61" t="s">
        <v>880</v>
      </c>
      <c r="G61" t="s">
        <v>1127</v>
      </c>
      <c r="H61" s="26">
        <v>2300</v>
      </c>
      <c r="I61" s="26" t="s">
        <v>1512</v>
      </c>
      <c r="J61" s="26"/>
      <c r="K61" s="26">
        <v>37</v>
      </c>
      <c r="L61" s="39">
        <v>12.5</v>
      </c>
      <c r="M61" s="39"/>
      <c r="N61" s="44">
        <v>41.4</v>
      </c>
      <c r="O61" s="40">
        <v>46.4</v>
      </c>
      <c r="P61" s="26" t="s">
        <v>1162</v>
      </c>
      <c r="Q61" s="45">
        <v>1</v>
      </c>
      <c r="R61" s="26">
        <v>1</v>
      </c>
      <c r="S61" s="26"/>
      <c r="T61">
        <v>23557</v>
      </c>
      <c r="U61" s="46">
        <f>Table1[[#This Row],[FTE Annual salary rate]]/Table1[[#This Row],[Full time hours for role]]*Table1[[#This Row],[Weekly Hours ]]/52.14285*Table1[[#This Row],[EQWP/ TTO Weeks paid per year]]</f>
        <v>7081.9276639441805</v>
      </c>
      <c r="V61" s="26"/>
      <c r="W61" s="26"/>
      <c r="X61" s="26"/>
      <c r="Y61" s="31"/>
      <c r="Z61" s="26"/>
      <c r="AA61" s="11"/>
      <c r="AB61" s="11"/>
      <c r="AC61" s="11"/>
      <c r="AD61" s="11"/>
      <c r="AE61" s="11"/>
      <c r="AF61" s="26"/>
      <c r="AG61" s="26" t="s">
        <v>48</v>
      </c>
      <c r="AH61" s="11" t="b">
        <v>0</v>
      </c>
      <c r="AI61" s="26"/>
      <c r="AJ61" s="26"/>
      <c r="AK61" t="s">
        <v>54</v>
      </c>
      <c r="AL61" s="44" t="s">
        <v>1296</v>
      </c>
      <c r="AM61" s="26" t="s">
        <v>50</v>
      </c>
      <c r="AN61" s="26"/>
      <c r="AO61" s="31"/>
      <c r="AP61" s="11" t="b">
        <v>0</v>
      </c>
      <c r="AQ61" s="11" t="b">
        <v>0</v>
      </c>
    </row>
    <row r="62" spans="1:43" ht="20.100000000000001" customHeight="1">
      <c r="A62" s="26" t="s">
        <v>220</v>
      </c>
      <c r="B62" t="s">
        <v>514</v>
      </c>
      <c r="C62" t="s">
        <v>516</v>
      </c>
      <c r="D62" s="27">
        <v>45076</v>
      </c>
      <c r="E62" t="s">
        <v>821</v>
      </c>
      <c r="F62" t="s">
        <v>881</v>
      </c>
      <c r="G62" t="s">
        <v>1133</v>
      </c>
      <c r="H62" s="26">
        <v>2300</v>
      </c>
      <c r="I62" s="26" t="s">
        <v>1515</v>
      </c>
      <c r="J62" s="26"/>
      <c r="K62" s="26">
        <v>37</v>
      </c>
      <c r="L62" s="39">
        <v>20</v>
      </c>
      <c r="M62" s="39"/>
      <c r="N62" s="44"/>
      <c r="O62" s="40"/>
      <c r="P62" s="26" t="s">
        <v>1167</v>
      </c>
      <c r="Q62" s="45">
        <v>14</v>
      </c>
      <c r="R62" s="26">
        <v>17</v>
      </c>
      <c r="S62" s="26"/>
      <c r="T62">
        <v>29540</v>
      </c>
      <c r="U62" s="46">
        <v>15967.57</v>
      </c>
      <c r="V62" s="26"/>
      <c r="W62" s="26"/>
      <c r="X62" s="26"/>
      <c r="Y62" s="31"/>
      <c r="Z62" s="26"/>
      <c r="AA62" s="11"/>
      <c r="AB62" s="11"/>
      <c r="AC62" s="11"/>
      <c r="AD62" s="11"/>
      <c r="AE62" s="11"/>
      <c r="AF62" s="26"/>
      <c r="AG62" s="26" t="s">
        <v>48</v>
      </c>
      <c r="AH62" s="11" t="b">
        <v>0</v>
      </c>
      <c r="AI62" s="26"/>
      <c r="AJ62" s="26"/>
      <c r="AK62" t="s">
        <v>49</v>
      </c>
      <c r="AL62" s="44" t="s">
        <v>1297</v>
      </c>
      <c r="AM62" s="26" t="s">
        <v>50</v>
      </c>
      <c r="AN62" s="26"/>
      <c r="AO62" s="31"/>
      <c r="AP62" s="11" t="b">
        <v>0</v>
      </c>
      <c r="AQ62" s="11" t="b">
        <v>0</v>
      </c>
    </row>
    <row r="63" spans="1:43" ht="20.100000000000001" customHeight="1">
      <c r="A63" s="26" t="s">
        <v>382</v>
      </c>
      <c r="B63" t="s">
        <v>762</v>
      </c>
      <c r="C63" t="s">
        <v>491</v>
      </c>
      <c r="D63" s="87">
        <v>44739</v>
      </c>
      <c r="E63" t="s">
        <v>822</v>
      </c>
      <c r="F63" t="s">
        <v>1064</v>
      </c>
      <c r="G63" t="s">
        <v>1119</v>
      </c>
      <c r="H63" s="26">
        <v>2820</v>
      </c>
      <c r="I63" s="26" t="s">
        <v>1509</v>
      </c>
      <c r="J63" s="26"/>
      <c r="K63" s="26">
        <v>37</v>
      </c>
      <c r="L63" s="39">
        <v>15</v>
      </c>
      <c r="M63" s="39"/>
      <c r="N63" s="44">
        <v>38</v>
      </c>
      <c r="O63" s="40">
        <v>43.3</v>
      </c>
      <c r="P63" s="26" t="s">
        <v>1167</v>
      </c>
      <c r="Q63" s="45">
        <v>4</v>
      </c>
      <c r="R63" s="26">
        <v>4</v>
      </c>
      <c r="S63" s="26"/>
      <c r="T63">
        <v>25185</v>
      </c>
      <c r="U63" s="46">
        <f>Table1[[#This Row],[FTE Annual salary rate]]/Table1[[#This Row],[Full time hours for role]]*Table1[[#This Row],[Weekly Hours ]]/52.14285*Table1[[#This Row],[EQWP/ TTO Weeks paid per year]]</f>
        <v>8478.6092695614316</v>
      </c>
      <c r="V63" s="26" t="s">
        <v>1183</v>
      </c>
      <c r="W63" s="26">
        <v>100.56</v>
      </c>
      <c r="X63" s="26">
        <v>100.56</v>
      </c>
      <c r="Y63" s="31"/>
      <c r="Z63" s="26"/>
      <c r="AA63" s="11"/>
      <c r="AB63" s="11"/>
      <c r="AC63" s="11"/>
      <c r="AD63" s="11"/>
      <c r="AE63" s="11"/>
      <c r="AF63" s="26"/>
      <c r="AG63" s="11" t="s">
        <v>48</v>
      </c>
      <c r="AH63" s="11" t="b">
        <v>0</v>
      </c>
      <c r="AI63" s="26"/>
      <c r="AJ63" s="26"/>
      <c r="AK63" t="s">
        <v>54</v>
      </c>
      <c r="AL63" s="44" t="s">
        <v>1460</v>
      </c>
      <c r="AM63" s="26" t="s">
        <v>50</v>
      </c>
      <c r="AN63" s="26"/>
      <c r="AO63" s="31"/>
      <c r="AP63" s="11" t="b">
        <v>0</v>
      </c>
      <c r="AQ63" s="11" t="b">
        <v>0</v>
      </c>
    </row>
    <row r="64" spans="1:43" ht="20.100000000000001" customHeight="1">
      <c r="A64" s="26" t="s">
        <v>222</v>
      </c>
      <c r="B64" t="s">
        <v>519</v>
      </c>
      <c r="C64" t="s">
        <v>520</v>
      </c>
      <c r="D64" s="27">
        <v>45631</v>
      </c>
      <c r="E64" t="s">
        <v>823</v>
      </c>
      <c r="F64" t="s">
        <v>883</v>
      </c>
      <c r="G64" t="s">
        <v>1139</v>
      </c>
      <c r="H64" s="26">
        <v>2200</v>
      </c>
      <c r="I64" s="26" t="s">
        <v>1506</v>
      </c>
      <c r="J64" s="26"/>
      <c r="K64" s="26">
        <v>37</v>
      </c>
      <c r="L64" s="39">
        <v>22</v>
      </c>
      <c r="M64" s="39"/>
      <c r="N64" s="44">
        <v>40</v>
      </c>
      <c r="O64" s="40">
        <v>45.6</v>
      </c>
      <c r="P64" s="26" t="s">
        <v>1167</v>
      </c>
      <c r="Q64" s="45">
        <v>32</v>
      </c>
      <c r="R64" s="26">
        <v>35</v>
      </c>
      <c r="S64" s="26"/>
      <c r="T64">
        <v>42840</v>
      </c>
      <c r="U64" s="46">
        <f>Table1[[#This Row],[FTE Annual salary rate]]/Table1[[#This Row],[Full time hours for role]]*Table1[[#This Row],[Weekly Hours ]]/52.14285*Table1[[#This Row],[EQWP/ TTO Weeks paid per year]]</f>
        <v>22276.168619837983</v>
      </c>
      <c r="V64" s="26"/>
      <c r="W64" s="26"/>
      <c r="X64" s="26"/>
      <c r="Y64" s="31"/>
      <c r="Z64" s="26"/>
      <c r="AA64" s="11"/>
      <c r="AB64" s="11"/>
      <c r="AC64" s="11"/>
      <c r="AD64" s="11"/>
      <c r="AE64" s="11"/>
      <c r="AF64" s="26"/>
      <c r="AG64" s="26" t="s">
        <v>48</v>
      </c>
      <c r="AH64" s="11" t="b">
        <v>0</v>
      </c>
      <c r="AI64" s="26"/>
      <c r="AJ64" s="26"/>
      <c r="AK64" t="s">
        <v>54</v>
      </c>
      <c r="AL64" s="44" t="s">
        <v>1299</v>
      </c>
      <c r="AM64" s="26" t="s">
        <v>50</v>
      </c>
      <c r="AN64" s="26"/>
      <c r="AO64" s="31"/>
      <c r="AP64" s="11" t="b">
        <v>0</v>
      </c>
      <c r="AQ64" s="11" t="b">
        <v>0</v>
      </c>
    </row>
    <row r="65" spans="1:43" ht="20.100000000000001" customHeight="1">
      <c r="A65" s="26" t="s">
        <v>223</v>
      </c>
      <c r="B65" t="s">
        <v>521</v>
      </c>
      <c r="C65" t="s">
        <v>522</v>
      </c>
      <c r="D65" s="27">
        <v>45170</v>
      </c>
      <c r="E65" t="s">
        <v>821</v>
      </c>
      <c r="F65" t="s">
        <v>884</v>
      </c>
      <c r="G65" t="s">
        <v>1120</v>
      </c>
      <c r="H65" s="26">
        <v>2200</v>
      </c>
      <c r="I65" s="26" t="s">
        <v>1506</v>
      </c>
      <c r="J65" s="26"/>
      <c r="K65" s="26">
        <v>37</v>
      </c>
      <c r="L65" s="39">
        <v>27.5</v>
      </c>
      <c r="M65" s="39"/>
      <c r="N65" s="44">
        <v>38</v>
      </c>
      <c r="O65" s="40">
        <v>43.3</v>
      </c>
      <c r="P65" s="26" t="s">
        <v>1167</v>
      </c>
      <c r="Q65" s="45">
        <v>6</v>
      </c>
      <c r="R65" s="26">
        <v>6</v>
      </c>
      <c r="S65" s="26"/>
      <c r="T65">
        <v>25989</v>
      </c>
      <c r="U65" s="46">
        <f>Table1[[#This Row],[FTE Annual salary rate]]/Table1[[#This Row],[Full time hours for role]]*Table1[[#This Row],[Weekly Hours ]]/52.14285*Table1[[#This Row],[EQWP/ TTO Weeks paid per year]]</f>
        <v>16040.343718966004</v>
      </c>
      <c r="V65" s="26"/>
      <c r="W65" s="26"/>
      <c r="X65" s="26"/>
      <c r="Y65" s="31"/>
      <c r="Z65" s="26"/>
      <c r="AA65" s="11"/>
      <c r="AB65" s="11"/>
      <c r="AC65" s="11"/>
      <c r="AD65" s="11"/>
      <c r="AE65" s="11"/>
      <c r="AF65" s="26"/>
      <c r="AG65" s="26" t="s">
        <v>48</v>
      </c>
      <c r="AH65" s="11" t="b">
        <v>0</v>
      </c>
      <c r="AI65" s="26"/>
      <c r="AJ65" s="26"/>
      <c r="AK65" t="s">
        <v>54</v>
      </c>
      <c r="AL65" s="44" t="s">
        <v>1300</v>
      </c>
      <c r="AM65" s="26" t="s">
        <v>50</v>
      </c>
      <c r="AN65" s="26"/>
      <c r="AO65" s="31"/>
      <c r="AP65" s="11" t="b">
        <v>0</v>
      </c>
      <c r="AQ65" s="11" t="b">
        <v>0</v>
      </c>
    </row>
    <row r="66" spans="1:43" ht="20.100000000000001" customHeight="1">
      <c r="A66" s="26" t="s">
        <v>224</v>
      </c>
      <c r="B66" t="s">
        <v>521</v>
      </c>
      <c r="C66" t="s">
        <v>523</v>
      </c>
      <c r="D66" s="27">
        <v>40742</v>
      </c>
      <c r="E66" t="s">
        <v>821</v>
      </c>
      <c r="F66" t="s">
        <v>885</v>
      </c>
      <c r="G66" t="s">
        <v>1119</v>
      </c>
      <c r="H66" s="26">
        <v>2820</v>
      </c>
      <c r="I66" s="26" t="s">
        <v>1509</v>
      </c>
      <c r="J66" s="26"/>
      <c r="K66" s="26">
        <v>37</v>
      </c>
      <c r="L66" s="39">
        <v>8.75</v>
      </c>
      <c r="M66" s="39"/>
      <c r="N66" s="44">
        <v>38</v>
      </c>
      <c r="O66" s="40">
        <v>44.8</v>
      </c>
      <c r="P66" s="26" t="s">
        <v>1167</v>
      </c>
      <c r="Q66" s="45">
        <v>4</v>
      </c>
      <c r="R66" s="26">
        <v>4</v>
      </c>
      <c r="S66" s="26"/>
      <c r="T66">
        <v>25185</v>
      </c>
      <c r="U66" s="46">
        <f>Table1[[#This Row],[FTE Annual salary rate]]/Table1[[#This Row],[Full time hours for role]]*Table1[[#This Row],[Weekly Hours ]]/52.14285*Table1[[#This Row],[EQWP/ TTO Weeks paid per year]]</f>
        <v>5117.1898901741051</v>
      </c>
      <c r="V66" s="26"/>
      <c r="W66" s="26"/>
      <c r="X66" s="26"/>
      <c r="Y66" s="31"/>
      <c r="Z66" s="26"/>
      <c r="AA66" s="11"/>
      <c r="AB66" s="11"/>
      <c r="AC66" s="11"/>
      <c r="AD66" s="11"/>
      <c r="AE66" s="11"/>
      <c r="AF66" s="26"/>
      <c r="AG66" s="26" t="s">
        <v>48</v>
      </c>
      <c r="AH66" s="11" t="b">
        <v>0</v>
      </c>
      <c r="AI66" s="26"/>
      <c r="AJ66" s="26"/>
      <c r="AK66" t="s">
        <v>54</v>
      </c>
      <c r="AL66" s="44" t="s">
        <v>1301</v>
      </c>
      <c r="AM66" s="26" t="s">
        <v>50</v>
      </c>
      <c r="AN66" s="26"/>
      <c r="AO66" s="31"/>
      <c r="AP66" s="11" t="b">
        <v>0</v>
      </c>
      <c r="AQ66" s="11" t="b">
        <v>0</v>
      </c>
    </row>
    <row r="67" spans="1:43" ht="20.100000000000001" customHeight="1">
      <c r="A67" s="26" t="s">
        <v>224</v>
      </c>
      <c r="B67" t="s">
        <v>521</v>
      </c>
      <c r="C67" t="s">
        <v>523</v>
      </c>
      <c r="D67" s="27">
        <v>40742</v>
      </c>
      <c r="E67" t="s">
        <v>821</v>
      </c>
      <c r="F67" t="s">
        <v>886</v>
      </c>
      <c r="G67" t="s">
        <v>1127</v>
      </c>
      <c r="H67" s="26">
        <v>2300</v>
      </c>
      <c r="I67" s="26" t="s">
        <v>1512</v>
      </c>
      <c r="J67" s="26"/>
      <c r="K67" s="26">
        <v>37</v>
      </c>
      <c r="L67" s="39">
        <v>8.75</v>
      </c>
      <c r="M67" s="39"/>
      <c r="N67" s="44">
        <v>41.4</v>
      </c>
      <c r="O67" s="40">
        <v>46.4</v>
      </c>
      <c r="P67" s="26" t="s">
        <v>1162</v>
      </c>
      <c r="Q67" s="45">
        <v>1</v>
      </c>
      <c r="R67" s="26">
        <v>1</v>
      </c>
      <c r="S67" s="26"/>
      <c r="T67">
        <v>23557</v>
      </c>
      <c r="U67" s="46">
        <f>Table1[[#This Row],[FTE Annual salary rate]]/Table1[[#This Row],[Full time hours for role]]*Table1[[#This Row],[Weekly Hours ]]/52.14285*Table1[[#This Row],[EQWP/ TTO Weeks paid per year]]</f>
        <v>4957.3493647609266</v>
      </c>
      <c r="V67" s="26"/>
      <c r="W67" s="26"/>
      <c r="X67" s="26"/>
      <c r="Y67" s="31"/>
      <c r="Z67" s="26"/>
      <c r="AA67" s="11"/>
      <c r="AB67" s="11"/>
      <c r="AC67" s="11"/>
      <c r="AD67" s="11"/>
      <c r="AE67" s="11"/>
      <c r="AF67" s="26"/>
      <c r="AG67" s="26" t="s">
        <v>48</v>
      </c>
      <c r="AH67" s="11" t="b">
        <v>0</v>
      </c>
      <c r="AI67" s="26"/>
      <c r="AJ67" s="26"/>
      <c r="AK67" t="s">
        <v>54</v>
      </c>
      <c r="AL67" s="44" t="s">
        <v>1301</v>
      </c>
      <c r="AM67" s="26" t="s">
        <v>50</v>
      </c>
      <c r="AN67" s="26"/>
      <c r="AO67" s="31"/>
      <c r="AP67" s="11" t="b">
        <v>0</v>
      </c>
      <c r="AQ67" s="11" t="b">
        <v>0</v>
      </c>
    </row>
    <row r="68" spans="1:43" ht="20.100000000000001" customHeight="1">
      <c r="A68" s="26" t="s">
        <v>225</v>
      </c>
      <c r="B68" t="s">
        <v>524</v>
      </c>
      <c r="C68" t="s">
        <v>507</v>
      </c>
      <c r="D68" s="27">
        <v>40422</v>
      </c>
      <c r="E68" t="s">
        <v>821</v>
      </c>
      <c r="F68" t="s">
        <v>887</v>
      </c>
      <c r="G68" t="s">
        <v>1120</v>
      </c>
      <c r="H68" s="26">
        <v>2200</v>
      </c>
      <c r="I68" s="26" t="s">
        <v>1506</v>
      </c>
      <c r="J68" s="26"/>
      <c r="K68" s="26">
        <v>37</v>
      </c>
      <c r="L68" s="39">
        <v>17.5</v>
      </c>
      <c r="M68" s="39"/>
      <c r="N68" s="44">
        <v>38</v>
      </c>
      <c r="O68" s="40">
        <v>44.8</v>
      </c>
      <c r="P68" s="26" t="s">
        <v>1167</v>
      </c>
      <c r="Q68" s="45">
        <v>6</v>
      </c>
      <c r="R68" s="26">
        <v>6</v>
      </c>
      <c r="S68" s="26"/>
      <c r="T68">
        <v>25989</v>
      </c>
      <c r="U68" s="46">
        <f>Table1[[#This Row],[FTE Annual salary rate]]/Table1[[#This Row],[Full time hours for role]]*Table1[[#This Row],[Weekly Hours ]]/52.14285*Table1[[#This Row],[EQWP/ TTO Weeks paid per year]]</f>
        <v>10561.099706629726</v>
      </c>
      <c r="V68" s="26"/>
      <c r="W68" s="26"/>
      <c r="X68" s="26"/>
      <c r="Y68" s="31"/>
      <c r="Z68" s="26"/>
      <c r="AA68" s="11"/>
      <c r="AB68" s="11"/>
      <c r="AC68" s="11"/>
      <c r="AD68" s="11"/>
      <c r="AE68" s="11"/>
      <c r="AF68" s="26"/>
      <c r="AG68" s="26" t="s">
        <v>48</v>
      </c>
      <c r="AH68" s="11" t="b">
        <v>0</v>
      </c>
      <c r="AI68" s="26"/>
      <c r="AJ68" s="26"/>
      <c r="AK68" t="s">
        <v>54</v>
      </c>
      <c r="AL68" s="44" t="s">
        <v>1302</v>
      </c>
      <c r="AM68" s="26" t="s">
        <v>50</v>
      </c>
      <c r="AN68" s="26"/>
      <c r="AO68" s="31"/>
      <c r="AP68" s="11" t="b">
        <v>0</v>
      </c>
      <c r="AQ68" s="11" t="b">
        <v>0</v>
      </c>
    </row>
    <row r="69" spans="1:43" ht="20.100000000000001" customHeight="1">
      <c r="A69" s="26" t="s">
        <v>226</v>
      </c>
      <c r="B69" t="s">
        <v>525</v>
      </c>
      <c r="C69" t="s">
        <v>526</v>
      </c>
      <c r="D69" s="27">
        <v>44719</v>
      </c>
      <c r="E69" t="s">
        <v>819</v>
      </c>
      <c r="F69" t="s">
        <v>888</v>
      </c>
      <c r="G69" t="s">
        <v>1116</v>
      </c>
      <c r="H69" s="26">
        <v>2200</v>
      </c>
      <c r="I69" s="26" t="s">
        <v>1506</v>
      </c>
      <c r="J69" s="26"/>
      <c r="K69" s="26">
        <v>37</v>
      </c>
      <c r="L69" s="39">
        <v>31.75</v>
      </c>
      <c r="M69" s="39"/>
      <c r="N69" s="44">
        <v>38</v>
      </c>
      <c r="O69" s="40">
        <v>43.3</v>
      </c>
      <c r="P69" s="26" t="s">
        <v>1167</v>
      </c>
      <c r="Q69" s="45">
        <v>14</v>
      </c>
      <c r="R69" s="26">
        <v>17</v>
      </c>
      <c r="S69" s="26"/>
      <c r="T69">
        <v>29540</v>
      </c>
      <c r="U69" s="46">
        <f>Table1[[#This Row],[FTE Annual salary rate]]/Table1[[#This Row],[Full time hours for role]]*Table1[[#This Row],[Weekly Hours ]]/52.14285*Table1[[#This Row],[EQWP/ TTO Weeks paid per year]]</f>
        <v>21049.686297069205</v>
      </c>
      <c r="V69" s="26"/>
      <c r="W69" s="26"/>
      <c r="X69" s="26"/>
      <c r="Y69" s="31"/>
      <c r="Z69" s="26"/>
      <c r="AA69" s="11"/>
      <c r="AB69" s="11"/>
      <c r="AC69" s="11"/>
      <c r="AD69" s="11"/>
      <c r="AE69" s="11"/>
      <c r="AF69" s="26"/>
      <c r="AG69" s="26" t="s">
        <v>48</v>
      </c>
      <c r="AH69" s="11" t="b">
        <v>0</v>
      </c>
      <c r="AI69" s="26"/>
      <c r="AJ69" s="26"/>
      <c r="AK69" t="s">
        <v>54</v>
      </c>
      <c r="AL69" s="44" t="s">
        <v>1303</v>
      </c>
      <c r="AM69" s="26" t="s">
        <v>50</v>
      </c>
      <c r="AN69" s="26"/>
      <c r="AO69" s="31"/>
      <c r="AP69" s="11" t="b">
        <v>0</v>
      </c>
      <c r="AQ69" s="11" t="b">
        <v>0</v>
      </c>
    </row>
    <row r="70" spans="1:43" ht="20.100000000000001" customHeight="1">
      <c r="A70" s="26" t="s">
        <v>227</v>
      </c>
      <c r="B70" t="s">
        <v>527</v>
      </c>
      <c r="C70" t="s">
        <v>528</v>
      </c>
      <c r="D70" s="27">
        <v>45536</v>
      </c>
      <c r="E70" t="s">
        <v>819</v>
      </c>
      <c r="F70" t="s">
        <v>889</v>
      </c>
      <c r="G70" t="s">
        <v>1125</v>
      </c>
      <c r="H70" s="26">
        <v>2000</v>
      </c>
      <c r="I70" s="26" t="s">
        <v>1507</v>
      </c>
      <c r="J70" s="26"/>
      <c r="K70" s="26">
        <v>32.43</v>
      </c>
      <c r="L70" s="39">
        <v>32.43</v>
      </c>
      <c r="M70" s="39"/>
      <c r="N70" s="44" t="s">
        <v>1115</v>
      </c>
      <c r="O70" s="40" t="s">
        <v>1115</v>
      </c>
      <c r="P70" s="26" t="s">
        <v>1160</v>
      </c>
      <c r="Q70" s="45">
        <v>6</v>
      </c>
      <c r="R70" s="26" t="s">
        <v>51</v>
      </c>
      <c r="S70" s="26"/>
      <c r="T70">
        <v>45352</v>
      </c>
      <c r="U70" s="46">
        <v>45352</v>
      </c>
      <c r="V70" s="26"/>
      <c r="W70" s="26"/>
      <c r="X70" s="26"/>
      <c r="Y70" s="31"/>
      <c r="Z70" s="26"/>
      <c r="AA70" s="11"/>
      <c r="AB70" s="11"/>
      <c r="AC70" s="11"/>
      <c r="AD70" s="11"/>
      <c r="AE70" s="11"/>
      <c r="AF70" s="26"/>
      <c r="AG70" s="11" t="s">
        <v>53</v>
      </c>
      <c r="AH70" s="11" t="b">
        <v>0</v>
      </c>
      <c r="AI70" s="26"/>
      <c r="AJ70" s="26"/>
      <c r="AK70" t="s">
        <v>49</v>
      </c>
      <c r="AL70" s="44" t="s">
        <v>1304</v>
      </c>
      <c r="AM70" s="26" t="s">
        <v>50</v>
      </c>
      <c r="AN70" s="26"/>
      <c r="AO70" s="31"/>
      <c r="AP70" s="11" t="b">
        <v>0</v>
      </c>
      <c r="AQ70" s="11" t="b">
        <v>0</v>
      </c>
    </row>
    <row r="71" spans="1:43" ht="20.100000000000001" customHeight="1">
      <c r="A71" s="26" t="s">
        <v>228</v>
      </c>
      <c r="B71" t="s">
        <v>529</v>
      </c>
      <c r="C71" t="s">
        <v>530</v>
      </c>
      <c r="D71" s="27">
        <v>43344</v>
      </c>
      <c r="E71" t="s">
        <v>822</v>
      </c>
      <c r="F71" t="s">
        <v>890</v>
      </c>
      <c r="G71" t="s">
        <v>1140</v>
      </c>
      <c r="H71" s="26">
        <v>2200</v>
      </c>
      <c r="I71" s="26" t="s">
        <v>1506</v>
      </c>
      <c r="J71" s="26"/>
      <c r="K71" s="26">
        <v>37</v>
      </c>
      <c r="L71" s="39">
        <v>37.5</v>
      </c>
      <c r="M71" s="39"/>
      <c r="N71" s="44">
        <v>38</v>
      </c>
      <c r="O71" s="40">
        <v>44.2</v>
      </c>
      <c r="P71" s="26" t="s">
        <v>1167</v>
      </c>
      <c r="Q71" s="45">
        <v>16</v>
      </c>
      <c r="R71" s="26">
        <v>17</v>
      </c>
      <c r="S71" s="26"/>
      <c r="T71">
        <v>30519</v>
      </c>
      <c r="U71" s="46">
        <f>Table1[[#This Row],[FTE Annual salary rate]]/Table1[[#This Row],[Full time hours for role]]*Table1[[#This Row],[Weekly Hours ]]/52.14285*Table1[[#This Row],[EQWP/ TTO Weeks paid per year]]</f>
        <v>26219.67760136272</v>
      </c>
      <c r="V71" s="26"/>
      <c r="W71" s="26"/>
      <c r="X71" s="26"/>
      <c r="Y71" s="31"/>
      <c r="Z71" s="26"/>
      <c r="AA71" s="11"/>
      <c r="AB71" s="11"/>
      <c r="AC71" s="11"/>
      <c r="AD71" s="11"/>
      <c r="AE71" s="11"/>
      <c r="AF71" s="26"/>
      <c r="AG71" s="26" t="s">
        <v>48</v>
      </c>
      <c r="AH71" s="11" t="b">
        <v>0</v>
      </c>
      <c r="AI71" s="26"/>
      <c r="AJ71" s="26"/>
      <c r="AK71" t="s">
        <v>54</v>
      </c>
      <c r="AL71" s="44" t="s">
        <v>1305</v>
      </c>
      <c r="AM71" s="26" t="s">
        <v>50</v>
      </c>
      <c r="AN71" s="26"/>
      <c r="AO71" s="31"/>
      <c r="AP71" s="11" t="b">
        <v>0</v>
      </c>
      <c r="AQ71" s="11" t="b">
        <v>0</v>
      </c>
    </row>
    <row r="72" spans="1:43" ht="20.100000000000001" customHeight="1">
      <c r="A72" s="26" t="s">
        <v>229</v>
      </c>
      <c r="B72" t="s">
        <v>531</v>
      </c>
      <c r="C72" t="s">
        <v>479</v>
      </c>
      <c r="D72" s="27">
        <v>41518</v>
      </c>
      <c r="E72" t="s">
        <v>821</v>
      </c>
      <c r="F72" t="s">
        <v>891</v>
      </c>
      <c r="G72" t="s">
        <v>1172</v>
      </c>
      <c r="H72" s="26">
        <v>2000</v>
      </c>
      <c r="I72" s="26" t="s">
        <v>1507</v>
      </c>
      <c r="J72" s="26"/>
      <c r="K72" s="26">
        <v>32.43</v>
      </c>
      <c r="L72" s="39">
        <v>25.94</v>
      </c>
      <c r="M72" s="39"/>
      <c r="N72" s="44" t="s">
        <v>1115</v>
      </c>
      <c r="O72" s="40" t="s">
        <v>1115</v>
      </c>
      <c r="P72" s="26" t="s">
        <v>1168</v>
      </c>
      <c r="Q72" s="45">
        <v>10</v>
      </c>
      <c r="R72" s="26">
        <v>10</v>
      </c>
      <c r="S72" s="26"/>
      <c r="T72">
        <v>64691</v>
      </c>
      <c r="U72" s="46">
        <v>51762.21</v>
      </c>
      <c r="V72" s="26"/>
      <c r="W72" s="26"/>
      <c r="X72" s="26"/>
      <c r="Y72" s="31"/>
      <c r="Z72" s="26"/>
      <c r="AA72" s="11"/>
      <c r="AB72" s="11"/>
      <c r="AC72" s="11"/>
      <c r="AD72" s="11"/>
      <c r="AE72" s="11"/>
      <c r="AF72" s="26"/>
      <c r="AG72" s="11" t="s">
        <v>53</v>
      </c>
      <c r="AH72" s="11" t="b">
        <v>0</v>
      </c>
      <c r="AI72" s="26"/>
      <c r="AJ72" s="26"/>
      <c r="AK72" t="s">
        <v>54</v>
      </c>
      <c r="AL72" s="44" t="s">
        <v>1306</v>
      </c>
      <c r="AM72" s="26" t="s">
        <v>50</v>
      </c>
      <c r="AN72" s="26"/>
      <c r="AO72" s="31"/>
      <c r="AP72" s="11" t="b">
        <v>0</v>
      </c>
      <c r="AQ72" s="11" t="b">
        <v>0</v>
      </c>
    </row>
    <row r="73" spans="1:43" ht="20.100000000000001" customHeight="1">
      <c r="A73" s="26" t="s">
        <v>230</v>
      </c>
      <c r="B73" t="s">
        <v>532</v>
      </c>
      <c r="C73" t="s">
        <v>533</v>
      </c>
      <c r="D73" s="27">
        <v>38961</v>
      </c>
      <c r="E73" t="s">
        <v>821</v>
      </c>
      <c r="F73" t="s">
        <v>892</v>
      </c>
      <c r="G73" t="s">
        <v>1125</v>
      </c>
      <c r="H73" s="26">
        <v>2000</v>
      </c>
      <c r="I73" s="26" t="s">
        <v>1507</v>
      </c>
      <c r="J73" s="26"/>
      <c r="K73" s="26">
        <v>32.43</v>
      </c>
      <c r="L73" s="49">
        <v>16.215</v>
      </c>
      <c r="M73" s="39"/>
      <c r="N73" s="44" t="s">
        <v>1115</v>
      </c>
      <c r="O73" s="40" t="s">
        <v>1115</v>
      </c>
      <c r="P73" s="26" t="s">
        <v>1160</v>
      </c>
      <c r="Q73" s="45">
        <v>6</v>
      </c>
      <c r="R73" s="26" t="s">
        <v>51</v>
      </c>
      <c r="S73" s="26"/>
      <c r="T73">
        <v>45352</v>
      </c>
      <c r="U73" s="46">
        <f>Table1[[#This Row],[FTE Annual salary rate]]*16.215/32.43</f>
        <v>22676</v>
      </c>
      <c r="V73" s="26"/>
      <c r="W73" s="26"/>
      <c r="X73" s="26"/>
      <c r="Y73" s="31"/>
      <c r="Z73" s="26"/>
      <c r="AA73" s="11"/>
      <c r="AB73" s="11"/>
      <c r="AC73" s="11"/>
      <c r="AD73" s="11"/>
      <c r="AE73" s="11"/>
      <c r="AF73" s="26"/>
      <c r="AG73" s="11" t="s">
        <v>53</v>
      </c>
      <c r="AH73" s="11" t="b">
        <v>0</v>
      </c>
      <c r="AI73" s="26"/>
      <c r="AJ73" s="26"/>
      <c r="AK73" t="s">
        <v>54</v>
      </c>
      <c r="AL73" s="44" t="s">
        <v>1307</v>
      </c>
      <c r="AM73" s="26" t="s">
        <v>50</v>
      </c>
      <c r="AN73" s="26"/>
      <c r="AO73" s="31"/>
      <c r="AP73" s="11" t="b">
        <v>0</v>
      </c>
      <c r="AQ73" s="11" t="b">
        <v>0</v>
      </c>
    </row>
    <row r="74" spans="1:43" ht="20.100000000000001" customHeight="1">
      <c r="A74" s="26" t="s">
        <v>231</v>
      </c>
      <c r="B74" t="s">
        <v>534</v>
      </c>
      <c r="C74" t="s">
        <v>535</v>
      </c>
      <c r="D74" s="27">
        <v>43038</v>
      </c>
      <c r="E74" t="s">
        <v>821</v>
      </c>
      <c r="F74" t="s">
        <v>893</v>
      </c>
      <c r="G74" t="s">
        <v>1128</v>
      </c>
      <c r="H74" s="26">
        <v>2200</v>
      </c>
      <c r="I74" s="26" t="s">
        <v>1506</v>
      </c>
      <c r="J74" s="26"/>
      <c r="K74" s="26">
        <v>37</v>
      </c>
      <c r="L74" s="39">
        <v>28.75</v>
      </c>
      <c r="M74" s="39"/>
      <c r="N74" s="44">
        <v>38</v>
      </c>
      <c r="O74" s="40">
        <v>44.2</v>
      </c>
      <c r="P74" s="26" t="s">
        <v>1167</v>
      </c>
      <c r="Q74" s="45">
        <v>6</v>
      </c>
      <c r="R74" s="26">
        <v>6</v>
      </c>
      <c r="S74" s="26"/>
      <c r="T74">
        <v>25989</v>
      </c>
      <c r="U74" s="46">
        <f>Table1[[#This Row],[FTE Annual salary rate]]/Table1[[#This Row],[Full time hours for role]]*Table1[[#This Row],[Weekly Hours ]]/52.14285*Table1[[#This Row],[EQWP/ TTO Weeks paid per year]]</f>
        <v>17118.006954336386</v>
      </c>
      <c r="V74" s="26"/>
      <c r="W74" s="26"/>
      <c r="X74" s="26"/>
      <c r="Y74" s="31"/>
      <c r="Z74" s="26"/>
      <c r="AA74" s="11"/>
      <c r="AB74" s="11"/>
      <c r="AC74" s="11"/>
      <c r="AD74" s="11"/>
      <c r="AE74" s="11"/>
      <c r="AF74" s="26"/>
      <c r="AG74" s="26" t="s">
        <v>48</v>
      </c>
      <c r="AH74" s="11" t="b">
        <v>0</v>
      </c>
      <c r="AI74" s="26"/>
      <c r="AJ74" s="26"/>
      <c r="AK74" t="s">
        <v>54</v>
      </c>
      <c r="AL74" s="44" t="s">
        <v>1308</v>
      </c>
      <c r="AM74" s="26" t="s">
        <v>50</v>
      </c>
      <c r="AN74" s="26"/>
      <c r="AO74" s="31"/>
      <c r="AP74" s="11" t="b">
        <v>0</v>
      </c>
      <c r="AQ74" s="11" t="b">
        <v>0</v>
      </c>
    </row>
    <row r="75" spans="1:43" ht="20.100000000000001" customHeight="1">
      <c r="A75" s="26" t="s">
        <v>232</v>
      </c>
      <c r="B75" t="s">
        <v>534</v>
      </c>
      <c r="C75" t="s">
        <v>438</v>
      </c>
      <c r="D75" s="27">
        <v>36770</v>
      </c>
      <c r="E75" t="s">
        <v>820</v>
      </c>
      <c r="F75" t="s">
        <v>894</v>
      </c>
      <c r="G75" t="s">
        <v>1120</v>
      </c>
      <c r="H75" s="26">
        <v>2200</v>
      </c>
      <c r="I75" s="26" t="s">
        <v>1506</v>
      </c>
      <c r="J75" s="26"/>
      <c r="K75" s="26">
        <v>37</v>
      </c>
      <c r="L75" s="39">
        <v>28.75</v>
      </c>
      <c r="M75" s="39"/>
      <c r="N75" s="44">
        <v>38</v>
      </c>
      <c r="O75" s="40">
        <v>44.8</v>
      </c>
      <c r="P75" s="26" t="s">
        <v>1167</v>
      </c>
      <c r="Q75" s="45">
        <v>6</v>
      </c>
      <c r="R75" s="26">
        <v>6</v>
      </c>
      <c r="S75" s="26"/>
      <c r="T75">
        <v>25989</v>
      </c>
      <c r="U75" s="46">
        <f>Table1[[#This Row],[FTE Annual salary rate]]/Table1[[#This Row],[Full time hours for role]]*Table1[[#This Row],[Weekly Hours ]]/52.14285*Table1[[#This Row],[EQWP/ TTO Weeks paid per year]]</f>
        <v>17350.37808946312</v>
      </c>
      <c r="V75" s="26"/>
      <c r="W75" s="26"/>
      <c r="X75" s="26"/>
      <c r="Y75" s="31"/>
      <c r="Z75" s="26"/>
      <c r="AA75" s="11"/>
      <c r="AB75" s="11"/>
      <c r="AC75" s="11"/>
      <c r="AD75" s="11"/>
      <c r="AE75" s="11"/>
      <c r="AF75" s="26"/>
      <c r="AG75" s="26" t="s">
        <v>48</v>
      </c>
      <c r="AH75" s="11" t="b">
        <v>0</v>
      </c>
      <c r="AI75" s="26"/>
      <c r="AJ75" s="26"/>
      <c r="AK75" t="s">
        <v>54</v>
      </c>
      <c r="AL75" s="44" t="s">
        <v>1309</v>
      </c>
      <c r="AM75" s="26" t="s">
        <v>50</v>
      </c>
      <c r="AN75" s="26"/>
      <c r="AO75" s="31"/>
      <c r="AP75" s="11" t="b">
        <v>0</v>
      </c>
      <c r="AQ75" s="11" t="b">
        <v>0</v>
      </c>
    </row>
    <row r="76" spans="1:43" ht="20.100000000000001" customHeight="1">
      <c r="A76" s="26" t="s">
        <v>233</v>
      </c>
      <c r="B76" t="s">
        <v>536</v>
      </c>
      <c r="C76" t="s">
        <v>530</v>
      </c>
      <c r="D76" s="27">
        <v>44805</v>
      </c>
      <c r="E76" t="s">
        <v>819</v>
      </c>
      <c r="F76" t="s">
        <v>895</v>
      </c>
      <c r="G76" t="s">
        <v>1118</v>
      </c>
      <c r="H76" s="26">
        <v>2000</v>
      </c>
      <c r="I76" s="26" t="s">
        <v>1507</v>
      </c>
      <c r="J76" s="26"/>
      <c r="K76" s="26">
        <v>32.43</v>
      </c>
      <c r="L76" s="39">
        <v>32.43</v>
      </c>
      <c r="M76" s="39"/>
      <c r="N76" s="44" t="s">
        <v>1115</v>
      </c>
      <c r="O76" s="40" t="s">
        <v>1115</v>
      </c>
      <c r="P76" s="26" t="s">
        <v>1161</v>
      </c>
      <c r="Q76" s="45">
        <v>3</v>
      </c>
      <c r="R76" s="26" t="s">
        <v>52</v>
      </c>
      <c r="S76" s="26"/>
      <c r="T76">
        <v>51048</v>
      </c>
      <c r="U76" s="46">
        <v>51048</v>
      </c>
      <c r="V76" s="26"/>
      <c r="W76" s="26"/>
      <c r="X76" s="26"/>
      <c r="Y76" s="31"/>
      <c r="Z76" s="26"/>
      <c r="AA76" s="11"/>
      <c r="AB76" s="11"/>
      <c r="AC76" s="11"/>
      <c r="AD76" s="11"/>
      <c r="AE76" s="11"/>
      <c r="AF76" s="26"/>
      <c r="AG76" s="11" t="s">
        <v>53</v>
      </c>
      <c r="AH76" s="11" t="b">
        <v>0</v>
      </c>
      <c r="AI76" s="26"/>
      <c r="AJ76" s="26"/>
      <c r="AK76" t="s">
        <v>54</v>
      </c>
      <c r="AL76" s="44" t="s">
        <v>1310</v>
      </c>
      <c r="AM76" s="26" t="s">
        <v>50</v>
      </c>
      <c r="AN76" s="26"/>
      <c r="AO76" s="31"/>
      <c r="AP76" s="11" t="b">
        <v>0</v>
      </c>
      <c r="AQ76" s="11" t="b">
        <v>0</v>
      </c>
    </row>
    <row r="77" spans="1:43" ht="20.100000000000001" customHeight="1">
      <c r="A77" s="26" t="s">
        <v>234</v>
      </c>
      <c r="B77" t="s">
        <v>537</v>
      </c>
      <c r="C77" t="s">
        <v>538</v>
      </c>
      <c r="D77" s="27">
        <v>37596</v>
      </c>
      <c r="E77" t="s">
        <v>820</v>
      </c>
      <c r="F77" t="s">
        <v>896</v>
      </c>
      <c r="G77" t="s">
        <v>1141</v>
      </c>
      <c r="H77" s="26">
        <v>2630</v>
      </c>
      <c r="I77" s="26" t="s">
        <v>1511</v>
      </c>
      <c r="J77" s="26"/>
      <c r="K77" s="26">
        <v>37</v>
      </c>
      <c r="L77" s="39">
        <v>23</v>
      </c>
      <c r="M77" s="39"/>
      <c r="N77" s="44">
        <v>38.6</v>
      </c>
      <c r="O77" s="40">
        <v>45.5</v>
      </c>
      <c r="P77" s="26" t="s">
        <v>1167</v>
      </c>
      <c r="Q77" s="45">
        <v>6</v>
      </c>
      <c r="R77" s="26">
        <v>6</v>
      </c>
      <c r="S77" s="26"/>
      <c r="T77">
        <v>25989</v>
      </c>
      <c r="U77" s="46">
        <f>Table1[[#This Row],[FTE Annual salary rate]]/Table1[[#This Row],[Full time hours for role]]*Table1[[#This Row],[Weekly Hours ]]/52.14285*Table1[[#This Row],[EQWP/ TTO Weeks paid per year]]</f>
        <v>14097.182197688786</v>
      </c>
      <c r="V77" s="26"/>
      <c r="W77" s="26"/>
      <c r="X77" s="26"/>
      <c r="Y77" s="31"/>
      <c r="Z77" s="26"/>
      <c r="AA77" s="11"/>
      <c r="AB77" s="11"/>
      <c r="AC77" s="11"/>
      <c r="AD77" s="11"/>
      <c r="AE77" s="11"/>
      <c r="AF77" s="26"/>
      <c r="AG77" s="26" t="s">
        <v>48</v>
      </c>
      <c r="AH77" s="11" t="b">
        <v>0</v>
      </c>
      <c r="AI77" s="26"/>
      <c r="AJ77" s="26"/>
      <c r="AK77" t="s">
        <v>54</v>
      </c>
      <c r="AL77" s="44" t="s">
        <v>1311</v>
      </c>
      <c r="AM77" s="26" t="s">
        <v>50</v>
      </c>
      <c r="AN77" s="26"/>
      <c r="AO77" s="31"/>
      <c r="AP77" s="11" t="b">
        <v>0</v>
      </c>
      <c r="AQ77" s="11" t="b">
        <v>0</v>
      </c>
    </row>
    <row r="78" spans="1:43" ht="20.100000000000001" customHeight="1">
      <c r="A78" s="26" t="s">
        <v>235</v>
      </c>
      <c r="B78" t="s">
        <v>539</v>
      </c>
      <c r="C78" t="s">
        <v>540</v>
      </c>
      <c r="D78" s="27">
        <v>41568</v>
      </c>
      <c r="E78" t="s">
        <v>820</v>
      </c>
      <c r="F78" t="s">
        <v>897</v>
      </c>
      <c r="G78" t="s">
        <v>1120</v>
      </c>
      <c r="H78" s="26">
        <v>2200</v>
      </c>
      <c r="I78" s="26" t="s">
        <v>1506</v>
      </c>
      <c r="J78" s="26"/>
      <c r="K78" s="26">
        <v>37</v>
      </c>
      <c r="L78" s="39">
        <v>30</v>
      </c>
      <c r="M78" s="39"/>
      <c r="N78" s="44">
        <v>38</v>
      </c>
      <c r="O78" s="40">
        <v>44.8</v>
      </c>
      <c r="P78" s="26" t="s">
        <v>1167</v>
      </c>
      <c r="Q78" s="45">
        <v>6</v>
      </c>
      <c r="R78" s="26">
        <v>6</v>
      </c>
      <c r="S78" s="26"/>
      <c r="T78">
        <v>25989</v>
      </c>
      <c r="U78" s="46">
        <f>Table1[[#This Row],[FTE Annual salary rate]]/Table1[[#This Row],[Full time hours for role]]*Table1[[#This Row],[Weekly Hours ]]/52.14285*Table1[[#This Row],[EQWP/ TTO Weeks paid per year]]</f>
        <v>18104.742354222388</v>
      </c>
      <c r="V78" s="26"/>
      <c r="W78" s="26"/>
      <c r="X78" s="26"/>
      <c r="Y78" s="31"/>
      <c r="Z78" s="26"/>
      <c r="AA78" s="11"/>
      <c r="AB78" s="11"/>
      <c r="AC78" s="11"/>
      <c r="AD78" s="11"/>
      <c r="AE78" s="11"/>
      <c r="AF78" s="26"/>
      <c r="AG78" s="26" t="s">
        <v>48</v>
      </c>
      <c r="AH78" s="11" t="b">
        <v>0</v>
      </c>
      <c r="AI78" s="26"/>
      <c r="AJ78" s="26"/>
      <c r="AK78" t="s">
        <v>54</v>
      </c>
      <c r="AL78" s="44" t="s">
        <v>1312</v>
      </c>
      <c r="AM78" s="26" t="s">
        <v>50</v>
      </c>
      <c r="AN78" s="26"/>
      <c r="AO78" s="31"/>
      <c r="AP78" s="11" t="b">
        <v>0</v>
      </c>
      <c r="AQ78" s="11" t="b">
        <v>0</v>
      </c>
    </row>
    <row r="79" spans="1:43" ht="20.100000000000001" customHeight="1">
      <c r="A79" s="26" t="s">
        <v>236</v>
      </c>
      <c r="B79" t="s">
        <v>541</v>
      </c>
      <c r="C79" t="s">
        <v>542</v>
      </c>
      <c r="D79" s="27">
        <v>40109</v>
      </c>
      <c r="E79" t="s">
        <v>822</v>
      </c>
      <c r="F79" t="s">
        <v>898</v>
      </c>
      <c r="G79" t="s">
        <v>1120</v>
      </c>
      <c r="H79" s="26">
        <v>2200</v>
      </c>
      <c r="I79" s="26" t="s">
        <v>1506</v>
      </c>
      <c r="J79" s="26"/>
      <c r="K79" s="26">
        <v>37</v>
      </c>
      <c r="L79" s="39">
        <v>30</v>
      </c>
      <c r="M79" s="39"/>
      <c r="N79" s="44">
        <v>38</v>
      </c>
      <c r="O79" s="40">
        <v>44.8</v>
      </c>
      <c r="P79" s="26" t="s">
        <v>1167</v>
      </c>
      <c r="Q79" s="45">
        <v>6</v>
      </c>
      <c r="R79" s="26">
        <v>6</v>
      </c>
      <c r="S79" s="26"/>
      <c r="T79">
        <v>25989</v>
      </c>
      <c r="U79" s="46">
        <f>Table1[[#This Row],[FTE Annual salary rate]]/Table1[[#This Row],[Full time hours for role]]*Table1[[#This Row],[Weekly Hours ]]/52.14285*Table1[[#This Row],[EQWP/ TTO Weeks paid per year]]</f>
        <v>18104.742354222388</v>
      </c>
      <c r="V79" s="26"/>
      <c r="W79" s="26"/>
      <c r="X79" s="26"/>
      <c r="Y79" s="31"/>
      <c r="Z79" s="26"/>
      <c r="AA79" s="11"/>
      <c r="AB79" s="11"/>
      <c r="AC79" s="11"/>
      <c r="AD79" s="11"/>
      <c r="AE79" s="11"/>
      <c r="AF79" s="26"/>
      <c r="AG79" s="26" t="s">
        <v>48</v>
      </c>
      <c r="AH79" s="11" t="b">
        <v>0</v>
      </c>
      <c r="AI79" s="26"/>
      <c r="AJ79" s="26"/>
      <c r="AK79" t="s">
        <v>54</v>
      </c>
      <c r="AL79" s="44" t="s">
        <v>1313</v>
      </c>
      <c r="AM79" s="26" t="s">
        <v>50</v>
      </c>
      <c r="AN79" s="26"/>
      <c r="AO79" s="31"/>
      <c r="AP79" s="11" t="b">
        <v>0</v>
      </c>
      <c r="AQ79" s="11" t="b">
        <v>0</v>
      </c>
    </row>
    <row r="80" spans="1:43" ht="20.100000000000001" customHeight="1">
      <c r="A80" s="26" t="s">
        <v>237</v>
      </c>
      <c r="B80" t="s">
        <v>543</v>
      </c>
      <c r="C80" t="s">
        <v>544</v>
      </c>
      <c r="D80" s="27">
        <v>45503</v>
      </c>
      <c r="E80" t="s">
        <v>822</v>
      </c>
      <c r="F80" t="s">
        <v>899</v>
      </c>
      <c r="G80" t="s">
        <v>1120</v>
      </c>
      <c r="H80" s="26">
        <v>2200</v>
      </c>
      <c r="I80" s="26" t="s">
        <v>1506</v>
      </c>
      <c r="J80" s="26"/>
      <c r="K80" s="26">
        <v>37</v>
      </c>
      <c r="L80" s="39">
        <v>31.25</v>
      </c>
      <c r="M80" s="39"/>
      <c r="N80" s="44">
        <v>38</v>
      </c>
      <c r="O80" s="40">
        <v>43.3</v>
      </c>
      <c r="P80" s="26" t="s">
        <v>1167</v>
      </c>
      <c r="Q80" s="45">
        <v>6</v>
      </c>
      <c r="R80" s="26">
        <v>6</v>
      </c>
      <c r="S80" s="26"/>
      <c r="T80">
        <v>25989</v>
      </c>
      <c r="U80" s="46">
        <f>Table1[[#This Row],[FTE Annual salary rate]]/Table1[[#This Row],[Full time hours for role]]*Table1[[#This Row],[Weekly Hours ]]/52.14285*Table1[[#This Row],[EQWP/ TTO Weeks paid per year]]</f>
        <v>18227.66331700682</v>
      </c>
      <c r="V80" s="26"/>
      <c r="W80" s="26"/>
      <c r="X80" s="26"/>
      <c r="Y80" s="31"/>
      <c r="Z80" s="26"/>
      <c r="AA80" s="11"/>
      <c r="AB80" s="11"/>
      <c r="AC80" s="11"/>
      <c r="AD80" s="11"/>
      <c r="AE80" s="11"/>
      <c r="AF80" s="26"/>
      <c r="AG80" s="26" t="s">
        <v>48</v>
      </c>
      <c r="AH80" s="11" t="b">
        <v>0</v>
      </c>
      <c r="AI80" s="26"/>
      <c r="AJ80" s="26"/>
      <c r="AK80" t="s">
        <v>54</v>
      </c>
      <c r="AL80" s="44" t="s">
        <v>1314</v>
      </c>
      <c r="AM80" s="26" t="s">
        <v>50</v>
      </c>
      <c r="AN80" s="26"/>
      <c r="AO80" s="31"/>
      <c r="AP80" s="11" t="b">
        <v>0</v>
      </c>
      <c r="AQ80" s="11" t="b">
        <v>0</v>
      </c>
    </row>
    <row r="81" spans="1:43" ht="20.100000000000001" customHeight="1">
      <c r="A81" s="26" t="s">
        <v>238</v>
      </c>
      <c r="B81" t="s">
        <v>545</v>
      </c>
      <c r="C81" t="s">
        <v>546</v>
      </c>
      <c r="D81" s="27">
        <v>45187</v>
      </c>
      <c r="E81" t="s">
        <v>821</v>
      </c>
      <c r="F81" t="s">
        <v>900</v>
      </c>
      <c r="G81" t="s">
        <v>1120</v>
      </c>
      <c r="H81" s="26">
        <v>2200</v>
      </c>
      <c r="I81" s="26" t="s">
        <v>1506</v>
      </c>
      <c r="J81" s="26"/>
      <c r="K81" s="26">
        <v>37</v>
      </c>
      <c r="L81" s="39">
        <v>27.5</v>
      </c>
      <c r="M81" s="39"/>
      <c r="N81" s="44">
        <v>38</v>
      </c>
      <c r="O81" s="40">
        <v>43.3</v>
      </c>
      <c r="P81" s="26" t="s">
        <v>1167</v>
      </c>
      <c r="Q81" s="45">
        <v>6</v>
      </c>
      <c r="R81" s="26">
        <v>6</v>
      </c>
      <c r="S81" s="26"/>
      <c r="T81">
        <v>25989</v>
      </c>
      <c r="U81" s="46">
        <f>Table1[[#This Row],[FTE Annual salary rate]]/Table1[[#This Row],[Full time hours for role]]*Table1[[#This Row],[Weekly Hours ]]/52.14285*Table1[[#This Row],[EQWP/ TTO Weeks paid per year]]</f>
        <v>16040.343718966004</v>
      </c>
      <c r="V81" s="26"/>
      <c r="W81" s="26"/>
      <c r="X81" s="26"/>
      <c r="Y81" s="31"/>
      <c r="Z81" s="26"/>
      <c r="AA81" s="11"/>
      <c r="AB81" s="11"/>
      <c r="AC81" s="11"/>
      <c r="AD81" s="11"/>
      <c r="AE81" s="11"/>
      <c r="AF81" s="26"/>
      <c r="AG81" s="26" t="s">
        <v>48</v>
      </c>
      <c r="AH81" s="11" t="b">
        <v>0</v>
      </c>
      <c r="AI81" s="26"/>
      <c r="AJ81" s="26"/>
      <c r="AK81" t="s">
        <v>54</v>
      </c>
      <c r="AL81" s="44" t="s">
        <v>1315</v>
      </c>
      <c r="AM81" s="26" t="s">
        <v>50</v>
      </c>
      <c r="AN81" s="26"/>
      <c r="AO81" s="31"/>
      <c r="AP81" s="11" t="b">
        <v>0</v>
      </c>
      <c r="AQ81" s="11" t="b">
        <v>0</v>
      </c>
    </row>
    <row r="82" spans="1:43" ht="20.100000000000001" customHeight="1">
      <c r="A82" s="26" t="s">
        <v>239</v>
      </c>
      <c r="B82" t="s">
        <v>547</v>
      </c>
      <c r="C82" t="s">
        <v>465</v>
      </c>
      <c r="D82" s="27">
        <v>43709</v>
      </c>
      <c r="E82" t="s">
        <v>819</v>
      </c>
      <c r="F82" t="s">
        <v>901</v>
      </c>
      <c r="G82" t="s">
        <v>1125</v>
      </c>
      <c r="H82" s="26">
        <v>2000</v>
      </c>
      <c r="I82" s="26" t="s">
        <v>1507</v>
      </c>
      <c r="J82" s="26"/>
      <c r="K82" s="26">
        <v>32.43</v>
      </c>
      <c r="L82" s="39">
        <v>32.43</v>
      </c>
      <c r="M82" s="39"/>
      <c r="N82" s="44" t="s">
        <v>1115</v>
      </c>
      <c r="O82" s="40" t="s">
        <v>1115</v>
      </c>
      <c r="P82" s="26" t="s">
        <v>1160</v>
      </c>
      <c r="Q82" s="45">
        <v>6</v>
      </c>
      <c r="R82" s="26" t="s">
        <v>51</v>
      </c>
      <c r="S82" s="26"/>
      <c r="T82">
        <v>45352</v>
      </c>
      <c r="U82" s="46">
        <v>45352</v>
      </c>
      <c r="V82" s="26"/>
      <c r="W82" s="26"/>
      <c r="X82" s="26"/>
      <c r="Y82" s="31"/>
      <c r="Z82" s="26"/>
      <c r="AA82" s="11"/>
      <c r="AB82" s="11"/>
      <c r="AC82" s="11"/>
      <c r="AD82" s="11"/>
      <c r="AE82" s="11"/>
      <c r="AF82" s="26"/>
      <c r="AG82" s="11" t="s">
        <v>53</v>
      </c>
      <c r="AH82" s="11" t="b">
        <v>0</v>
      </c>
      <c r="AI82" s="26"/>
      <c r="AJ82" s="26"/>
      <c r="AK82" t="s">
        <v>54</v>
      </c>
      <c r="AL82" s="44" t="s">
        <v>1316</v>
      </c>
      <c r="AM82" s="26" t="s">
        <v>50</v>
      </c>
      <c r="AN82" s="26"/>
      <c r="AO82" s="31"/>
      <c r="AP82" s="11" t="b">
        <v>0</v>
      </c>
      <c r="AQ82" s="11" t="b">
        <v>0</v>
      </c>
    </row>
    <row r="83" spans="1:43" ht="20.100000000000001" customHeight="1">
      <c r="A83" s="26" t="s">
        <v>240</v>
      </c>
      <c r="B83" t="s">
        <v>548</v>
      </c>
      <c r="C83" t="s">
        <v>549</v>
      </c>
      <c r="D83" s="27">
        <v>36648</v>
      </c>
      <c r="E83" t="s">
        <v>822</v>
      </c>
      <c r="F83" t="s">
        <v>902</v>
      </c>
      <c r="G83" t="s">
        <v>1128</v>
      </c>
      <c r="H83" s="26">
        <v>2200</v>
      </c>
      <c r="I83" s="26" t="s">
        <v>1506</v>
      </c>
      <c r="J83" s="26"/>
      <c r="K83" s="26">
        <v>37</v>
      </c>
      <c r="L83" s="39">
        <v>18.25</v>
      </c>
      <c r="M83" s="39"/>
      <c r="N83" s="44">
        <v>38</v>
      </c>
      <c r="O83" s="40">
        <v>44.8</v>
      </c>
      <c r="P83" s="26" t="s">
        <v>1167</v>
      </c>
      <c r="Q83" s="45">
        <v>6</v>
      </c>
      <c r="R83" s="26">
        <v>6</v>
      </c>
      <c r="S83" s="26"/>
      <c r="T83">
        <v>25989</v>
      </c>
      <c r="U83" s="46">
        <f>Table1[[#This Row],[FTE Annual salary rate]]/Table1[[#This Row],[Full time hours for role]]*Table1[[#This Row],[Weekly Hours ]]/52.14285*Table1[[#This Row],[EQWP/ TTO Weeks paid per year]]</f>
        <v>11013.718265485284</v>
      </c>
      <c r="V83" s="26"/>
      <c r="W83" s="26"/>
      <c r="X83" s="26"/>
      <c r="Y83" s="31"/>
      <c r="Z83" s="26"/>
      <c r="AA83" s="11"/>
      <c r="AB83" s="11"/>
      <c r="AC83" s="11"/>
      <c r="AD83" s="11"/>
      <c r="AE83" s="11"/>
      <c r="AF83" s="26"/>
      <c r="AG83" s="26" t="s">
        <v>48</v>
      </c>
      <c r="AH83" s="11" t="b">
        <v>0</v>
      </c>
      <c r="AI83" s="26"/>
      <c r="AJ83" s="26"/>
      <c r="AK83" t="s">
        <v>54</v>
      </c>
      <c r="AL83" s="44" t="s">
        <v>1317</v>
      </c>
      <c r="AM83" s="26" t="s">
        <v>50</v>
      </c>
      <c r="AN83" s="26"/>
      <c r="AO83" s="31"/>
      <c r="AP83" s="11" t="b">
        <v>0</v>
      </c>
      <c r="AQ83" s="11" t="b">
        <v>0</v>
      </c>
    </row>
    <row r="84" spans="1:43" ht="20.100000000000001" customHeight="1">
      <c r="A84" s="26" t="s">
        <v>241</v>
      </c>
      <c r="B84" t="s">
        <v>548</v>
      </c>
      <c r="C84" t="s">
        <v>550</v>
      </c>
      <c r="D84" s="27">
        <v>42248</v>
      </c>
      <c r="E84" t="s">
        <v>820</v>
      </c>
      <c r="F84" t="s">
        <v>903</v>
      </c>
      <c r="G84" t="s">
        <v>1125</v>
      </c>
      <c r="H84" s="26">
        <v>2000</v>
      </c>
      <c r="I84" s="26" t="s">
        <v>1507</v>
      </c>
      <c r="J84" s="26"/>
      <c r="K84" s="26">
        <v>32.43</v>
      </c>
      <c r="L84" s="49">
        <v>16.215</v>
      </c>
      <c r="M84" s="39"/>
      <c r="N84" s="44" t="s">
        <v>1115</v>
      </c>
      <c r="O84" s="40" t="s">
        <v>1115</v>
      </c>
      <c r="P84" s="26" t="s">
        <v>1160</v>
      </c>
      <c r="Q84" s="45">
        <v>6</v>
      </c>
      <c r="R84" s="26" t="s">
        <v>51</v>
      </c>
      <c r="S84" s="26"/>
      <c r="T84">
        <v>45352</v>
      </c>
      <c r="U84" s="46">
        <f>Table1[[#This Row],[FTE Annual salary rate]]*16.215/32.43</f>
        <v>22676</v>
      </c>
      <c r="V84" s="26"/>
      <c r="W84" s="26"/>
      <c r="X84" s="26"/>
      <c r="Y84" s="31"/>
      <c r="Z84" s="26"/>
      <c r="AA84" s="11"/>
      <c r="AB84" s="11"/>
      <c r="AC84" s="11"/>
      <c r="AD84" s="11"/>
      <c r="AE84" s="11"/>
      <c r="AF84" s="26"/>
      <c r="AG84" s="11" t="s">
        <v>53</v>
      </c>
      <c r="AH84" s="11" t="b">
        <v>0</v>
      </c>
      <c r="AI84" s="26"/>
      <c r="AJ84" s="26"/>
      <c r="AK84" t="s">
        <v>54</v>
      </c>
      <c r="AL84" s="44" t="s">
        <v>1318</v>
      </c>
      <c r="AM84" s="26" t="s">
        <v>50</v>
      </c>
      <c r="AN84" s="26"/>
      <c r="AO84" s="31"/>
      <c r="AP84" s="11" t="b">
        <v>0</v>
      </c>
      <c r="AQ84" s="11" t="b">
        <v>0</v>
      </c>
    </row>
    <row r="85" spans="1:43" ht="20.100000000000001" customHeight="1">
      <c r="A85" s="26" t="s">
        <v>242</v>
      </c>
      <c r="B85" t="s">
        <v>551</v>
      </c>
      <c r="C85" t="s">
        <v>552</v>
      </c>
      <c r="D85" s="27">
        <v>45996</v>
      </c>
      <c r="E85" t="s">
        <v>821</v>
      </c>
      <c r="F85" t="s">
        <v>904</v>
      </c>
      <c r="G85" t="s">
        <v>1132</v>
      </c>
      <c r="H85" s="26">
        <v>2740</v>
      </c>
      <c r="I85" s="26" t="s">
        <v>1514</v>
      </c>
      <c r="J85" s="26"/>
      <c r="K85" s="26">
        <v>37</v>
      </c>
      <c r="L85" s="39">
        <v>6</v>
      </c>
      <c r="M85" s="39"/>
      <c r="N85" s="44">
        <v>38</v>
      </c>
      <c r="O85" s="40">
        <v>43.3</v>
      </c>
      <c r="P85" s="26" t="s">
        <v>1167</v>
      </c>
      <c r="Q85" s="45">
        <v>3</v>
      </c>
      <c r="R85" s="26">
        <v>4</v>
      </c>
      <c r="S85" s="26"/>
      <c r="T85">
        <v>24796</v>
      </c>
      <c r="U85" s="46">
        <f>Table1[[#This Row],[FTE Annual salary rate]]/Table1[[#This Row],[Full time hours for role]]*Table1[[#This Row],[Weekly Hours ]]/52.14285*Table1[[#This Row],[EQWP/ TTO Weeks paid per year]]</f>
        <v>3339.0604796195403</v>
      </c>
      <c r="V85" s="26"/>
      <c r="W85" s="26"/>
      <c r="X85" s="26"/>
      <c r="Y85" s="31"/>
      <c r="Z85" s="26"/>
      <c r="AA85" s="11"/>
      <c r="AB85" s="11"/>
      <c r="AC85" s="11"/>
      <c r="AD85" s="11"/>
      <c r="AE85" s="11"/>
      <c r="AF85" s="26"/>
      <c r="AG85" s="26" t="s">
        <v>48</v>
      </c>
      <c r="AH85" s="11" t="b">
        <v>0</v>
      </c>
      <c r="AI85" s="26"/>
      <c r="AJ85" s="26"/>
      <c r="AK85" t="s">
        <v>54</v>
      </c>
      <c r="AL85" s="44" t="s">
        <v>1319</v>
      </c>
      <c r="AM85" s="26" t="s">
        <v>50</v>
      </c>
      <c r="AN85" s="26"/>
      <c r="AO85" s="31"/>
      <c r="AP85" s="11" t="b">
        <v>0</v>
      </c>
      <c r="AQ85" s="11" t="b">
        <v>0</v>
      </c>
    </row>
    <row r="86" spans="1:43" ht="20.100000000000001" customHeight="1">
      <c r="A86" s="26" t="s">
        <v>243</v>
      </c>
      <c r="B86" t="s">
        <v>553</v>
      </c>
      <c r="C86" t="s">
        <v>554</v>
      </c>
      <c r="D86" s="27">
        <v>44865</v>
      </c>
      <c r="E86" t="s">
        <v>823</v>
      </c>
      <c r="F86" t="s">
        <v>905</v>
      </c>
      <c r="G86" t="s">
        <v>1142</v>
      </c>
      <c r="H86" s="26">
        <v>2630</v>
      </c>
      <c r="I86" s="26" t="s">
        <v>1511</v>
      </c>
      <c r="J86" s="26"/>
      <c r="K86" s="26">
        <v>37</v>
      </c>
      <c r="L86" s="39">
        <v>18</v>
      </c>
      <c r="M86" s="39"/>
      <c r="N86" s="44">
        <v>39.6</v>
      </c>
      <c r="O86" s="40">
        <v>45.1</v>
      </c>
      <c r="P86" s="26" t="s">
        <v>1167</v>
      </c>
      <c r="Q86" s="45">
        <v>15</v>
      </c>
      <c r="R86" s="26">
        <v>17</v>
      </c>
      <c r="S86" s="26"/>
      <c r="T86">
        <v>30024</v>
      </c>
      <c r="U86" s="46">
        <f>Table1[[#This Row],[FTE Annual salary rate]]/Table1[[#This Row],[Full time hours for role]]*Table1[[#This Row],[Weekly Hours ]]/52.14285*Table1[[#This Row],[EQWP/ TTO Weeks paid per year]]</f>
        <v>12633.425084919392</v>
      </c>
      <c r="V86" s="26"/>
      <c r="W86" s="26"/>
      <c r="X86" s="26"/>
      <c r="Y86" s="31"/>
      <c r="Z86" s="26"/>
      <c r="AA86" s="11"/>
      <c r="AB86" s="11"/>
      <c r="AC86" s="11"/>
      <c r="AD86" s="11"/>
      <c r="AE86" s="11"/>
      <c r="AF86" s="26"/>
      <c r="AG86" s="26" t="s">
        <v>48</v>
      </c>
      <c r="AH86" s="11" t="b">
        <v>0</v>
      </c>
      <c r="AI86" s="26"/>
      <c r="AJ86" s="26"/>
      <c r="AK86" t="s">
        <v>54</v>
      </c>
      <c r="AL86" s="44" t="s">
        <v>1320</v>
      </c>
      <c r="AM86" s="26" t="s">
        <v>50</v>
      </c>
      <c r="AN86" s="26"/>
      <c r="AO86" s="31"/>
      <c r="AP86" s="11" t="b">
        <v>0</v>
      </c>
      <c r="AQ86" s="11" t="b">
        <v>0</v>
      </c>
    </row>
    <row r="87" spans="1:43" ht="20.100000000000001" customHeight="1">
      <c r="A87" s="26" t="s">
        <v>243</v>
      </c>
      <c r="B87" t="s">
        <v>553</v>
      </c>
      <c r="C87" t="s">
        <v>554</v>
      </c>
      <c r="D87" s="27">
        <v>44865</v>
      </c>
      <c r="E87" t="s">
        <v>823</v>
      </c>
      <c r="F87" t="s">
        <v>906</v>
      </c>
      <c r="G87" t="s">
        <v>1120</v>
      </c>
      <c r="H87" s="26">
        <v>2200</v>
      </c>
      <c r="I87" s="26" t="s">
        <v>1506</v>
      </c>
      <c r="J87" s="26"/>
      <c r="K87" s="26">
        <v>37</v>
      </c>
      <c r="L87" s="39">
        <v>10</v>
      </c>
      <c r="M87" s="39"/>
      <c r="N87" s="44">
        <v>38</v>
      </c>
      <c r="O87" s="40">
        <v>43.3</v>
      </c>
      <c r="P87" s="26" t="s">
        <v>1167</v>
      </c>
      <c r="Q87" s="45">
        <v>6</v>
      </c>
      <c r="R87" s="26">
        <v>6</v>
      </c>
      <c r="S87" s="26"/>
      <c r="T87">
        <v>25989</v>
      </c>
      <c r="U87" s="46">
        <f>Table1[[#This Row],[FTE Annual salary rate]]/Table1[[#This Row],[Full time hours for role]]*Table1[[#This Row],[Weekly Hours ]]/52.14285*Table1[[#This Row],[EQWP/ TTO Weeks paid per year]]</f>
        <v>5832.8522614421836</v>
      </c>
      <c r="V87" s="26"/>
      <c r="W87" s="26"/>
      <c r="X87" s="26"/>
      <c r="Y87" s="31"/>
      <c r="Z87" s="26"/>
      <c r="AA87" s="11"/>
      <c r="AB87" s="11"/>
      <c r="AC87" s="11"/>
      <c r="AD87" s="11"/>
      <c r="AE87" s="11"/>
      <c r="AF87" s="26"/>
      <c r="AG87" s="26" t="s">
        <v>48</v>
      </c>
      <c r="AH87" s="11" t="b">
        <v>0</v>
      </c>
      <c r="AI87" s="26"/>
      <c r="AJ87" s="26"/>
      <c r="AK87" t="s">
        <v>54</v>
      </c>
      <c r="AL87" s="44" t="s">
        <v>1320</v>
      </c>
      <c r="AM87" s="26" t="s">
        <v>50</v>
      </c>
      <c r="AN87" s="26"/>
      <c r="AO87" s="31"/>
      <c r="AP87" s="11" t="b">
        <v>0</v>
      </c>
      <c r="AQ87" s="11" t="b">
        <v>0</v>
      </c>
    </row>
    <row r="88" spans="1:43" ht="20.100000000000001" customHeight="1">
      <c r="A88" s="26" t="s">
        <v>244</v>
      </c>
      <c r="B88" t="s">
        <v>555</v>
      </c>
      <c r="C88" t="s">
        <v>556</v>
      </c>
      <c r="D88" s="27">
        <v>43344</v>
      </c>
      <c r="E88" t="s">
        <v>821</v>
      </c>
      <c r="F88" t="s">
        <v>907</v>
      </c>
      <c r="G88" t="s">
        <v>1141</v>
      </c>
      <c r="H88" s="26">
        <v>2630</v>
      </c>
      <c r="I88" s="26" t="s">
        <v>1511</v>
      </c>
      <c r="J88" s="26"/>
      <c r="K88" s="26">
        <v>37</v>
      </c>
      <c r="L88" s="39">
        <v>28.75</v>
      </c>
      <c r="M88" s="39"/>
      <c r="N88" s="44">
        <v>38.6</v>
      </c>
      <c r="O88" s="40">
        <v>44.9</v>
      </c>
      <c r="P88" s="26" t="s">
        <v>1167</v>
      </c>
      <c r="Q88" s="45">
        <v>6</v>
      </c>
      <c r="R88" s="26">
        <v>6</v>
      </c>
      <c r="S88" s="26"/>
      <c r="T88">
        <v>25989</v>
      </c>
      <c r="U88" s="46">
        <f>Table1[[#This Row],[FTE Annual salary rate]]/Table1[[#This Row],[Full time hours for role]]*Table1[[#This Row],[Weekly Hours ]]/52.14285*Table1[[#This Row],[EQWP/ TTO Weeks paid per year]]</f>
        <v>17389.106611984244</v>
      </c>
      <c r="V88" s="26"/>
      <c r="W88" s="26"/>
      <c r="X88" s="26"/>
      <c r="Y88" s="31"/>
      <c r="Z88" s="26"/>
      <c r="AA88" s="11"/>
      <c r="AB88" s="11"/>
      <c r="AC88" s="11"/>
      <c r="AD88" s="11"/>
      <c r="AE88" s="11"/>
      <c r="AF88" s="26"/>
      <c r="AG88" s="26" t="s">
        <v>48</v>
      </c>
      <c r="AH88" s="11" t="b">
        <v>0</v>
      </c>
      <c r="AI88" s="26"/>
      <c r="AJ88" s="26"/>
      <c r="AK88" t="s">
        <v>54</v>
      </c>
      <c r="AL88" s="44" t="s">
        <v>1321</v>
      </c>
      <c r="AM88" s="26" t="s">
        <v>50</v>
      </c>
      <c r="AN88" s="26"/>
      <c r="AO88" s="31"/>
      <c r="AP88" s="11" t="b">
        <v>0</v>
      </c>
      <c r="AQ88" s="11" t="b">
        <v>0</v>
      </c>
    </row>
    <row r="89" spans="1:43" ht="20.100000000000001" customHeight="1">
      <c r="A89" s="26" t="s">
        <v>245</v>
      </c>
      <c r="B89" t="s">
        <v>555</v>
      </c>
      <c r="C89" t="s">
        <v>557</v>
      </c>
      <c r="D89" s="27">
        <v>43592</v>
      </c>
      <c r="E89" t="s">
        <v>823</v>
      </c>
      <c r="F89" t="s">
        <v>908</v>
      </c>
      <c r="G89" t="s">
        <v>1143</v>
      </c>
      <c r="H89" s="26">
        <v>2300</v>
      </c>
      <c r="I89" s="26" t="s">
        <v>1515</v>
      </c>
      <c r="J89" s="26"/>
      <c r="K89" s="26">
        <v>37</v>
      </c>
      <c r="L89" s="39">
        <v>37</v>
      </c>
      <c r="M89" s="39"/>
      <c r="N89" s="44"/>
      <c r="O89" s="40"/>
      <c r="P89" s="26" t="s">
        <v>1167</v>
      </c>
      <c r="Q89" s="45">
        <v>31</v>
      </c>
      <c r="R89" s="26">
        <v>31</v>
      </c>
      <c r="S89" s="26"/>
      <c r="T89">
        <v>41772</v>
      </c>
      <c r="U89" s="46">
        <v>41772</v>
      </c>
      <c r="V89" s="26"/>
      <c r="W89" s="26"/>
      <c r="X89" s="26"/>
      <c r="Y89" s="31"/>
      <c r="Z89" s="26"/>
      <c r="AA89" s="11"/>
      <c r="AB89" s="11"/>
      <c r="AC89" s="11"/>
      <c r="AD89" s="11"/>
      <c r="AE89" s="11"/>
      <c r="AF89" s="26"/>
      <c r="AG89" s="26" t="s">
        <v>48</v>
      </c>
      <c r="AH89" s="26" t="b">
        <v>0</v>
      </c>
      <c r="AI89" s="26"/>
      <c r="AJ89" s="26"/>
      <c r="AK89" t="s">
        <v>49</v>
      </c>
      <c r="AL89" s="44" t="s">
        <v>1322</v>
      </c>
      <c r="AM89" s="26" t="s">
        <v>50</v>
      </c>
      <c r="AN89" s="26"/>
      <c r="AO89" s="31"/>
      <c r="AP89" s="11" t="b">
        <v>0</v>
      </c>
      <c r="AQ89" s="11" t="b">
        <v>0</v>
      </c>
    </row>
    <row r="90" spans="1:43" ht="20.100000000000001" customHeight="1">
      <c r="A90" s="26" t="s">
        <v>246</v>
      </c>
      <c r="B90" t="s">
        <v>558</v>
      </c>
      <c r="C90" t="s">
        <v>559</v>
      </c>
      <c r="D90" s="27">
        <v>43344</v>
      </c>
      <c r="E90" t="s">
        <v>822</v>
      </c>
      <c r="F90" t="s">
        <v>909</v>
      </c>
      <c r="G90" t="s">
        <v>1125</v>
      </c>
      <c r="H90" s="26">
        <v>2000</v>
      </c>
      <c r="I90" s="26" t="s">
        <v>1507</v>
      </c>
      <c r="J90" s="26"/>
      <c r="K90" s="26">
        <v>32.43</v>
      </c>
      <c r="L90" s="39">
        <v>32.43</v>
      </c>
      <c r="M90" s="39"/>
      <c r="N90" s="44" t="s">
        <v>1115</v>
      </c>
      <c r="O90" s="40" t="s">
        <v>1115</v>
      </c>
      <c r="P90" s="26" t="s">
        <v>1160</v>
      </c>
      <c r="Q90" s="45">
        <v>6</v>
      </c>
      <c r="R90" s="26" t="s">
        <v>51</v>
      </c>
      <c r="S90" s="26"/>
      <c r="T90">
        <v>45352</v>
      </c>
      <c r="U90" s="46">
        <v>45352</v>
      </c>
      <c r="V90" s="26"/>
      <c r="W90" s="26"/>
      <c r="X90" s="26"/>
      <c r="Y90" s="31"/>
      <c r="Z90" s="26"/>
      <c r="AA90" s="11"/>
      <c r="AB90" s="11"/>
      <c r="AC90" s="11"/>
      <c r="AD90" s="11"/>
      <c r="AE90" s="11"/>
      <c r="AF90" s="26"/>
      <c r="AG90" s="11" t="s">
        <v>53</v>
      </c>
      <c r="AH90" s="11" t="b">
        <v>0</v>
      </c>
      <c r="AI90" s="26"/>
      <c r="AJ90" s="26"/>
      <c r="AK90" t="s">
        <v>49</v>
      </c>
      <c r="AL90" s="44" t="s">
        <v>1323</v>
      </c>
      <c r="AM90" s="26" t="s">
        <v>50</v>
      </c>
      <c r="AN90" s="26"/>
      <c r="AO90" s="31"/>
      <c r="AP90" s="11" t="b">
        <v>0</v>
      </c>
      <c r="AQ90" s="11" t="b">
        <v>0</v>
      </c>
    </row>
    <row r="91" spans="1:43" ht="20.100000000000001" customHeight="1">
      <c r="A91" s="26" t="s">
        <v>247</v>
      </c>
      <c r="B91" t="s">
        <v>558</v>
      </c>
      <c r="C91" t="s">
        <v>465</v>
      </c>
      <c r="D91" s="27">
        <v>45341</v>
      </c>
      <c r="E91" t="s">
        <v>819</v>
      </c>
      <c r="F91" t="s">
        <v>910</v>
      </c>
      <c r="G91" t="s">
        <v>1144</v>
      </c>
      <c r="H91" s="26">
        <v>2200</v>
      </c>
      <c r="I91" s="26" t="s">
        <v>1506</v>
      </c>
      <c r="J91" s="26"/>
      <c r="K91" s="26">
        <v>37</v>
      </c>
      <c r="L91" s="39">
        <v>31.75</v>
      </c>
      <c r="M91" s="39"/>
      <c r="N91" s="44">
        <v>38</v>
      </c>
      <c r="O91" s="40">
        <v>43.3</v>
      </c>
      <c r="P91" s="26" t="s">
        <v>1167</v>
      </c>
      <c r="Q91" s="45">
        <v>17</v>
      </c>
      <c r="R91" s="26">
        <v>17</v>
      </c>
      <c r="S91" s="26"/>
      <c r="T91">
        <v>31022</v>
      </c>
      <c r="U91" s="46">
        <f>Table1[[#This Row],[FTE Annual salary rate]]/Table1[[#This Row],[Full time hours for role]]*Table1[[#This Row],[Weekly Hours ]]/52.14285*Table1[[#This Row],[EQWP/ TTO Weeks paid per year]]</f>
        <v>22105.733524295221</v>
      </c>
      <c r="V91" s="26"/>
      <c r="W91" s="26"/>
      <c r="X91" s="26"/>
      <c r="Y91" s="31"/>
      <c r="Z91" s="26"/>
      <c r="AA91" s="11"/>
      <c r="AB91" s="11"/>
      <c r="AC91" s="11"/>
      <c r="AD91" s="11"/>
      <c r="AE91" s="11"/>
      <c r="AF91" s="26"/>
      <c r="AG91" s="26" t="s">
        <v>48</v>
      </c>
      <c r="AH91" s="11" t="b">
        <v>0</v>
      </c>
      <c r="AI91" s="26"/>
      <c r="AJ91" s="26"/>
      <c r="AK91" t="s">
        <v>54</v>
      </c>
      <c r="AL91" s="44" t="s">
        <v>1324</v>
      </c>
      <c r="AM91" s="26" t="s">
        <v>50</v>
      </c>
      <c r="AN91" s="26"/>
      <c r="AO91" s="31"/>
      <c r="AP91" s="11" t="b">
        <v>0</v>
      </c>
      <c r="AQ91" s="11" t="b">
        <v>0</v>
      </c>
    </row>
    <row r="92" spans="1:43" ht="20.100000000000001" customHeight="1">
      <c r="A92" s="26" t="s">
        <v>248</v>
      </c>
      <c r="B92" t="s">
        <v>560</v>
      </c>
      <c r="C92" t="s">
        <v>491</v>
      </c>
      <c r="D92" s="27">
        <v>44929</v>
      </c>
      <c r="E92" t="s">
        <v>822</v>
      </c>
      <c r="F92" t="s">
        <v>911</v>
      </c>
      <c r="G92" t="s">
        <v>1119</v>
      </c>
      <c r="H92" s="26">
        <v>2820</v>
      </c>
      <c r="I92" s="26" t="s">
        <v>1509</v>
      </c>
      <c r="J92" s="26"/>
      <c r="K92" s="26">
        <v>37</v>
      </c>
      <c r="L92" s="39">
        <v>6.25</v>
      </c>
      <c r="M92" s="39"/>
      <c r="N92" s="44">
        <v>38</v>
      </c>
      <c r="O92" s="40">
        <v>43.3</v>
      </c>
      <c r="P92" s="26" t="s">
        <v>1167</v>
      </c>
      <c r="Q92" s="45">
        <v>4</v>
      </c>
      <c r="R92" s="26">
        <v>4</v>
      </c>
      <c r="S92" s="26"/>
      <c r="T92">
        <v>25185</v>
      </c>
      <c r="U92" s="46">
        <f>Table1[[#This Row],[FTE Annual salary rate]]/Table1[[#This Row],[Full time hours for role]]*Table1[[#This Row],[Weekly Hours ]]/52.14285*Table1[[#This Row],[EQWP/ TTO Weeks paid per year]]</f>
        <v>3532.7538623172627</v>
      </c>
      <c r="V92" s="26"/>
      <c r="W92" s="26"/>
      <c r="X92" s="26"/>
      <c r="Y92" s="31"/>
      <c r="Z92" s="26"/>
      <c r="AA92" s="11"/>
      <c r="AB92" s="11"/>
      <c r="AC92" s="11"/>
      <c r="AD92" s="11"/>
      <c r="AE92" s="11"/>
      <c r="AF92" s="26"/>
      <c r="AG92" s="26" t="s">
        <v>48</v>
      </c>
      <c r="AH92" s="11" t="b">
        <v>0</v>
      </c>
      <c r="AI92" s="26"/>
      <c r="AJ92" s="26"/>
      <c r="AK92" t="s">
        <v>54</v>
      </c>
      <c r="AL92" s="44" t="s">
        <v>1325</v>
      </c>
      <c r="AM92" s="26" t="s">
        <v>50</v>
      </c>
      <c r="AN92" s="26"/>
      <c r="AO92" s="31"/>
      <c r="AP92" s="11" t="b">
        <v>0</v>
      </c>
      <c r="AQ92" s="11" t="b">
        <v>0</v>
      </c>
    </row>
    <row r="93" spans="1:43" ht="20.100000000000001" customHeight="1">
      <c r="A93" s="26" t="s">
        <v>384</v>
      </c>
      <c r="B93" t="s">
        <v>764</v>
      </c>
      <c r="C93" t="s">
        <v>765</v>
      </c>
      <c r="D93" s="87">
        <v>45250</v>
      </c>
      <c r="E93" t="s">
        <v>821</v>
      </c>
      <c r="F93" t="s">
        <v>1066</v>
      </c>
      <c r="G93" t="s">
        <v>1119</v>
      </c>
      <c r="H93" s="26">
        <v>2820</v>
      </c>
      <c r="I93" s="26" t="s">
        <v>1509</v>
      </c>
      <c r="J93" s="26"/>
      <c r="K93" s="26">
        <v>37</v>
      </c>
      <c r="L93" s="39">
        <v>15</v>
      </c>
      <c r="M93" s="39"/>
      <c r="N93" s="44">
        <v>38</v>
      </c>
      <c r="O93" s="40">
        <v>43.3</v>
      </c>
      <c r="P93" s="26" t="s">
        <v>1167</v>
      </c>
      <c r="Q93" s="45">
        <v>4</v>
      </c>
      <c r="R93" s="26">
        <v>4</v>
      </c>
      <c r="S93" s="26"/>
      <c r="T93">
        <v>25185</v>
      </c>
      <c r="U93" s="46">
        <f>Table1[[#This Row],[FTE Annual salary rate]]/Table1[[#This Row],[Full time hours for role]]*Table1[[#This Row],[Weekly Hours ]]/52.14285*Table1[[#This Row],[EQWP/ TTO Weeks paid per year]]</f>
        <v>8478.6092695614316</v>
      </c>
      <c r="V93" s="26" t="s">
        <v>1183</v>
      </c>
      <c r="W93" s="26">
        <v>100.56</v>
      </c>
      <c r="X93" s="26">
        <v>100.56</v>
      </c>
      <c r="Y93" s="31"/>
      <c r="Z93" s="26"/>
      <c r="AA93" s="11"/>
      <c r="AB93" s="11"/>
      <c r="AC93" s="11"/>
      <c r="AD93" s="11"/>
      <c r="AE93" s="11"/>
      <c r="AF93" s="26"/>
      <c r="AG93" s="11" t="s">
        <v>48</v>
      </c>
      <c r="AH93" s="11" t="b">
        <v>0</v>
      </c>
      <c r="AI93" s="26"/>
      <c r="AJ93" s="26"/>
      <c r="AK93" t="s">
        <v>54</v>
      </c>
      <c r="AL93" s="44" t="s">
        <v>1462</v>
      </c>
      <c r="AM93" s="26" t="s">
        <v>50</v>
      </c>
      <c r="AN93" s="26"/>
      <c r="AO93" s="31"/>
      <c r="AP93" s="11" t="b">
        <v>0</v>
      </c>
      <c r="AQ93" s="11" t="b">
        <v>0</v>
      </c>
    </row>
    <row r="94" spans="1:43" ht="20.100000000000001" customHeight="1">
      <c r="A94" s="26" t="s">
        <v>250</v>
      </c>
      <c r="B94" t="s">
        <v>563</v>
      </c>
      <c r="C94" t="s">
        <v>564</v>
      </c>
      <c r="D94" s="27">
        <v>45971</v>
      </c>
      <c r="E94" t="s">
        <v>821</v>
      </c>
      <c r="F94" t="s">
        <v>913</v>
      </c>
      <c r="G94" t="s">
        <v>1128</v>
      </c>
      <c r="H94" s="26">
        <v>2200</v>
      </c>
      <c r="I94" s="26" t="s">
        <v>1506</v>
      </c>
      <c r="J94" s="26"/>
      <c r="K94" s="26">
        <v>37</v>
      </c>
      <c r="L94" s="39">
        <v>28.75</v>
      </c>
      <c r="M94" s="39"/>
      <c r="N94" s="44">
        <v>38</v>
      </c>
      <c r="O94" s="40">
        <v>43.3</v>
      </c>
      <c r="P94" s="26" t="s">
        <v>1167</v>
      </c>
      <c r="Q94" s="45">
        <v>5</v>
      </c>
      <c r="R94" s="26">
        <v>6</v>
      </c>
      <c r="S94" s="26"/>
      <c r="T94">
        <v>25584</v>
      </c>
      <c r="U94" s="46">
        <f>Table1[[#This Row],[FTE Annual salary rate]]/Table1[[#This Row],[Full time hours for role]]*Table1[[#This Row],[Weekly Hours ]]/52.14285*Table1[[#This Row],[EQWP/ TTO Weeks paid per year]]</f>
        <v>16508.123253611848</v>
      </c>
      <c r="V94" s="26"/>
      <c r="W94" s="26"/>
      <c r="X94" s="26"/>
      <c r="Y94" s="31"/>
      <c r="Z94" s="26"/>
      <c r="AA94" s="11"/>
      <c r="AB94" s="11"/>
      <c r="AC94" s="11"/>
      <c r="AD94" s="11"/>
      <c r="AE94" s="11"/>
      <c r="AF94" s="26"/>
      <c r="AG94" s="26" t="s">
        <v>48</v>
      </c>
      <c r="AH94" s="11" t="b">
        <v>0</v>
      </c>
      <c r="AI94" s="26"/>
      <c r="AJ94" s="26"/>
      <c r="AK94" t="s">
        <v>54</v>
      </c>
      <c r="AL94" s="44" t="s">
        <v>1327</v>
      </c>
      <c r="AM94" s="26" t="s">
        <v>50</v>
      </c>
      <c r="AN94" s="26"/>
      <c r="AO94" s="31"/>
      <c r="AP94" s="11" t="b">
        <v>0</v>
      </c>
      <c r="AQ94" s="11" t="b">
        <v>0</v>
      </c>
    </row>
    <row r="95" spans="1:43" ht="20.100000000000001" customHeight="1">
      <c r="A95" s="26" t="s">
        <v>251</v>
      </c>
      <c r="B95" t="s">
        <v>565</v>
      </c>
      <c r="C95" t="s">
        <v>566</v>
      </c>
      <c r="D95" s="27">
        <v>39753</v>
      </c>
      <c r="E95" t="s">
        <v>822</v>
      </c>
      <c r="F95" t="s">
        <v>914</v>
      </c>
      <c r="G95" t="s">
        <v>1138</v>
      </c>
      <c r="H95" s="26">
        <v>2200</v>
      </c>
      <c r="I95" s="26" t="s">
        <v>1506</v>
      </c>
      <c r="J95" s="26"/>
      <c r="K95" s="26">
        <v>37</v>
      </c>
      <c r="L95" s="39">
        <v>30</v>
      </c>
      <c r="M95" s="39"/>
      <c r="N95" s="44">
        <v>38</v>
      </c>
      <c r="O95" s="40">
        <v>44.8</v>
      </c>
      <c r="P95" s="26" t="s">
        <v>1167</v>
      </c>
      <c r="Q95" s="45">
        <v>6</v>
      </c>
      <c r="R95" s="26">
        <v>6</v>
      </c>
      <c r="S95" s="26"/>
      <c r="T95">
        <v>25989</v>
      </c>
      <c r="U95" s="46">
        <f>Table1[[#This Row],[FTE Annual salary rate]]/Table1[[#This Row],[Full time hours for role]]*Table1[[#This Row],[Weekly Hours ]]/52.14285*Table1[[#This Row],[EQWP/ TTO Weeks paid per year]]</f>
        <v>18104.742354222388</v>
      </c>
      <c r="V95" s="26"/>
      <c r="W95" s="26"/>
      <c r="X95" s="26"/>
      <c r="Y95" s="31"/>
      <c r="Z95" s="26"/>
      <c r="AA95" s="11"/>
      <c r="AB95" s="11"/>
      <c r="AC95" s="11"/>
      <c r="AD95" s="11"/>
      <c r="AE95" s="11"/>
      <c r="AF95" s="26"/>
      <c r="AG95" s="26" t="s">
        <v>48</v>
      </c>
      <c r="AH95" s="11" t="b">
        <v>0</v>
      </c>
      <c r="AI95" s="26"/>
      <c r="AJ95" s="26"/>
      <c r="AK95" t="s">
        <v>54</v>
      </c>
      <c r="AL95" s="44" t="s">
        <v>1328</v>
      </c>
      <c r="AM95" s="26" t="s">
        <v>50</v>
      </c>
      <c r="AN95" s="26"/>
      <c r="AO95" s="31"/>
      <c r="AP95" s="11" t="b">
        <v>0</v>
      </c>
      <c r="AQ95" s="11" t="b">
        <v>0</v>
      </c>
    </row>
    <row r="96" spans="1:43" ht="20.100000000000001" customHeight="1">
      <c r="A96" s="26" t="s">
        <v>252</v>
      </c>
      <c r="B96" t="s">
        <v>567</v>
      </c>
      <c r="C96" t="s">
        <v>568</v>
      </c>
      <c r="D96" s="27">
        <v>42979</v>
      </c>
      <c r="E96" t="s">
        <v>820</v>
      </c>
      <c r="F96" t="s">
        <v>915</v>
      </c>
      <c r="G96" t="s">
        <v>1125</v>
      </c>
      <c r="H96" s="26">
        <v>2000</v>
      </c>
      <c r="I96" s="26" t="s">
        <v>1507</v>
      </c>
      <c r="J96" s="26"/>
      <c r="K96" s="26">
        <v>32.43</v>
      </c>
      <c r="L96" s="39">
        <v>32.43</v>
      </c>
      <c r="M96" s="39"/>
      <c r="N96" s="44" t="s">
        <v>1115</v>
      </c>
      <c r="O96" s="40" t="s">
        <v>1115</v>
      </c>
      <c r="P96" s="26" t="s">
        <v>1160</v>
      </c>
      <c r="Q96" s="45">
        <v>6</v>
      </c>
      <c r="R96" s="26" t="s">
        <v>51</v>
      </c>
      <c r="S96" s="26"/>
      <c r="T96">
        <v>45352</v>
      </c>
      <c r="U96" s="46">
        <v>45352</v>
      </c>
      <c r="V96" s="26"/>
      <c r="W96" s="26"/>
      <c r="X96" s="26"/>
      <c r="Y96" s="31"/>
      <c r="Z96" s="26"/>
      <c r="AA96" s="11"/>
      <c r="AB96" s="11"/>
      <c r="AC96" s="11"/>
      <c r="AD96" s="11"/>
      <c r="AE96" s="11"/>
      <c r="AF96" s="26"/>
      <c r="AG96" s="11" t="s">
        <v>53</v>
      </c>
      <c r="AH96" s="11" t="b">
        <v>0</v>
      </c>
      <c r="AI96" s="26"/>
      <c r="AJ96" s="26"/>
      <c r="AK96" t="s">
        <v>54</v>
      </c>
      <c r="AL96" s="44" t="s">
        <v>1329</v>
      </c>
      <c r="AM96" s="26" t="s">
        <v>50</v>
      </c>
      <c r="AN96" s="26"/>
      <c r="AO96" s="31"/>
      <c r="AP96" s="11" t="b">
        <v>0</v>
      </c>
      <c r="AQ96" s="11" t="b">
        <v>0</v>
      </c>
    </row>
    <row r="97" spans="1:43" ht="20.100000000000001" customHeight="1">
      <c r="A97" s="26" t="s">
        <v>253</v>
      </c>
      <c r="B97" t="s">
        <v>569</v>
      </c>
      <c r="C97" t="s">
        <v>570</v>
      </c>
      <c r="D97" s="27">
        <v>44676</v>
      </c>
      <c r="E97" t="s">
        <v>822</v>
      </c>
      <c r="F97" t="s">
        <v>916</v>
      </c>
      <c r="G97" t="s">
        <v>1116</v>
      </c>
      <c r="H97" s="26">
        <v>2200</v>
      </c>
      <c r="I97" s="26" t="s">
        <v>1506</v>
      </c>
      <c r="J97" s="26"/>
      <c r="K97" s="26">
        <v>37</v>
      </c>
      <c r="L97" s="39">
        <v>31.75</v>
      </c>
      <c r="M97" s="39"/>
      <c r="N97" s="44">
        <v>38</v>
      </c>
      <c r="O97" s="40">
        <v>43.3</v>
      </c>
      <c r="P97" s="26" t="s">
        <v>1167</v>
      </c>
      <c r="Q97" s="45">
        <v>12</v>
      </c>
      <c r="R97" s="26">
        <v>17</v>
      </c>
      <c r="S97" s="26"/>
      <c r="T97">
        <v>28598</v>
      </c>
      <c r="U97" s="46">
        <f>Table1[[#This Row],[FTE Annual salary rate]]/Table1[[#This Row],[Full time hours for role]]*Table1[[#This Row],[Weekly Hours ]]/52.14285*Table1[[#This Row],[EQWP/ TTO Weeks paid per year]]</f>
        <v>20378.43360607939</v>
      </c>
      <c r="V97" s="26"/>
      <c r="W97" s="26"/>
      <c r="X97" s="26"/>
      <c r="Y97" s="31"/>
      <c r="Z97" s="26"/>
      <c r="AA97" s="11"/>
      <c r="AB97" s="11"/>
      <c r="AC97" s="11"/>
      <c r="AD97" s="11"/>
      <c r="AE97" s="11"/>
      <c r="AF97" s="26"/>
      <c r="AG97" s="26" t="s">
        <v>48</v>
      </c>
      <c r="AH97" s="11" t="b">
        <v>0</v>
      </c>
      <c r="AI97" s="26"/>
      <c r="AJ97" s="26"/>
      <c r="AK97" t="s">
        <v>54</v>
      </c>
      <c r="AL97" s="44" t="s">
        <v>1330</v>
      </c>
      <c r="AM97" s="26" t="s">
        <v>50</v>
      </c>
      <c r="AN97" s="26"/>
      <c r="AO97" s="31"/>
      <c r="AP97" s="11" t="b">
        <v>0</v>
      </c>
      <c r="AQ97" s="11" t="b">
        <v>0</v>
      </c>
    </row>
    <row r="98" spans="1:43" ht="20.100000000000001" customHeight="1">
      <c r="A98" s="26" t="s">
        <v>254</v>
      </c>
      <c r="B98" t="s">
        <v>571</v>
      </c>
      <c r="C98" t="s">
        <v>572</v>
      </c>
      <c r="D98" s="27">
        <v>41603</v>
      </c>
      <c r="E98" t="s">
        <v>823</v>
      </c>
      <c r="F98" t="s">
        <v>917</v>
      </c>
      <c r="G98" t="s">
        <v>1145</v>
      </c>
      <c r="H98" s="26">
        <v>2630</v>
      </c>
      <c r="I98" s="26" t="s">
        <v>1511</v>
      </c>
      <c r="J98" s="26"/>
      <c r="K98" s="26">
        <v>37</v>
      </c>
      <c r="L98" s="39">
        <v>21</v>
      </c>
      <c r="M98" s="39"/>
      <c r="N98" s="44">
        <v>39</v>
      </c>
      <c r="O98" s="40">
        <v>46</v>
      </c>
      <c r="P98" s="26" t="s">
        <v>1167</v>
      </c>
      <c r="Q98" s="45">
        <v>23</v>
      </c>
      <c r="R98" s="26">
        <v>23</v>
      </c>
      <c r="S98" s="26"/>
      <c r="T98">
        <v>34434</v>
      </c>
      <c r="U98" s="46">
        <f>Table1[[#This Row],[FTE Annual salary rate]]/Table1[[#This Row],[Full time hours for role]]*Table1[[#This Row],[Weekly Hours ]]/52.14285*Table1[[#This Row],[EQWP/ TTO Weeks paid per year]]</f>
        <v>17241.224723899719</v>
      </c>
      <c r="V98" s="26"/>
      <c r="W98" s="26"/>
      <c r="X98" s="26"/>
      <c r="Y98" s="31"/>
      <c r="Z98" s="26"/>
      <c r="AA98" s="11"/>
      <c r="AB98" s="11"/>
      <c r="AC98" s="11"/>
      <c r="AD98" s="11"/>
      <c r="AE98" s="11"/>
      <c r="AF98" s="26"/>
      <c r="AG98" s="26" t="s">
        <v>48</v>
      </c>
      <c r="AH98" s="11" t="b">
        <v>0</v>
      </c>
      <c r="AI98" s="26"/>
      <c r="AJ98" s="26"/>
      <c r="AK98" t="s">
        <v>54</v>
      </c>
      <c r="AL98" s="44" t="s">
        <v>1331</v>
      </c>
      <c r="AM98" s="26" t="s">
        <v>50</v>
      </c>
      <c r="AN98" s="26"/>
      <c r="AO98" s="31"/>
      <c r="AP98" s="11" t="b">
        <v>0</v>
      </c>
      <c r="AQ98" s="11" t="b">
        <v>0</v>
      </c>
    </row>
    <row r="99" spans="1:43" ht="20.100000000000001" customHeight="1">
      <c r="A99" s="26" t="s">
        <v>254</v>
      </c>
      <c r="B99" t="s">
        <v>571</v>
      </c>
      <c r="C99" t="s">
        <v>572</v>
      </c>
      <c r="D99" s="27">
        <v>41603</v>
      </c>
      <c r="E99" t="s">
        <v>823</v>
      </c>
      <c r="F99" t="s">
        <v>918</v>
      </c>
      <c r="G99" t="s">
        <v>1142</v>
      </c>
      <c r="H99" s="26">
        <v>2630</v>
      </c>
      <c r="I99" s="26" t="s">
        <v>1511</v>
      </c>
      <c r="J99" s="26"/>
      <c r="K99" s="26">
        <v>37</v>
      </c>
      <c r="L99" s="39">
        <v>16</v>
      </c>
      <c r="M99" s="39"/>
      <c r="N99" s="44">
        <v>39.6</v>
      </c>
      <c r="O99" s="40">
        <v>46.7</v>
      </c>
      <c r="P99" s="26" t="s">
        <v>1167</v>
      </c>
      <c r="Q99" s="45">
        <v>17</v>
      </c>
      <c r="R99" s="26">
        <v>17</v>
      </c>
      <c r="S99" s="26"/>
      <c r="T99">
        <v>31022</v>
      </c>
      <c r="U99" s="46">
        <f>Table1[[#This Row],[FTE Annual salary rate]]/Table1[[#This Row],[Full time hours for role]]*Table1[[#This Row],[Weekly Hours ]]/52.14285*Table1[[#This Row],[EQWP/ TTO Weeks paid per year]]</f>
        <v>12014.623548837732</v>
      </c>
      <c r="V99" s="26"/>
      <c r="W99" s="26"/>
      <c r="X99" s="26"/>
      <c r="Y99" s="31"/>
      <c r="Z99" s="26"/>
      <c r="AA99" s="11"/>
      <c r="AB99" s="11"/>
      <c r="AC99" s="11"/>
      <c r="AD99" s="11"/>
      <c r="AE99" s="11"/>
      <c r="AF99" s="26"/>
      <c r="AG99" s="26" t="s">
        <v>48</v>
      </c>
      <c r="AH99" s="11" t="b">
        <v>0</v>
      </c>
      <c r="AI99" s="26"/>
      <c r="AJ99" s="26"/>
      <c r="AK99" t="s">
        <v>54</v>
      </c>
      <c r="AL99" s="44" t="s">
        <v>1331</v>
      </c>
      <c r="AM99" s="26" t="s">
        <v>50</v>
      </c>
      <c r="AN99" s="26"/>
      <c r="AO99" s="31"/>
      <c r="AP99" s="11" t="b">
        <v>0</v>
      </c>
      <c r="AQ99" s="11" t="b">
        <v>0</v>
      </c>
    </row>
    <row r="100" spans="1:43" ht="20.100000000000001" customHeight="1">
      <c r="A100" s="26" t="s">
        <v>255</v>
      </c>
      <c r="B100" t="s">
        <v>573</v>
      </c>
      <c r="C100" t="s">
        <v>574</v>
      </c>
      <c r="D100" s="27">
        <v>45770</v>
      </c>
      <c r="E100" t="s">
        <v>822</v>
      </c>
      <c r="F100" t="s">
        <v>919</v>
      </c>
      <c r="G100" t="s">
        <v>1127</v>
      </c>
      <c r="H100" s="26">
        <v>2300</v>
      </c>
      <c r="I100" s="26" t="s">
        <v>1512</v>
      </c>
      <c r="J100" s="26"/>
      <c r="K100" s="26">
        <v>37</v>
      </c>
      <c r="L100" s="39">
        <v>12.5</v>
      </c>
      <c r="M100" s="39"/>
      <c r="N100" s="44">
        <v>41.4</v>
      </c>
      <c r="O100" s="40">
        <v>46.4</v>
      </c>
      <c r="P100" s="26" t="s">
        <v>1162</v>
      </c>
      <c r="Q100" s="45">
        <v>1</v>
      </c>
      <c r="R100" s="26">
        <v>1</v>
      </c>
      <c r="S100" s="26"/>
      <c r="T100">
        <v>23557</v>
      </c>
      <c r="U100" s="46">
        <f>Table1[[#This Row],[FTE Annual salary rate]]/Table1[[#This Row],[Full time hours for role]]*Table1[[#This Row],[Weekly Hours ]]/52.14285*Table1[[#This Row],[EQWP/ TTO Weeks paid per year]]</f>
        <v>7081.9276639441805</v>
      </c>
      <c r="V100" s="26"/>
      <c r="W100" s="26"/>
      <c r="X100" s="26"/>
      <c r="Y100" s="31"/>
      <c r="Z100" s="26"/>
      <c r="AA100" s="11"/>
      <c r="AB100" s="11"/>
      <c r="AC100" s="11"/>
      <c r="AD100" s="11"/>
      <c r="AE100" s="11"/>
      <c r="AF100" s="26"/>
      <c r="AG100" s="26" t="s">
        <v>48</v>
      </c>
      <c r="AH100" s="11" t="b">
        <v>0</v>
      </c>
      <c r="AI100" s="26"/>
      <c r="AJ100" s="26"/>
      <c r="AK100" t="s">
        <v>54</v>
      </c>
      <c r="AL100" s="44" t="s">
        <v>1332</v>
      </c>
      <c r="AM100" s="26" t="s">
        <v>50</v>
      </c>
      <c r="AN100" s="26"/>
      <c r="AO100" s="31"/>
      <c r="AP100" s="11" t="b">
        <v>0</v>
      </c>
      <c r="AQ100" s="11" t="b">
        <v>0</v>
      </c>
    </row>
    <row r="101" spans="1:43" ht="20.100000000000001" customHeight="1">
      <c r="A101" s="26" t="s">
        <v>256</v>
      </c>
      <c r="B101" t="s">
        <v>575</v>
      </c>
      <c r="C101" t="s">
        <v>576</v>
      </c>
      <c r="D101" s="27">
        <v>45491</v>
      </c>
      <c r="E101" t="s">
        <v>821</v>
      </c>
      <c r="F101" t="s">
        <v>920</v>
      </c>
      <c r="G101" t="s">
        <v>1127</v>
      </c>
      <c r="H101" s="26">
        <v>2300</v>
      </c>
      <c r="I101" s="26" t="s">
        <v>1512</v>
      </c>
      <c r="J101" s="26"/>
      <c r="K101" s="26">
        <v>37</v>
      </c>
      <c r="L101" s="39">
        <v>20</v>
      </c>
      <c r="M101" s="39"/>
      <c r="N101" s="44">
        <v>41.4</v>
      </c>
      <c r="O101" s="40">
        <v>46.4</v>
      </c>
      <c r="P101" s="26" t="s">
        <v>1162</v>
      </c>
      <c r="Q101" s="45">
        <v>1</v>
      </c>
      <c r="R101" s="26">
        <v>1</v>
      </c>
      <c r="S101" s="26"/>
      <c r="T101">
        <v>23557</v>
      </c>
      <c r="U101" s="46">
        <f>Table1[[#This Row],[FTE Annual salary rate]]/Table1[[#This Row],[Full time hours for role]]*Table1[[#This Row],[Weekly Hours ]]/52.14285*Table1[[#This Row],[EQWP/ TTO Weeks paid per year]]</f>
        <v>11331.084262310691</v>
      </c>
      <c r="V101" s="26"/>
      <c r="W101" s="26"/>
      <c r="X101" s="26"/>
      <c r="Y101" s="31"/>
      <c r="Z101" s="26"/>
      <c r="AA101" s="11"/>
      <c r="AB101" s="11"/>
      <c r="AC101" s="11"/>
      <c r="AD101" s="11"/>
      <c r="AE101" s="11"/>
      <c r="AF101" s="26"/>
      <c r="AG101" s="26" t="s">
        <v>48</v>
      </c>
      <c r="AH101" s="11" t="b">
        <v>0</v>
      </c>
      <c r="AI101" s="26"/>
      <c r="AJ101" s="26"/>
      <c r="AK101" t="s">
        <v>54</v>
      </c>
      <c r="AL101" s="44" t="s">
        <v>1333</v>
      </c>
      <c r="AM101" s="26" t="s">
        <v>50</v>
      </c>
      <c r="AN101" s="26"/>
      <c r="AO101" s="31"/>
      <c r="AP101" s="11" t="b">
        <v>0</v>
      </c>
      <c r="AQ101" s="11" t="b">
        <v>0</v>
      </c>
    </row>
    <row r="102" spans="1:43" ht="20.100000000000001" customHeight="1">
      <c r="A102" s="26" t="s">
        <v>256</v>
      </c>
      <c r="B102" t="s">
        <v>575</v>
      </c>
      <c r="C102" t="s">
        <v>576</v>
      </c>
      <c r="D102" s="27">
        <v>45491</v>
      </c>
      <c r="E102" t="s">
        <v>821</v>
      </c>
      <c r="F102" t="s">
        <v>921</v>
      </c>
      <c r="G102" t="s">
        <v>1119</v>
      </c>
      <c r="H102" s="26">
        <v>2820</v>
      </c>
      <c r="I102" s="26" t="s">
        <v>1509</v>
      </c>
      <c r="J102" s="26"/>
      <c r="K102" s="26">
        <v>37</v>
      </c>
      <c r="L102" s="39">
        <v>6.25</v>
      </c>
      <c r="M102" s="39"/>
      <c r="N102" s="44">
        <v>38</v>
      </c>
      <c r="O102" s="40">
        <v>43.3</v>
      </c>
      <c r="P102" s="26" t="s">
        <v>1167</v>
      </c>
      <c r="Q102" s="45">
        <v>4</v>
      </c>
      <c r="R102" s="26">
        <v>4</v>
      </c>
      <c r="S102" s="26"/>
      <c r="T102">
        <v>25185</v>
      </c>
      <c r="U102" s="46">
        <f>Table1[[#This Row],[FTE Annual salary rate]]/Table1[[#This Row],[Full time hours for role]]*Table1[[#This Row],[Weekly Hours ]]/52.14285*Table1[[#This Row],[EQWP/ TTO Weeks paid per year]]</f>
        <v>3532.7538623172627</v>
      </c>
      <c r="V102" s="26"/>
      <c r="W102" s="26"/>
      <c r="X102" s="26"/>
      <c r="Y102" s="31"/>
      <c r="Z102" s="26"/>
      <c r="AA102" s="11"/>
      <c r="AB102" s="11"/>
      <c r="AC102" s="11"/>
      <c r="AD102" s="11"/>
      <c r="AE102" s="11"/>
      <c r="AF102" s="26"/>
      <c r="AG102" s="26" t="s">
        <v>48</v>
      </c>
      <c r="AH102" s="11" t="b">
        <v>0</v>
      </c>
      <c r="AI102" s="26"/>
      <c r="AJ102" s="26"/>
      <c r="AK102" t="s">
        <v>54</v>
      </c>
      <c r="AL102" s="44" t="s">
        <v>1333</v>
      </c>
      <c r="AM102" s="26" t="s">
        <v>50</v>
      </c>
      <c r="AN102" s="26"/>
      <c r="AO102" s="31"/>
      <c r="AP102" s="11" t="b">
        <v>0</v>
      </c>
      <c r="AQ102" s="11" t="b">
        <v>0</v>
      </c>
    </row>
    <row r="103" spans="1:43" ht="20.100000000000001" customHeight="1">
      <c r="A103" s="26" t="s">
        <v>404</v>
      </c>
      <c r="B103" t="s">
        <v>792</v>
      </c>
      <c r="C103" t="s">
        <v>442</v>
      </c>
      <c r="D103" s="87">
        <v>37135</v>
      </c>
      <c r="E103" t="s">
        <v>819</v>
      </c>
      <c r="F103" t="s">
        <v>1089</v>
      </c>
      <c r="G103" t="s">
        <v>1152</v>
      </c>
      <c r="H103" s="26">
        <v>2000</v>
      </c>
      <c r="I103" s="26" t="s">
        <v>1507</v>
      </c>
      <c r="J103" s="26"/>
      <c r="K103" s="26">
        <v>32.43</v>
      </c>
      <c r="L103" s="39">
        <v>32.43</v>
      </c>
      <c r="M103" s="39"/>
      <c r="N103" s="44" t="s">
        <v>1115</v>
      </c>
      <c r="O103" s="40" t="s">
        <v>1115</v>
      </c>
      <c r="P103" s="26" t="s">
        <v>1168</v>
      </c>
      <c r="Q103" s="45">
        <v>18</v>
      </c>
      <c r="R103" s="26">
        <v>18</v>
      </c>
      <c r="S103" s="26"/>
      <c r="T103">
        <v>78702</v>
      </c>
      <c r="U103" s="46">
        <v>78702</v>
      </c>
      <c r="V103" s="26" t="s">
        <v>1184</v>
      </c>
      <c r="W103" s="26">
        <v>4941.12</v>
      </c>
      <c r="X103" s="26">
        <v>4941.12</v>
      </c>
      <c r="Y103" s="31"/>
      <c r="Z103" s="26"/>
      <c r="AA103" s="11"/>
      <c r="AB103" s="11"/>
      <c r="AC103" s="11"/>
      <c r="AD103" s="11"/>
      <c r="AE103" s="11"/>
      <c r="AF103" s="26"/>
      <c r="AG103" s="26" t="s">
        <v>53</v>
      </c>
      <c r="AH103" s="11" t="b">
        <v>0</v>
      </c>
      <c r="AI103" s="26"/>
      <c r="AJ103" s="26"/>
      <c r="AK103" t="s">
        <v>54</v>
      </c>
      <c r="AL103" s="44" t="s">
        <v>1482</v>
      </c>
      <c r="AM103" s="26" t="s">
        <v>50</v>
      </c>
      <c r="AN103" s="26"/>
      <c r="AO103" s="31"/>
      <c r="AP103" s="11" t="b">
        <v>0</v>
      </c>
      <c r="AQ103" s="11" t="b">
        <v>0</v>
      </c>
    </row>
    <row r="104" spans="1:43" ht="20.100000000000001" customHeight="1">
      <c r="A104" s="26" t="s">
        <v>257</v>
      </c>
      <c r="B104" t="s">
        <v>577</v>
      </c>
      <c r="C104" t="s">
        <v>578</v>
      </c>
      <c r="D104" s="27">
        <v>35863</v>
      </c>
      <c r="E104" t="s">
        <v>820</v>
      </c>
      <c r="F104" t="s">
        <v>923</v>
      </c>
      <c r="G104" t="s">
        <v>1121</v>
      </c>
      <c r="H104" s="26">
        <v>2740</v>
      </c>
      <c r="I104" s="26" t="s">
        <v>1510</v>
      </c>
      <c r="J104" s="26"/>
      <c r="K104" s="26">
        <v>37</v>
      </c>
      <c r="L104" s="39">
        <v>15</v>
      </c>
      <c r="M104" s="39"/>
      <c r="N104" s="44">
        <v>38</v>
      </c>
      <c r="O104" s="40">
        <v>44.8</v>
      </c>
      <c r="P104" s="26" t="s">
        <v>1167</v>
      </c>
      <c r="Q104" s="45">
        <v>6</v>
      </c>
      <c r="R104" s="26">
        <v>6</v>
      </c>
      <c r="S104" s="26"/>
      <c r="T104">
        <v>25989</v>
      </c>
      <c r="U104" s="46">
        <f>Table1[[#This Row],[FTE Annual salary rate]]/Table1[[#This Row],[Full time hours for role]]*Table1[[#This Row],[Weekly Hours ]]/52.14285*Table1[[#This Row],[EQWP/ TTO Weeks paid per year]]</f>
        <v>9052.3711771111939</v>
      </c>
      <c r="V104" s="26"/>
      <c r="W104" s="26"/>
      <c r="X104" s="26"/>
      <c r="Y104" s="31"/>
      <c r="Z104" s="26"/>
      <c r="AA104" s="11"/>
      <c r="AB104" s="11"/>
      <c r="AC104" s="11"/>
      <c r="AD104" s="11"/>
      <c r="AE104" s="11"/>
      <c r="AF104" s="26"/>
      <c r="AG104" s="26" t="s">
        <v>48</v>
      </c>
      <c r="AH104" s="11" t="b">
        <v>0</v>
      </c>
      <c r="AI104" s="26"/>
      <c r="AJ104" s="26"/>
      <c r="AK104" t="s">
        <v>54</v>
      </c>
      <c r="AL104" s="44" t="s">
        <v>1334</v>
      </c>
      <c r="AM104" s="26" t="s">
        <v>50</v>
      </c>
      <c r="AN104" s="26"/>
      <c r="AO104" s="31"/>
      <c r="AP104" s="11" t="b">
        <v>0</v>
      </c>
      <c r="AQ104" s="11" t="b">
        <v>0</v>
      </c>
    </row>
    <row r="105" spans="1:43" ht="20.100000000000001" customHeight="1">
      <c r="A105" s="26" t="s">
        <v>258</v>
      </c>
      <c r="B105" t="s">
        <v>579</v>
      </c>
      <c r="C105" t="s">
        <v>568</v>
      </c>
      <c r="D105" s="27">
        <v>45538</v>
      </c>
      <c r="E105" t="s">
        <v>820</v>
      </c>
      <c r="F105" t="s">
        <v>924</v>
      </c>
      <c r="G105" t="s">
        <v>1119</v>
      </c>
      <c r="H105" s="26">
        <v>2820</v>
      </c>
      <c r="I105" s="26" t="s">
        <v>1509</v>
      </c>
      <c r="J105" s="26"/>
      <c r="K105" s="26">
        <v>37</v>
      </c>
      <c r="L105" s="39">
        <v>5.41</v>
      </c>
      <c r="M105" s="39"/>
      <c r="N105" s="44">
        <v>38</v>
      </c>
      <c r="O105" s="40">
        <v>43.3</v>
      </c>
      <c r="P105" s="26" t="s">
        <v>1167</v>
      </c>
      <c r="Q105" s="45">
        <v>4</v>
      </c>
      <c r="R105" s="26">
        <v>4</v>
      </c>
      <c r="S105" s="26"/>
      <c r="T105">
        <v>25185</v>
      </c>
      <c r="U105" s="46">
        <f>Table1[[#This Row],[FTE Annual salary rate]]/Table1[[#This Row],[Full time hours for role]]*Table1[[#This Row],[Weekly Hours ]]/52.14285*Table1[[#This Row],[EQWP/ TTO Weeks paid per year]]</f>
        <v>3057.9517432218227</v>
      </c>
      <c r="V105" s="26"/>
      <c r="W105" s="26"/>
      <c r="X105" s="26"/>
      <c r="Y105" s="31"/>
      <c r="Z105" s="26"/>
      <c r="AA105" s="11"/>
      <c r="AB105" s="11"/>
      <c r="AC105" s="11"/>
      <c r="AD105" s="11"/>
      <c r="AE105" s="11"/>
      <c r="AF105" s="26"/>
      <c r="AG105" s="26" t="s">
        <v>48</v>
      </c>
      <c r="AH105" s="11" t="b">
        <v>0</v>
      </c>
      <c r="AI105" s="26"/>
      <c r="AJ105" s="26"/>
      <c r="AK105" t="s">
        <v>54</v>
      </c>
      <c r="AL105" s="44" t="s">
        <v>1335</v>
      </c>
      <c r="AM105" s="26" t="s">
        <v>50</v>
      </c>
      <c r="AN105" s="26"/>
      <c r="AO105" s="31"/>
      <c r="AP105" s="11" t="b">
        <v>0</v>
      </c>
      <c r="AQ105" s="11" t="b">
        <v>0</v>
      </c>
    </row>
    <row r="106" spans="1:43" ht="20.100000000000001" customHeight="1">
      <c r="A106" s="26" t="s">
        <v>259</v>
      </c>
      <c r="B106" t="s">
        <v>580</v>
      </c>
      <c r="C106" t="s">
        <v>581</v>
      </c>
      <c r="D106" s="27">
        <v>45791</v>
      </c>
      <c r="E106" t="s">
        <v>820</v>
      </c>
      <c r="F106" t="s">
        <v>925</v>
      </c>
      <c r="G106" t="s">
        <v>1125</v>
      </c>
      <c r="H106" s="26">
        <v>2000</v>
      </c>
      <c r="I106" s="26" t="s">
        <v>1507</v>
      </c>
      <c r="J106" s="26"/>
      <c r="K106" s="26">
        <v>32.43</v>
      </c>
      <c r="L106" s="49">
        <v>16.215</v>
      </c>
      <c r="M106" s="39"/>
      <c r="N106" s="44" t="s">
        <v>1115</v>
      </c>
      <c r="O106" s="40" t="s">
        <v>1115</v>
      </c>
      <c r="P106" s="26" t="s">
        <v>1160</v>
      </c>
      <c r="Q106" s="45">
        <v>6</v>
      </c>
      <c r="R106" s="26" t="s">
        <v>51</v>
      </c>
      <c r="S106" s="26"/>
      <c r="T106">
        <v>45352</v>
      </c>
      <c r="U106" s="46">
        <f>Table1[[#This Row],[FTE Annual salary rate]]*16.215/32.43</f>
        <v>22676</v>
      </c>
      <c r="V106" s="26"/>
      <c r="W106" s="26"/>
      <c r="X106" s="26"/>
      <c r="Y106" s="31"/>
      <c r="Z106" s="26"/>
      <c r="AA106" s="11"/>
      <c r="AB106" s="11"/>
      <c r="AC106" s="11"/>
      <c r="AD106" s="11"/>
      <c r="AE106" s="11"/>
      <c r="AF106" s="26"/>
      <c r="AG106" s="11" t="s">
        <v>53</v>
      </c>
      <c r="AH106" s="11" t="b">
        <v>0</v>
      </c>
      <c r="AI106" s="26"/>
      <c r="AJ106" s="26"/>
      <c r="AK106" t="s">
        <v>54</v>
      </c>
      <c r="AL106" s="44" t="s">
        <v>1336</v>
      </c>
      <c r="AM106" s="26" t="s">
        <v>50</v>
      </c>
      <c r="AN106" s="26"/>
      <c r="AO106" s="31"/>
      <c r="AP106" s="11" t="b">
        <v>0</v>
      </c>
      <c r="AQ106" s="11" t="b">
        <v>0</v>
      </c>
    </row>
    <row r="107" spans="1:43" ht="20.100000000000001" customHeight="1">
      <c r="A107" s="26" t="s">
        <v>260</v>
      </c>
      <c r="B107" t="s">
        <v>582</v>
      </c>
      <c r="C107" t="s">
        <v>574</v>
      </c>
      <c r="D107" s="27">
        <v>35551</v>
      </c>
      <c r="E107" t="s">
        <v>822</v>
      </c>
      <c r="F107" t="s">
        <v>926</v>
      </c>
      <c r="G107" t="s">
        <v>1141</v>
      </c>
      <c r="H107" s="26">
        <v>2630</v>
      </c>
      <c r="I107" s="26" t="s">
        <v>1511</v>
      </c>
      <c r="J107" s="26"/>
      <c r="K107" s="26">
        <v>37</v>
      </c>
      <c r="L107" s="39">
        <v>31.25</v>
      </c>
      <c r="M107" s="39"/>
      <c r="N107" s="44">
        <v>38.6</v>
      </c>
      <c r="O107" s="40">
        <v>45.5</v>
      </c>
      <c r="P107" s="26" t="s">
        <v>1167</v>
      </c>
      <c r="Q107" s="45">
        <v>6</v>
      </c>
      <c r="R107" s="26">
        <v>6</v>
      </c>
      <c r="S107" s="26"/>
      <c r="T107">
        <v>25989</v>
      </c>
      <c r="U107" s="46">
        <f>Table1[[#This Row],[FTE Annual salary rate]]/Table1[[#This Row],[Full time hours for role]]*Table1[[#This Row],[Weekly Hours ]]/52.14285*Table1[[#This Row],[EQWP/ TTO Weeks paid per year]]</f>
        <v>19153.780159903243</v>
      </c>
      <c r="V107" s="26"/>
      <c r="W107" s="26"/>
      <c r="X107" s="26"/>
      <c r="Y107" s="31"/>
      <c r="Z107" s="26"/>
      <c r="AA107" s="11"/>
      <c r="AB107" s="11"/>
      <c r="AC107" s="11"/>
      <c r="AD107" s="11"/>
      <c r="AE107" s="11"/>
      <c r="AF107" s="26"/>
      <c r="AG107" s="26" t="s">
        <v>48</v>
      </c>
      <c r="AH107" s="11" t="b">
        <v>0</v>
      </c>
      <c r="AI107" s="26"/>
      <c r="AJ107" s="26"/>
      <c r="AK107" t="s">
        <v>54</v>
      </c>
      <c r="AL107" s="44" t="s">
        <v>1337</v>
      </c>
      <c r="AM107" s="26" t="s">
        <v>50</v>
      </c>
      <c r="AN107" s="26"/>
      <c r="AO107" s="31"/>
      <c r="AP107" s="11" t="b">
        <v>0</v>
      </c>
      <c r="AQ107" s="11" t="b">
        <v>0</v>
      </c>
    </row>
    <row r="108" spans="1:43" ht="20.100000000000001" customHeight="1">
      <c r="A108" s="26" t="s">
        <v>261</v>
      </c>
      <c r="B108" t="s">
        <v>583</v>
      </c>
      <c r="C108" t="s">
        <v>540</v>
      </c>
      <c r="D108" s="27">
        <v>44872</v>
      </c>
      <c r="E108" t="s">
        <v>822</v>
      </c>
      <c r="F108" t="s">
        <v>927</v>
      </c>
      <c r="G108" t="s">
        <v>1119</v>
      </c>
      <c r="H108" s="26">
        <v>2820</v>
      </c>
      <c r="I108" s="26" t="s">
        <v>1509</v>
      </c>
      <c r="J108" s="26"/>
      <c r="K108" s="26">
        <v>37</v>
      </c>
      <c r="L108" s="39">
        <v>7.5</v>
      </c>
      <c r="M108" s="39"/>
      <c r="N108" s="44">
        <v>38</v>
      </c>
      <c r="O108" s="40">
        <v>43.3</v>
      </c>
      <c r="P108" s="26" t="s">
        <v>1167</v>
      </c>
      <c r="Q108" s="45">
        <v>4</v>
      </c>
      <c r="R108" s="26">
        <v>4</v>
      </c>
      <c r="S108" s="26"/>
      <c r="T108">
        <v>25185</v>
      </c>
      <c r="U108" s="46">
        <f>Table1[[#This Row],[FTE Annual salary rate]]/Table1[[#This Row],[Full time hours for role]]*Table1[[#This Row],[Weekly Hours ]]/52.14285*Table1[[#This Row],[EQWP/ TTO Weeks paid per year]]</f>
        <v>4239.3046347807158</v>
      </c>
      <c r="V108" s="26"/>
      <c r="W108" s="26"/>
      <c r="X108" s="26"/>
      <c r="Y108" s="31"/>
      <c r="Z108" s="26"/>
      <c r="AA108" s="11"/>
      <c r="AB108" s="11"/>
      <c r="AC108" s="11"/>
      <c r="AD108" s="11"/>
      <c r="AE108" s="11"/>
      <c r="AF108" s="26"/>
      <c r="AG108" s="26" t="s">
        <v>48</v>
      </c>
      <c r="AH108" s="11" t="b">
        <v>0</v>
      </c>
      <c r="AI108" s="26"/>
      <c r="AJ108" s="26"/>
      <c r="AK108" t="s">
        <v>54</v>
      </c>
      <c r="AL108" s="44" t="s">
        <v>1338</v>
      </c>
      <c r="AM108" s="26" t="s">
        <v>50</v>
      </c>
      <c r="AN108" s="26"/>
      <c r="AO108" s="31"/>
      <c r="AP108" s="11" t="b">
        <v>0</v>
      </c>
      <c r="AQ108" s="11" t="b">
        <v>0</v>
      </c>
    </row>
    <row r="109" spans="1:43" ht="20.100000000000001" customHeight="1">
      <c r="A109" s="26" t="s">
        <v>262</v>
      </c>
      <c r="B109" t="s">
        <v>584</v>
      </c>
      <c r="C109" t="s">
        <v>576</v>
      </c>
      <c r="D109" s="27">
        <v>36214</v>
      </c>
      <c r="E109" t="s">
        <v>822</v>
      </c>
      <c r="F109" t="s">
        <v>928</v>
      </c>
      <c r="G109" t="s">
        <v>1120</v>
      </c>
      <c r="H109" s="26">
        <v>2200</v>
      </c>
      <c r="I109" s="26" t="s">
        <v>1506</v>
      </c>
      <c r="J109" s="26"/>
      <c r="K109" s="26">
        <v>37</v>
      </c>
      <c r="L109" s="39">
        <v>20</v>
      </c>
      <c r="M109" s="39"/>
      <c r="N109" s="44">
        <v>38</v>
      </c>
      <c r="O109" s="40">
        <v>44.8</v>
      </c>
      <c r="P109" s="26" t="s">
        <v>1167</v>
      </c>
      <c r="Q109" s="45">
        <v>6</v>
      </c>
      <c r="R109" s="26">
        <v>6</v>
      </c>
      <c r="S109" s="26"/>
      <c r="T109">
        <v>25989</v>
      </c>
      <c r="U109" s="46">
        <f>Table1[[#This Row],[FTE Annual salary rate]]/Table1[[#This Row],[Full time hours for role]]*Table1[[#This Row],[Weekly Hours ]]/52.14285*Table1[[#This Row],[EQWP/ TTO Weeks paid per year]]</f>
        <v>12069.82823614826</v>
      </c>
      <c r="V109" s="26"/>
      <c r="W109" s="26"/>
      <c r="X109" s="26"/>
      <c r="Y109" s="31"/>
      <c r="Z109" s="26"/>
      <c r="AA109" s="11"/>
      <c r="AB109" s="11"/>
      <c r="AC109" s="11"/>
      <c r="AD109" s="11"/>
      <c r="AE109" s="11"/>
      <c r="AF109" s="26"/>
      <c r="AG109" s="26" t="s">
        <v>48</v>
      </c>
      <c r="AH109" s="11" t="b">
        <v>0</v>
      </c>
      <c r="AI109" s="26"/>
      <c r="AJ109" s="26"/>
      <c r="AK109" t="s">
        <v>54</v>
      </c>
      <c r="AL109" s="44" t="s">
        <v>1339</v>
      </c>
      <c r="AM109" s="26" t="s">
        <v>50</v>
      </c>
      <c r="AN109" s="26"/>
      <c r="AO109" s="31"/>
      <c r="AP109" s="11" t="b">
        <v>0</v>
      </c>
      <c r="AQ109" s="11" t="b">
        <v>0</v>
      </c>
    </row>
    <row r="110" spans="1:43" ht="20.100000000000001" customHeight="1">
      <c r="A110" s="26" t="s">
        <v>263</v>
      </c>
      <c r="B110" t="s">
        <v>585</v>
      </c>
      <c r="C110" t="s">
        <v>586</v>
      </c>
      <c r="D110" s="41">
        <v>43363</v>
      </c>
      <c r="E110" t="s">
        <v>821</v>
      </c>
      <c r="F110" t="s">
        <v>929</v>
      </c>
      <c r="G110" t="s">
        <v>1128</v>
      </c>
      <c r="H110" s="26">
        <v>2200</v>
      </c>
      <c r="I110" s="26" t="s">
        <v>1506</v>
      </c>
      <c r="J110" s="26"/>
      <c r="K110" s="26">
        <v>37</v>
      </c>
      <c r="L110" s="39">
        <v>17.5</v>
      </c>
      <c r="M110" s="39"/>
      <c r="N110" s="44">
        <v>38</v>
      </c>
      <c r="O110" s="40">
        <v>44.2</v>
      </c>
      <c r="P110" s="26" t="s">
        <v>1167</v>
      </c>
      <c r="Q110" s="45">
        <v>6</v>
      </c>
      <c r="R110" s="26">
        <v>6</v>
      </c>
      <c r="S110" s="26"/>
      <c r="T110">
        <v>25989</v>
      </c>
      <c r="U110" s="46">
        <f>Table1[[#This Row],[FTE Annual salary rate]]/Table1[[#This Row],[Full time hours for role]]*Table1[[#This Row],[Weekly Hours ]]/52.14285*Table1[[#This Row],[EQWP/ TTO Weeks paid per year]]</f>
        <v>10419.656406987366</v>
      </c>
      <c r="V110" s="26"/>
      <c r="W110" s="26"/>
      <c r="X110" s="26"/>
      <c r="Y110" s="31"/>
      <c r="Z110" s="26"/>
      <c r="AA110" s="11"/>
      <c r="AB110" s="11"/>
      <c r="AC110" s="11"/>
      <c r="AD110" s="11"/>
      <c r="AE110" s="11"/>
      <c r="AF110" s="26"/>
      <c r="AG110" s="26" t="s">
        <v>48</v>
      </c>
      <c r="AH110" s="11" t="b">
        <v>0</v>
      </c>
      <c r="AI110" s="26"/>
      <c r="AJ110" s="26"/>
      <c r="AK110" t="s">
        <v>54</v>
      </c>
      <c r="AL110" s="44" t="s">
        <v>1340</v>
      </c>
      <c r="AM110" s="26" t="s">
        <v>50</v>
      </c>
      <c r="AN110" s="26"/>
      <c r="AO110" s="31"/>
      <c r="AP110" s="11" t="b">
        <v>0</v>
      </c>
      <c r="AQ110" s="11" t="b">
        <v>0</v>
      </c>
    </row>
    <row r="111" spans="1:43" ht="20.100000000000001" customHeight="1">
      <c r="A111" s="26" t="s">
        <v>204</v>
      </c>
      <c r="B111" t="s">
        <v>486</v>
      </c>
      <c r="C111" t="s">
        <v>487</v>
      </c>
      <c r="D111" s="52">
        <v>43709</v>
      </c>
      <c r="E111" t="s">
        <v>820</v>
      </c>
      <c r="F111" t="s">
        <v>862</v>
      </c>
      <c r="G111" t="s">
        <v>1118</v>
      </c>
      <c r="H111" s="26">
        <v>2000</v>
      </c>
      <c r="I111" s="26" t="s">
        <v>1507</v>
      </c>
      <c r="J111" s="26"/>
      <c r="K111" s="26">
        <v>32.43</v>
      </c>
      <c r="L111" s="39">
        <v>32.43</v>
      </c>
      <c r="M111" s="39"/>
      <c r="N111" s="44" t="s">
        <v>1115</v>
      </c>
      <c r="O111" s="40" t="s">
        <v>1115</v>
      </c>
      <c r="P111" s="26" t="s">
        <v>1161</v>
      </c>
      <c r="Q111" s="45">
        <v>1</v>
      </c>
      <c r="R111" s="26" t="s">
        <v>52</v>
      </c>
      <c r="S111" s="26"/>
      <c r="T111">
        <v>47472</v>
      </c>
      <c r="U111" s="46">
        <v>47472</v>
      </c>
      <c r="V111" s="26" t="s">
        <v>1180</v>
      </c>
      <c r="W111" s="26">
        <v>3527</v>
      </c>
      <c r="X111" s="26">
        <v>3527</v>
      </c>
      <c r="Y111" s="31"/>
      <c r="Z111" s="26"/>
      <c r="AA111" s="11"/>
      <c r="AB111" s="11"/>
      <c r="AC111" s="11"/>
      <c r="AD111" s="11"/>
      <c r="AE111" s="11"/>
      <c r="AF111" s="26"/>
      <c r="AG111" s="11" t="s">
        <v>53</v>
      </c>
      <c r="AH111" s="11" t="b">
        <v>0</v>
      </c>
      <c r="AI111" s="26"/>
      <c r="AJ111" s="26"/>
      <c r="AK111" t="s">
        <v>54</v>
      </c>
      <c r="AL111" s="44" t="s">
        <v>1281</v>
      </c>
      <c r="AM111" s="26" t="s">
        <v>50</v>
      </c>
      <c r="AN111" s="26"/>
      <c r="AO111" s="31"/>
      <c r="AP111" s="11" t="b">
        <v>0</v>
      </c>
      <c r="AQ111" s="11" t="b">
        <v>0</v>
      </c>
    </row>
    <row r="112" spans="1:43" ht="20.100000000000001" customHeight="1">
      <c r="A112" s="26" t="s">
        <v>265</v>
      </c>
      <c r="B112" t="s">
        <v>588</v>
      </c>
      <c r="C112" t="s">
        <v>438</v>
      </c>
      <c r="D112" s="41">
        <v>39729</v>
      </c>
      <c r="E112" t="s">
        <v>822</v>
      </c>
      <c r="F112" t="s">
        <v>931</v>
      </c>
      <c r="G112" t="s">
        <v>1146</v>
      </c>
      <c r="H112" s="26">
        <v>2200</v>
      </c>
      <c r="I112" s="26" t="s">
        <v>1506</v>
      </c>
      <c r="J112" s="26"/>
      <c r="K112" s="26">
        <v>37</v>
      </c>
      <c r="L112" s="39">
        <v>10</v>
      </c>
      <c r="M112" s="39"/>
      <c r="N112" s="44">
        <v>38</v>
      </c>
      <c r="O112" s="40">
        <v>44.8</v>
      </c>
      <c r="P112" s="26" t="s">
        <v>1167</v>
      </c>
      <c r="Q112" s="45">
        <v>6</v>
      </c>
      <c r="R112" s="26">
        <v>6</v>
      </c>
      <c r="S112" s="26"/>
      <c r="T112">
        <v>25989</v>
      </c>
      <c r="U112" s="46">
        <f>Table1[[#This Row],[FTE Annual salary rate]]/Table1[[#This Row],[Full time hours for role]]*Table1[[#This Row],[Weekly Hours ]]/52.14285*Table1[[#This Row],[EQWP/ TTO Weeks paid per year]]</f>
        <v>6034.9141180741299</v>
      </c>
      <c r="V112" s="26"/>
      <c r="W112" s="26"/>
      <c r="X112" s="26"/>
      <c r="Y112" s="31"/>
      <c r="Z112" s="26"/>
      <c r="AA112" s="11"/>
      <c r="AB112" s="11"/>
      <c r="AC112" s="11"/>
      <c r="AD112" s="11"/>
      <c r="AE112" s="11"/>
      <c r="AF112" s="26"/>
      <c r="AG112" s="26" t="s">
        <v>48</v>
      </c>
      <c r="AH112" s="11" t="b">
        <v>0</v>
      </c>
      <c r="AI112" s="26"/>
      <c r="AJ112" s="26"/>
      <c r="AK112" t="s">
        <v>54</v>
      </c>
      <c r="AL112" s="44" t="s">
        <v>1342</v>
      </c>
      <c r="AM112" s="26" t="s">
        <v>50</v>
      </c>
      <c r="AN112" s="26"/>
      <c r="AO112" s="31"/>
      <c r="AP112" s="11" t="b">
        <v>0</v>
      </c>
      <c r="AQ112" s="11" t="b">
        <v>0</v>
      </c>
    </row>
    <row r="113" spans="1:43" ht="20.100000000000001" customHeight="1">
      <c r="A113" s="26" t="s">
        <v>265</v>
      </c>
      <c r="B113" t="s">
        <v>588</v>
      </c>
      <c r="C113" t="s">
        <v>438</v>
      </c>
      <c r="D113" s="41">
        <v>39729</v>
      </c>
      <c r="E113" t="s">
        <v>822</v>
      </c>
      <c r="F113" t="s">
        <v>932</v>
      </c>
      <c r="G113" t="s">
        <v>1120</v>
      </c>
      <c r="H113" s="26">
        <v>2200</v>
      </c>
      <c r="I113" s="26" t="s">
        <v>1506</v>
      </c>
      <c r="J113" s="26"/>
      <c r="K113" s="26">
        <v>37</v>
      </c>
      <c r="L113" s="39">
        <v>15</v>
      </c>
      <c r="M113" s="39"/>
      <c r="N113" s="44">
        <v>38</v>
      </c>
      <c r="O113" s="40">
        <v>44.8</v>
      </c>
      <c r="P113" s="26" t="s">
        <v>1167</v>
      </c>
      <c r="Q113" s="45">
        <v>6</v>
      </c>
      <c r="R113" s="26">
        <v>6</v>
      </c>
      <c r="S113" s="26"/>
      <c r="T113">
        <v>25989</v>
      </c>
      <c r="U113" s="46">
        <f>Table1[[#This Row],[FTE Annual salary rate]]/Table1[[#This Row],[Full time hours for role]]*Table1[[#This Row],[Weekly Hours ]]/52.14285*Table1[[#This Row],[EQWP/ TTO Weeks paid per year]]</f>
        <v>9052.3711771111939</v>
      </c>
      <c r="V113" s="26"/>
      <c r="W113" s="26"/>
      <c r="X113" s="26"/>
      <c r="Y113" s="31"/>
      <c r="Z113" s="26"/>
      <c r="AA113" s="11"/>
      <c r="AB113" s="11"/>
      <c r="AC113" s="11"/>
      <c r="AD113" s="11"/>
      <c r="AE113" s="11"/>
      <c r="AF113" s="26"/>
      <c r="AG113" s="26" t="s">
        <v>48</v>
      </c>
      <c r="AH113" s="11" t="b">
        <v>0</v>
      </c>
      <c r="AI113" s="26"/>
      <c r="AJ113" s="26"/>
      <c r="AK113" t="s">
        <v>54</v>
      </c>
      <c r="AL113" s="44" t="s">
        <v>1342</v>
      </c>
      <c r="AM113" s="26" t="s">
        <v>50</v>
      </c>
      <c r="AN113" s="26"/>
      <c r="AO113" s="31"/>
      <c r="AP113" s="11" t="b">
        <v>0</v>
      </c>
      <c r="AQ113" s="11" t="b">
        <v>0</v>
      </c>
    </row>
    <row r="114" spans="1:43" ht="20.100000000000001" customHeight="1">
      <c r="A114" s="26" t="s">
        <v>266</v>
      </c>
      <c r="B114" t="s">
        <v>589</v>
      </c>
      <c r="C114" t="s">
        <v>590</v>
      </c>
      <c r="D114" s="41">
        <v>45082</v>
      </c>
      <c r="E114" t="s">
        <v>823</v>
      </c>
      <c r="F114" t="s">
        <v>933</v>
      </c>
      <c r="G114" t="s">
        <v>1123</v>
      </c>
      <c r="H114" s="26">
        <v>2630</v>
      </c>
      <c r="I114" s="26" t="s">
        <v>1511</v>
      </c>
      <c r="J114" s="26"/>
      <c r="K114" s="26">
        <v>37</v>
      </c>
      <c r="L114" s="39">
        <v>30</v>
      </c>
      <c r="M114" s="39"/>
      <c r="N114" s="44">
        <v>39</v>
      </c>
      <c r="O114" s="40">
        <v>44.5</v>
      </c>
      <c r="P114" s="26" t="s">
        <v>1167</v>
      </c>
      <c r="Q114" s="45">
        <v>14</v>
      </c>
      <c r="R114" s="26">
        <v>17</v>
      </c>
      <c r="S114" s="26"/>
      <c r="T114">
        <v>29540</v>
      </c>
      <c r="U114" s="46">
        <f>Table1[[#This Row],[FTE Annual salary rate]]/Table1[[#This Row],[Full time hours for role]]*Table1[[#This Row],[Weekly Hours ]]/52.14285*Table1[[#This Row],[EQWP/ TTO Weeks paid per year]]</f>
        <v>20440.676624602129</v>
      </c>
      <c r="V114" s="26"/>
      <c r="W114" s="26"/>
      <c r="X114" s="26"/>
      <c r="Y114" s="31"/>
      <c r="Z114" s="26"/>
      <c r="AA114" s="11"/>
      <c r="AB114" s="11"/>
      <c r="AC114" s="11"/>
      <c r="AD114" s="11"/>
      <c r="AE114" s="11"/>
      <c r="AF114" s="26"/>
      <c r="AG114" s="26" t="s">
        <v>48</v>
      </c>
      <c r="AH114" s="11" t="b">
        <v>0</v>
      </c>
      <c r="AI114" s="26"/>
      <c r="AJ114" s="26"/>
      <c r="AK114" t="s">
        <v>54</v>
      </c>
      <c r="AL114" s="44" t="s">
        <v>1343</v>
      </c>
      <c r="AM114" s="26" t="s">
        <v>50</v>
      </c>
      <c r="AN114" s="26"/>
      <c r="AO114" s="31"/>
      <c r="AP114" s="11" t="b">
        <v>0</v>
      </c>
      <c r="AQ114" s="11" t="b">
        <v>0</v>
      </c>
    </row>
    <row r="115" spans="1:43" ht="20.100000000000001" customHeight="1">
      <c r="A115" s="26" t="s">
        <v>267</v>
      </c>
      <c r="B115" t="s">
        <v>591</v>
      </c>
      <c r="C115" t="s">
        <v>592</v>
      </c>
      <c r="D115" s="41">
        <v>43549</v>
      </c>
      <c r="E115" t="s">
        <v>819</v>
      </c>
      <c r="F115" t="s">
        <v>934</v>
      </c>
      <c r="G115" t="s">
        <v>1128</v>
      </c>
      <c r="H115" s="26">
        <v>2200</v>
      </c>
      <c r="I115" s="26" t="s">
        <v>1506</v>
      </c>
      <c r="J115" s="26"/>
      <c r="K115" s="26">
        <v>37</v>
      </c>
      <c r="L115" s="39">
        <v>29.16</v>
      </c>
      <c r="M115" s="39"/>
      <c r="N115" s="44">
        <v>38</v>
      </c>
      <c r="O115" s="40">
        <v>44.2</v>
      </c>
      <c r="P115" s="26" t="s">
        <v>1167</v>
      </c>
      <c r="Q115" s="45">
        <v>6</v>
      </c>
      <c r="R115" s="26">
        <v>6</v>
      </c>
      <c r="S115" s="26"/>
      <c r="T115">
        <v>25989</v>
      </c>
      <c r="U115" s="46">
        <f>Table1[[#This Row],[FTE Annual salary rate]]/Table1[[#This Row],[Full time hours for role]]*Table1[[#This Row],[Weekly Hours ]]/52.14285*Table1[[#This Row],[EQWP/ TTO Weeks paid per year]]</f>
        <v>17362.12461872866</v>
      </c>
      <c r="V115" s="26"/>
      <c r="W115" s="26"/>
      <c r="X115" s="26"/>
      <c r="Y115" s="31"/>
      <c r="Z115" s="26"/>
      <c r="AA115" s="11"/>
      <c r="AB115" s="11"/>
      <c r="AC115" s="11"/>
      <c r="AD115" s="11"/>
      <c r="AE115" s="11"/>
      <c r="AF115" s="26"/>
      <c r="AG115" s="26" t="s">
        <v>48</v>
      </c>
      <c r="AH115" s="11" t="b">
        <v>0</v>
      </c>
      <c r="AI115" s="26"/>
      <c r="AJ115" s="26"/>
      <c r="AK115" t="s">
        <v>54</v>
      </c>
      <c r="AL115" s="44" t="s">
        <v>1344</v>
      </c>
      <c r="AM115" s="26" t="s">
        <v>50</v>
      </c>
      <c r="AN115" s="26"/>
      <c r="AO115" s="31"/>
      <c r="AP115" s="11" t="b">
        <v>0</v>
      </c>
      <c r="AQ115" s="11" t="b">
        <v>0</v>
      </c>
    </row>
    <row r="116" spans="1:43" ht="20.100000000000001" customHeight="1">
      <c r="A116" s="26" t="s">
        <v>268</v>
      </c>
      <c r="B116" t="s">
        <v>593</v>
      </c>
      <c r="C116" t="s">
        <v>473</v>
      </c>
      <c r="D116" s="41">
        <v>43709</v>
      </c>
      <c r="E116" t="s">
        <v>819</v>
      </c>
      <c r="F116" t="s">
        <v>935</v>
      </c>
      <c r="G116" t="s">
        <v>1125</v>
      </c>
      <c r="H116" s="26">
        <v>2000</v>
      </c>
      <c r="I116" s="26" t="s">
        <v>1507</v>
      </c>
      <c r="J116" s="26"/>
      <c r="K116" s="26">
        <v>32.43</v>
      </c>
      <c r="L116" s="39">
        <v>19.46</v>
      </c>
      <c r="M116" s="39"/>
      <c r="N116" s="44" t="s">
        <v>1115</v>
      </c>
      <c r="O116" s="40" t="s">
        <v>1115</v>
      </c>
      <c r="P116" s="26" t="s">
        <v>1160</v>
      </c>
      <c r="Q116" s="45">
        <v>6</v>
      </c>
      <c r="R116" s="26" t="s">
        <v>51</v>
      </c>
      <c r="S116" s="26"/>
      <c r="T116">
        <v>45352</v>
      </c>
      <c r="U116" s="46">
        <f>19.46153846*Table1[[#This Row],[FTE Annual salary rate]]/32.43</f>
        <v>27216.148388465001</v>
      </c>
      <c r="V116" s="26"/>
      <c r="W116" s="26"/>
      <c r="X116" s="26"/>
      <c r="Y116" s="31"/>
      <c r="Z116" s="26"/>
      <c r="AA116" s="11"/>
      <c r="AB116" s="11"/>
      <c r="AC116" s="11"/>
      <c r="AD116" s="11"/>
      <c r="AE116" s="11"/>
      <c r="AF116" s="26"/>
      <c r="AG116" s="11" t="s">
        <v>53</v>
      </c>
      <c r="AH116" s="11" t="b">
        <v>0</v>
      </c>
      <c r="AI116" s="26"/>
      <c r="AJ116" s="26"/>
      <c r="AK116" t="s">
        <v>54</v>
      </c>
      <c r="AL116" s="44" t="s">
        <v>1345</v>
      </c>
      <c r="AM116" s="26" t="s">
        <v>50</v>
      </c>
      <c r="AN116" s="26"/>
      <c r="AO116" s="31"/>
      <c r="AP116" s="11" t="b">
        <v>0</v>
      </c>
      <c r="AQ116" s="11" t="b">
        <v>0</v>
      </c>
    </row>
    <row r="117" spans="1:43" ht="20.100000000000001" customHeight="1">
      <c r="A117" s="26" t="s">
        <v>269</v>
      </c>
      <c r="B117" t="s">
        <v>594</v>
      </c>
      <c r="C117" t="s">
        <v>595</v>
      </c>
      <c r="D117" s="41">
        <v>40787</v>
      </c>
      <c r="E117" t="s">
        <v>821</v>
      </c>
      <c r="F117" t="s">
        <v>936</v>
      </c>
      <c r="G117" t="s">
        <v>1125</v>
      </c>
      <c r="H117" s="26">
        <v>2000</v>
      </c>
      <c r="I117" s="26" t="s">
        <v>1507</v>
      </c>
      <c r="J117" s="26"/>
      <c r="K117" s="26">
        <v>32.43</v>
      </c>
      <c r="L117" s="39">
        <v>32.43</v>
      </c>
      <c r="M117" s="39"/>
      <c r="N117" s="44" t="s">
        <v>1115</v>
      </c>
      <c r="O117" s="40" t="s">
        <v>1115</v>
      </c>
      <c r="P117" s="26" t="s">
        <v>1160</v>
      </c>
      <c r="Q117" s="45">
        <v>6</v>
      </c>
      <c r="R117" s="26" t="s">
        <v>51</v>
      </c>
      <c r="S117" s="26"/>
      <c r="T117">
        <v>45352</v>
      </c>
      <c r="U117" s="46">
        <v>45352</v>
      </c>
      <c r="V117" s="26"/>
      <c r="W117" s="26"/>
      <c r="X117" s="26"/>
      <c r="Y117" s="31"/>
      <c r="Z117" s="26"/>
      <c r="AA117" s="11"/>
      <c r="AB117" s="11"/>
      <c r="AC117" s="11"/>
      <c r="AD117" s="11"/>
      <c r="AE117" s="11"/>
      <c r="AF117" s="26"/>
      <c r="AG117" s="11" t="s">
        <v>53</v>
      </c>
      <c r="AH117" s="11" t="b">
        <v>0</v>
      </c>
      <c r="AI117" s="26"/>
      <c r="AJ117" s="26"/>
      <c r="AK117" t="s">
        <v>54</v>
      </c>
      <c r="AL117" s="44" t="s">
        <v>1346</v>
      </c>
      <c r="AM117" s="26" t="s">
        <v>50</v>
      </c>
      <c r="AN117" s="26"/>
      <c r="AO117" s="31"/>
      <c r="AP117" s="11" t="b">
        <v>0</v>
      </c>
      <c r="AQ117" s="11" t="b">
        <v>0</v>
      </c>
    </row>
    <row r="118" spans="1:43" ht="20.100000000000001" customHeight="1">
      <c r="A118" s="26" t="s">
        <v>270</v>
      </c>
      <c r="B118" t="s">
        <v>596</v>
      </c>
      <c r="C118" t="s">
        <v>485</v>
      </c>
      <c r="D118" s="41">
        <v>45636</v>
      </c>
      <c r="E118" t="s">
        <v>819</v>
      </c>
      <c r="F118" t="s">
        <v>937</v>
      </c>
      <c r="G118" t="s">
        <v>1127</v>
      </c>
      <c r="H118" s="26">
        <v>2300</v>
      </c>
      <c r="I118" s="26" t="s">
        <v>1512</v>
      </c>
      <c r="J118" s="26"/>
      <c r="K118" s="26">
        <v>37</v>
      </c>
      <c r="L118" s="39">
        <v>12.5</v>
      </c>
      <c r="M118" s="39"/>
      <c r="N118" s="44">
        <v>41.4</v>
      </c>
      <c r="O118" s="40">
        <v>46.4</v>
      </c>
      <c r="P118" s="26" t="s">
        <v>1162</v>
      </c>
      <c r="Q118" s="45">
        <v>1</v>
      </c>
      <c r="R118" s="26">
        <v>1</v>
      </c>
      <c r="S118" s="26"/>
      <c r="T118">
        <v>23557</v>
      </c>
      <c r="U118" s="46">
        <f>Table1[[#This Row],[FTE Annual salary rate]]/Table1[[#This Row],[Full time hours for role]]*Table1[[#This Row],[Weekly Hours ]]/52.14285*Table1[[#This Row],[EQWP/ TTO Weeks paid per year]]</f>
        <v>7081.9276639441805</v>
      </c>
      <c r="V118" s="26"/>
      <c r="W118" s="26"/>
      <c r="X118" s="26"/>
      <c r="Y118" s="31"/>
      <c r="Z118" s="26"/>
      <c r="AA118" s="11"/>
      <c r="AB118" s="11"/>
      <c r="AC118" s="11"/>
      <c r="AD118" s="11"/>
      <c r="AE118" s="11"/>
      <c r="AF118" s="26"/>
      <c r="AG118" s="26" t="s">
        <v>48</v>
      </c>
      <c r="AH118" s="11" t="b">
        <v>0</v>
      </c>
      <c r="AI118" s="26"/>
      <c r="AJ118" s="26"/>
      <c r="AK118" t="s">
        <v>54</v>
      </c>
      <c r="AL118" s="44" t="s">
        <v>1347</v>
      </c>
      <c r="AM118" s="26" t="s">
        <v>50</v>
      </c>
      <c r="AN118" s="26"/>
      <c r="AO118" s="31"/>
      <c r="AP118" s="11" t="b">
        <v>0</v>
      </c>
      <c r="AQ118" s="11" t="b">
        <v>0</v>
      </c>
    </row>
    <row r="119" spans="1:43" ht="20.100000000000001" customHeight="1">
      <c r="A119" s="26" t="s">
        <v>271</v>
      </c>
      <c r="B119" t="s">
        <v>597</v>
      </c>
      <c r="C119" t="s">
        <v>598</v>
      </c>
      <c r="D119" s="41">
        <v>44075</v>
      </c>
      <c r="E119" t="s">
        <v>821</v>
      </c>
      <c r="F119" t="s">
        <v>938</v>
      </c>
      <c r="G119" t="s">
        <v>1128</v>
      </c>
      <c r="H119" s="26">
        <v>2200</v>
      </c>
      <c r="I119" s="26" t="s">
        <v>1506</v>
      </c>
      <c r="J119" s="26"/>
      <c r="K119" s="26">
        <v>37</v>
      </c>
      <c r="L119" s="39">
        <v>17.5</v>
      </c>
      <c r="M119" s="39"/>
      <c r="N119" s="44">
        <v>38</v>
      </c>
      <c r="O119" s="40">
        <v>44.2</v>
      </c>
      <c r="P119" s="26" t="s">
        <v>1167</v>
      </c>
      <c r="Q119" s="45">
        <v>6</v>
      </c>
      <c r="R119" s="26">
        <v>6</v>
      </c>
      <c r="S119" s="26"/>
      <c r="T119">
        <v>25989</v>
      </c>
      <c r="U119" s="46">
        <f>Table1[[#This Row],[FTE Annual salary rate]]/Table1[[#This Row],[Full time hours for role]]*Table1[[#This Row],[Weekly Hours ]]/52.14285*Table1[[#This Row],[EQWP/ TTO Weeks paid per year]]</f>
        <v>10419.656406987366</v>
      </c>
      <c r="V119" s="26"/>
      <c r="W119" s="26"/>
      <c r="X119" s="26"/>
      <c r="Y119" s="31"/>
      <c r="Z119" s="26"/>
      <c r="AA119" s="11"/>
      <c r="AB119" s="11"/>
      <c r="AC119" s="11"/>
      <c r="AD119" s="11"/>
      <c r="AE119" s="11"/>
      <c r="AF119" s="26"/>
      <c r="AG119" s="26" t="s">
        <v>48</v>
      </c>
      <c r="AH119" s="11" t="b">
        <v>0</v>
      </c>
      <c r="AI119" s="26"/>
      <c r="AJ119" s="26"/>
      <c r="AK119" t="s">
        <v>54</v>
      </c>
      <c r="AL119" s="44" t="s">
        <v>1348</v>
      </c>
      <c r="AM119" s="26" t="s">
        <v>50</v>
      </c>
      <c r="AN119" s="26"/>
      <c r="AO119" s="31"/>
      <c r="AP119" s="11" t="b">
        <v>0</v>
      </c>
      <c r="AQ119" s="11" t="b">
        <v>0</v>
      </c>
    </row>
    <row r="120" spans="1:43" ht="20.100000000000001" customHeight="1">
      <c r="A120" s="26" t="s">
        <v>271</v>
      </c>
      <c r="B120" t="s">
        <v>597</v>
      </c>
      <c r="C120" t="s">
        <v>598</v>
      </c>
      <c r="D120" s="41">
        <v>44075</v>
      </c>
      <c r="E120" t="s">
        <v>821</v>
      </c>
      <c r="F120" t="s">
        <v>939</v>
      </c>
      <c r="G120" t="s">
        <v>1119</v>
      </c>
      <c r="H120" s="26">
        <v>2820</v>
      </c>
      <c r="I120" s="26" t="s">
        <v>1509</v>
      </c>
      <c r="J120" s="26"/>
      <c r="K120" s="26">
        <v>37</v>
      </c>
      <c r="L120" s="39">
        <v>4.58</v>
      </c>
      <c r="M120" s="39"/>
      <c r="N120" s="44">
        <v>38</v>
      </c>
      <c r="O120" s="40">
        <v>44.2</v>
      </c>
      <c r="P120" s="26" t="s">
        <v>1167</v>
      </c>
      <c r="Q120" s="45">
        <v>4</v>
      </c>
      <c r="R120" s="26">
        <v>4</v>
      </c>
      <c r="S120" s="26"/>
      <c r="T120">
        <v>25185</v>
      </c>
      <c r="U120" s="46">
        <f>Table1[[#This Row],[FTE Annual salary rate]]/Table1[[#This Row],[Full time hours for role]]*Table1[[#This Row],[Weekly Hours ]]/52.14285*Table1[[#This Row],[EQWP/ TTO Weeks paid per year]]</f>
        <v>2642.6108484879724</v>
      </c>
      <c r="V120" s="26"/>
      <c r="W120" s="26"/>
      <c r="X120" s="26"/>
      <c r="Y120" s="31"/>
      <c r="Z120" s="26"/>
      <c r="AA120" s="11"/>
      <c r="AB120" s="11"/>
      <c r="AC120" s="11"/>
      <c r="AD120" s="11"/>
      <c r="AE120" s="11"/>
      <c r="AF120" s="26"/>
      <c r="AG120" s="26" t="s">
        <v>48</v>
      </c>
      <c r="AH120" s="11" t="b">
        <v>0</v>
      </c>
      <c r="AI120" s="26"/>
      <c r="AJ120" s="26"/>
      <c r="AK120" t="s">
        <v>54</v>
      </c>
      <c r="AL120" s="44" t="s">
        <v>1348</v>
      </c>
      <c r="AM120" s="26" t="s">
        <v>50</v>
      </c>
      <c r="AN120" s="26"/>
      <c r="AO120" s="31"/>
      <c r="AP120" s="11" t="b">
        <v>0</v>
      </c>
      <c r="AQ120" s="11" t="b">
        <v>0</v>
      </c>
    </row>
    <row r="121" spans="1:43" ht="20.100000000000001" customHeight="1">
      <c r="A121" s="26" t="s">
        <v>272</v>
      </c>
      <c r="B121" t="s">
        <v>599</v>
      </c>
      <c r="C121" t="s">
        <v>600</v>
      </c>
      <c r="D121" s="41">
        <v>45901</v>
      </c>
      <c r="E121" t="s">
        <v>821</v>
      </c>
      <c r="F121" t="s">
        <v>940</v>
      </c>
      <c r="G121" t="s">
        <v>1125</v>
      </c>
      <c r="H121" s="26">
        <v>2000</v>
      </c>
      <c r="I121" s="26" t="s">
        <v>1507</v>
      </c>
      <c r="J121" s="26"/>
      <c r="K121" s="26">
        <v>32.43</v>
      </c>
      <c r="L121" s="39">
        <v>32.43</v>
      </c>
      <c r="M121" s="39"/>
      <c r="N121" s="44" t="s">
        <v>1115</v>
      </c>
      <c r="O121" s="40" t="s">
        <v>1115</v>
      </c>
      <c r="P121" s="26" t="s">
        <v>1160</v>
      </c>
      <c r="Q121" s="45">
        <v>1</v>
      </c>
      <c r="R121" s="26" t="s">
        <v>51</v>
      </c>
      <c r="S121" s="26"/>
      <c r="T121">
        <v>32916</v>
      </c>
      <c r="U121" s="46">
        <v>32916</v>
      </c>
      <c r="V121" s="26"/>
      <c r="W121" s="26"/>
      <c r="X121" s="26"/>
      <c r="Y121" s="31"/>
      <c r="Z121" s="26"/>
      <c r="AA121" s="11"/>
      <c r="AB121" s="11"/>
      <c r="AC121" s="11"/>
      <c r="AD121" s="11"/>
      <c r="AE121" s="11"/>
      <c r="AF121" s="26"/>
      <c r="AG121" s="11" t="s">
        <v>53</v>
      </c>
      <c r="AH121" s="11" t="b">
        <v>0</v>
      </c>
      <c r="AI121" s="26"/>
      <c r="AJ121" s="26"/>
      <c r="AK121" t="s">
        <v>54</v>
      </c>
      <c r="AL121" s="44" t="s">
        <v>1349</v>
      </c>
      <c r="AM121" s="26" t="s">
        <v>50</v>
      </c>
      <c r="AN121" s="26"/>
      <c r="AO121" s="31"/>
      <c r="AP121" s="11" t="b">
        <v>0</v>
      </c>
      <c r="AQ121" s="11" t="b">
        <v>0</v>
      </c>
    </row>
    <row r="122" spans="1:43" ht="20.100000000000001" customHeight="1">
      <c r="A122" s="26" t="s">
        <v>273</v>
      </c>
      <c r="B122" t="s">
        <v>601</v>
      </c>
      <c r="C122" t="s">
        <v>602</v>
      </c>
      <c r="D122" s="41">
        <v>45901</v>
      </c>
      <c r="E122" t="s">
        <v>822</v>
      </c>
      <c r="F122" t="s">
        <v>941</v>
      </c>
      <c r="G122" t="s">
        <v>1116</v>
      </c>
      <c r="H122" s="26">
        <v>2200</v>
      </c>
      <c r="I122" s="26" t="s">
        <v>1506</v>
      </c>
      <c r="J122" s="26"/>
      <c r="K122" s="26">
        <v>37</v>
      </c>
      <c r="L122" s="39">
        <v>31.75</v>
      </c>
      <c r="M122" s="39"/>
      <c r="N122" s="44">
        <v>38</v>
      </c>
      <c r="O122" s="40">
        <v>43.3</v>
      </c>
      <c r="P122" s="26" t="s">
        <v>1167</v>
      </c>
      <c r="Q122" s="45">
        <v>12</v>
      </c>
      <c r="R122" s="26">
        <v>17</v>
      </c>
      <c r="S122" s="26"/>
      <c r="T122">
        <v>28598</v>
      </c>
      <c r="U122" s="46">
        <f>Table1[[#This Row],[FTE Annual salary rate]]/Table1[[#This Row],[Full time hours for role]]*Table1[[#This Row],[Weekly Hours ]]/52.14285*Table1[[#This Row],[EQWP/ TTO Weeks paid per year]]</f>
        <v>20378.43360607939</v>
      </c>
      <c r="V122" s="26"/>
      <c r="W122" s="26"/>
      <c r="X122" s="26"/>
      <c r="Y122" s="31"/>
      <c r="Z122" s="26"/>
      <c r="AA122" s="11"/>
      <c r="AB122" s="11"/>
      <c r="AC122" s="11"/>
      <c r="AD122" s="11"/>
      <c r="AE122" s="11"/>
      <c r="AF122" s="26"/>
      <c r="AG122" s="26" t="s">
        <v>48</v>
      </c>
      <c r="AH122" s="11" t="b">
        <v>0</v>
      </c>
      <c r="AI122" s="26"/>
      <c r="AJ122" s="26"/>
      <c r="AK122" t="s">
        <v>54</v>
      </c>
      <c r="AL122" s="44" t="s">
        <v>1350</v>
      </c>
      <c r="AM122" s="26" t="s">
        <v>50</v>
      </c>
      <c r="AN122" s="26"/>
      <c r="AO122" s="31"/>
      <c r="AP122" s="11" t="b">
        <v>0</v>
      </c>
      <c r="AQ122" s="11" t="b">
        <v>0</v>
      </c>
    </row>
    <row r="123" spans="1:43" ht="20.100000000000001" customHeight="1">
      <c r="A123" s="26" t="s">
        <v>274</v>
      </c>
      <c r="B123" t="s">
        <v>603</v>
      </c>
      <c r="C123" t="s">
        <v>604</v>
      </c>
      <c r="D123" s="41">
        <v>38261</v>
      </c>
      <c r="E123" t="s">
        <v>822</v>
      </c>
      <c r="F123" t="s">
        <v>942</v>
      </c>
      <c r="G123" t="s">
        <v>1118</v>
      </c>
      <c r="H123" s="26">
        <v>2000</v>
      </c>
      <c r="I123" s="26" t="s">
        <v>1507</v>
      </c>
      <c r="J123" s="26"/>
      <c r="K123" s="26">
        <v>32.43</v>
      </c>
      <c r="L123" s="39">
        <v>32.43</v>
      </c>
      <c r="M123" s="39"/>
      <c r="N123" s="44" t="s">
        <v>1115</v>
      </c>
      <c r="O123" s="40" t="s">
        <v>1115</v>
      </c>
      <c r="P123" s="26" t="s">
        <v>1161</v>
      </c>
      <c r="Q123" s="45">
        <v>3</v>
      </c>
      <c r="R123" s="26" t="s">
        <v>52</v>
      </c>
      <c r="S123" s="26"/>
      <c r="T123">
        <v>51048</v>
      </c>
      <c r="U123" s="46">
        <v>51048</v>
      </c>
      <c r="V123" s="26"/>
      <c r="W123" s="26"/>
      <c r="X123" s="26"/>
      <c r="Y123" s="31"/>
      <c r="Z123" s="26"/>
      <c r="AA123" s="11"/>
      <c r="AB123" s="11"/>
      <c r="AC123" s="11"/>
      <c r="AD123" s="11"/>
      <c r="AE123" s="11"/>
      <c r="AF123" s="26"/>
      <c r="AG123" s="11" t="s">
        <v>53</v>
      </c>
      <c r="AH123" s="11" t="b">
        <v>0</v>
      </c>
      <c r="AI123" s="26"/>
      <c r="AJ123" s="26"/>
      <c r="AK123" t="s">
        <v>54</v>
      </c>
      <c r="AL123" s="44" t="s">
        <v>1351</v>
      </c>
      <c r="AM123" s="26" t="s">
        <v>50</v>
      </c>
      <c r="AN123" s="26"/>
      <c r="AO123" s="31"/>
      <c r="AP123" s="11" t="b">
        <v>0</v>
      </c>
      <c r="AQ123" s="11" t="b">
        <v>0</v>
      </c>
    </row>
    <row r="124" spans="1:43" ht="20.100000000000001" customHeight="1">
      <c r="A124" s="26" t="s">
        <v>275</v>
      </c>
      <c r="B124" t="s">
        <v>605</v>
      </c>
      <c r="C124" t="s">
        <v>606</v>
      </c>
      <c r="D124" s="41">
        <v>43344</v>
      </c>
      <c r="E124" t="s">
        <v>821</v>
      </c>
      <c r="F124" t="s">
        <v>943</v>
      </c>
      <c r="G124" t="s">
        <v>1147</v>
      </c>
      <c r="H124" s="26">
        <v>2630</v>
      </c>
      <c r="I124" s="26" t="s">
        <v>1511</v>
      </c>
      <c r="J124" s="26"/>
      <c r="K124" s="26">
        <v>37</v>
      </c>
      <c r="L124" s="39">
        <v>35</v>
      </c>
      <c r="M124" s="39"/>
      <c r="N124" s="44">
        <v>38.6</v>
      </c>
      <c r="O124" s="40">
        <v>44.9</v>
      </c>
      <c r="P124" s="26" t="s">
        <v>1167</v>
      </c>
      <c r="Q124" s="45">
        <v>11</v>
      </c>
      <c r="R124" s="26">
        <v>11</v>
      </c>
      <c r="S124" s="26"/>
      <c r="T124">
        <v>28142</v>
      </c>
      <c r="U124" s="46">
        <f>Table1[[#This Row],[FTE Annual salary rate]]/Table1[[#This Row],[Full time hours for role]]*Table1[[#This Row],[Weekly Hours ]]/52.14285*Table1[[#This Row],[EQWP/ TTO Weeks paid per year]]</f>
        <v>22923.073928743925</v>
      </c>
      <c r="V124" s="26"/>
      <c r="W124" s="26"/>
      <c r="X124" s="26"/>
      <c r="Y124" s="31"/>
      <c r="Z124" s="26"/>
      <c r="AA124" s="11"/>
      <c r="AB124" s="11"/>
      <c r="AC124" s="11"/>
      <c r="AD124" s="11"/>
      <c r="AE124" s="11"/>
      <c r="AF124" s="26"/>
      <c r="AG124" s="26" t="s">
        <v>48</v>
      </c>
      <c r="AH124" s="11" t="b">
        <v>0</v>
      </c>
      <c r="AI124" s="26"/>
      <c r="AJ124" s="26"/>
      <c r="AK124" t="s">
        <v>54</v>
      </c>
      <c r="AL124" s="44" t="s">
        <v>1352</v>
      </c>
      <c r="AM124" s="26" t="s">
        <v>50</v>
      </c>
      <c r="AN124" s="26"/>
      <c r="AO124" s="31"/>
      <c r="AP124" s="11" t="b">
        <v>0</v>
      </c>
      <c r="AQ124" s="11" t="b">
        <v>0</v>
      </c>
    </row>
    <row r="125" spans="1:43" ht="20.100000000000001" customHeight="1">
      <c r="A125" s="26" t="s">
        <v>249</v>
      </c>
      <c r="B125" t="s">
        <v>561</v>
      </c>
      <c r="C125" t="s">
        <v>562</v>
      </c>
      <c r="D125" s="52">
        <v>45536</v>
      </c>
      <c r="E125" t="s">
        <v>820</v>
      </c>
      <c r="F125" t="s">
        <v>912</v>
      </c>
      <c r="G125" t="s">
        <v>1118</v>
      </c>
      <c r="H125" s="26">
        <v>2000</v>
      </c>
      <c r="I125" s="26" t="s">
        <v>1507</v>
      </c>
      <c r="J125" s="26"/>
      <c r="K125" s="26">
        <v>32.43</v>
      </c>
      <c r="L125" s="39">
        <v>32.43</v>
      </c>
      <c r="M125" s="39"/>
      <c r="N125" s="44" t="s">
        <v>1115</v>
      </c>
      <c r="O125" s="40" t="s">
        <v>1115</v>
      </c>
      <c r="P125" s="26" t="s">
        <v>1161</v>
      </c>
      <c r="Q125" s="45">
        <v>3</v>
      </c>
      <c r="R125" s="26" t="s">
        <v>52</v>
      </c>
      <c r="S125" s="26"/>
      <c r="T125">
        <v>51048</v>
      </c>
      <c r="U125" s="46">
        <v>51048</v>
      </c>
      <c r="V125" s="26" t="s">
        <v>1180</v>
      </c>
      <c r="W125" s="26">
        <v>3527</v>
      </c>
      <c r="X125" s="26">
        <v>3527</v>
      </c>
      <c r="Y125" s="31"/>
      <c r="Z125" s="26"/>
      <c r="AA125" s="11"/>
      <c r="AB125" s="11"/>
      <c r="AC125" s="11"/>
      <c r="AD125" s="11"/>
      <c r="AE125" s="11"/>
      <c r="AF125" s="26"/>
      <c r="AG125" s="11" t="s">
        <v>53</v>
      </c>
      <c r="AH125" s="11" t="b">
        <v>0</v>
      </c>
      <c r="AI125" s="26"/>
      <c r="AJ125" s="26"/>
      <c r="AK125" t="s">
        <v>49</v>
      </c>
      <c r="AL125" s="44" t="s">
        <v>1326</v>
      </c>
      <c r="AM125" s="26" t="s">
        <v>50</v>
      </c>
      <c r="AN125" s="26"/>
      <c r="AO125" s="31"/>
      <c r="AP125" s="11" t="b">
        <v>0</v>
      </c>
      <c r="AQ125" s="11" t="b">
        <v>0</v>
      </c>
    </row>
    <row r="126" spans="1:43" ht="20.100000000000001" customHeight="1">
      <c r="A126" s="26" t="s">
        <v>277</v>
      </c>
      <c r="B126" t="s">
        <v>607</v>
      </c>
      <c r="C126" t="s">
        <v>609</v>
      </c>
      <c r="D126" s="41">
        <v>42979</v>
      </c>
      <c r="E126" t="s">
        <v>821</v>
      </c>
      <c r="F126" t="s">
        <v>945</v>
      </c>
      <c r="G126" t="s">
        <v>1125</v>
      </c>
      <c r="H126" s="26">
        <v>2000</v>
      </c>
      <c r="I126" s="26" t="s">
        <v>1507</v>
      </c>
      <c r="J126" s="26"/>
      <c r="K126" s="26">
        <v>32.43</v>
      </c>
      <c r="L126" s="39">
        <v>32.43</v>
      </c>
      <c r="M126" s="39"/>
      <c r="N126" s="44" t="s">
        <v>1115</v>
      </c>
      <c r="O126" s="40" t="s">
        <v>1115</v>
      </c>
      <c r="P126" s="26" t="s">
        <v>1160</v>
      </c>
      <c r="Q126" s="45">
        <v>6</v>
      </c>
      <c r="R126" s="26" t="s">
        <v>51</v>
      </c>
      <c r="S126" s="26"/>
      <c r="T126">
        <v>45352</v>
      </c>
      <c r="U126" s="46">
        <v>45352</v>
      </c>
      <c r="V126" s="26"/>
      <c r="W126" s="26"/>
      <c r="X126" s="26"/>
      <c r="Y126" s="31"/>
      <c r="Z126" s="26"/>
      <c r="AA126" s="11"/>
      <c r="AB126" s="11"/>
      <c r="AC126" s="11"/>
      <c r="AD126" s="11"/>
      <c r="AE126" s="11"/>
      <c r="AF126" s="26"/>
      <c r="AG126" s="11" t="s">
        <v>53</v>
      </c>
      <c r="AH126" s="11" t="b">
        <v>0</v>
      </c>
      <c r="AI126" s="26"/>
      <c r="AJ126" s="26"/>
      <c r="AK126" t="s">
        <v>54</v>
      </c>
      <c r="AL126" s="44" t="s">
        <v>1354</v>
      </c>
      <c r="AM126" s="26" t="s">
        <v>50</v>
      </c>
      <c r="AN126" s="26"/>
      <c r="AO126" s="31"/>
      <c r="AP126" s="11" t="b">
        <v>0</v>
      </c>
      <c r="AQ126" s="11" t="b">
        <v>0</v>
      </c>
    </row>
    <row r="127" spans="1:43" ht="20.100000000000001" customHeight="1">
      <c r="A127" s="26" t="s">
        <v>278</v>
      </c>
      <c r="B127" t="s">
        <v>610</v>
      </c>
      <c r="C127" t="s">
        <v>491</v>
      </c>
      <c r="D127" s="41">
        <v>45901</v>
      </c>
      <c r="E127" t="s">
        <v>822</v>
      </c>
      <c r="F127" t="s">
        <v>946</v>
      </c>
      <c r="G127" t="s">
        <v>1116</v>
      </c>
      <c r="H127" s="26">
        <v>2200</v>
      </c>
      <c r="I127" s="26" t="s">
        <v>1506</v>
      </c>
      <c r="J127" s="26"/>
      <c r="K127" s="26">
        <v>37</v>
      </c>
      <c r="L127" s="39">
        <v>31.75</v>
      </c>
      <c r="M127" s="39"/>
      <c r="N127" s="44">
        <v>38</v>
      </c>
      <c r="O127" s="40">
        <v>43.3</v>
      </c>
      <c r="P127" s="26" t="s">
        <v>1167</v>
      </c>
      <c r="Q127" s="45">
        <v>12</v>
      </c>
      <c r="R127" s="26">
        <v>17</v>
      </c>
      <c r="S127" s="26"/>
      <c r="T127">
        <v>28598</v>
      </c>
      <c r="U127" s="46">
        <f>Table1[[#This Row],[FTE Annual salary rate]]/Table1[[#This Row],[Full time hours for role]]*Table1[[#This Row],[Weekly Hours ]]/52.14285*Table1[[#This Row],[EQWP/ TTO Weeks paid per year]]</f>
        <v>20378.43360607939</v>
      </c>
      <c r="V127" s="26"/>
      <c r="W127" s="26"/>
      <c r="X127" s="26"/>
      <c r="Y127" s="31"/>
      <c r="Z127" s="26"/>
      <c r="AA127" s="11"/>
      <c r="AB127" s="11"/>
      <c r="AC127" s="11"/>
      <c r="AD127" s="11"/>
      <c r="AE127" s="11"/>
      <c r="AF127" s="26"/>
      <c r="AG127" s="26" t="s">
        <v>48</v>
      </c>
      <c r="AH127" s="11" t="b">
        <v>0</v>
      </c>
      <c r="AI127" s="26"/>
      <c r="AJ127" s="26"/>
      <c r="AK127" t="s">
        <v>54</v>
      </c>
      <c r="AL127" s="44" t="s">
        <v>1355</v>
      </c>
      <c r="AM127" s="26" t="s">
        <v>50</v>
      </c>
      <c r="AN127" s="26"/>
      <c r="AO127" s="31"/>
      <c r="AP127" s="11" t="b">
        <v>0</v>
      </c>
      <c r="AQ127" s="11" t="b">
        <v>0</v>
      </c>
    </row>
    <row r="128" spans="1:43" ht="20.100000000000001" customHeight="1">
      <c r="A128" s="26" t="s">
        <v>279</v>
      </c>
      <c r="B128" t="s">
        <v>610</v>
      </c>
      <c r="C128" t="s">
        <v>611</v>
      </c>
      <c r="D128" s="41">
        <v>44805</v>
      </c>
      <c r="E128" t="s">
        <v>819</v>
      </c>
      <c r="F128" t="s">
        <v>947</v>
      </c>
      <c r="G128" t="s">
        <v>1125</v>
      </c>
      <c r="H128" s="26">
        <v>2000</v>
      </c>
      <c r="I128" s="26" t="s">
        <v>1507</v>
      </c>
      <c r="J128" s="26"/>
      <c r="K128" s="26">
        <v>32.43</v>
      </c>
      <c r="L128" s="39">
        <v>32.43</v>
      </c>
      <c r="M128" s="39"/>
      <c r="N128" s="44" t="s">
        <v>1115</v>
      </c>
      <c r="O128" s="40" t="s">
        <v>1115</v>
      </c>
      <c r="P128" s="26" t="s">
        <v>1160</v>
      </c>
      <c r="Q128" s="45">
        <v>4</v>
      </c>
      <c r="R128" s="26" t="s">
        <v>51</v>
      </c>
      <c r="S128" s="26"/>
      <c r="T128">
        <v>39556</v>
      </c>
      <c r="U128" s="46">
        <v>39556</v>
      </c>
      <c r="V128" s="26"/>
      <c r="W128" s="26"/>
      <c r="X128" s="26"/>
      <c r="Y128" s="31"/>
      <c r="Z128" s="26"/>
      <c r="AA128" s="11"/>
      <c r="AB128" s="11"/>
      <c r="AC128" s="11"/>
      <c r="AD128" s="11"/>
      <c r="AE128" s="11"/>
      <c r="AF128" s="26"/>
      <c r="AG128" s="11" t="s">
        <v>53</v>
      </c>
      <c r="AH128" s="11" t="b">
        <v>0</v>
      </c>
      <c r="AI128" s="26"/>
      <c r="AJ128" s="26"/>
      <c r="AK128" t="s">
        <v>54</v>
      </c>
      <c r="AL128" s="44" t="s">
        <v>1356</v>
      </c>
      <c r="AM128" s="26" t="s">
        <v>50</v>
      </c>
      <c r="AN128" s="26"/>
      <c r="AO128" s="31"/>
      <c r="AP128" s="11" t="b">
        <v>0</v>
      </c>
      <c r="AQ128" s="11" t="b">
        <v>0</v>
      </c>
    </row>
    <row r="129" spans="1:43" ht="20.100000000000001" customHeight="1">
      <c r="A129" s="26" t="s">
        <v>280</v>
      </c>
      <c r="B129" t="s">
        <v>612</v>
      </c>
      <c r="C129" t="s">
        <v>613</v>
      </c>
      <c r="D129" s="41">
        <v>37571</v>
      </c>
      <c r="E129" t="s">
        <v>822</v>
      </c>
      <c r="F129" t="s">
        <v>948</v>
      </c>
      <c r="G129" t="s">
        <v>1116</v>
      </c>
      <c r="H129" s="26">
        <v>2200</v>
      </c>
      <c r="I129" s="26" t="s">
        <v>1506</v>
      </c>
      <c r="J129" s="26"/>
      <c r="K129" s="26">
        <v>37</v>
      </c>
      <c r="L129" s="39">
        <v>31.75</v>
      </c>
      <c r="M129" s="39"/>
      <c r="N129" s="44">
        <v>38</v>
      </c>
      <c r="O129" s="40">
        <v>44.8</v>
      </c>
      <c r="P129" s="26" t="s">
        <v>1167</v>
      </c>
      <c r="Q129" s="45">
        <v>17</v>
      </c>
      <c r="R129" s="26">
        <v>17</v>
      </c>
      <c r="S129" s="26"/>
      <c r="T129">
        <v>31022</v>
      </c>
      <c r="U129" s="46">
        <f>Table1[[#This Row],[FTE Annual salary rate]]/Table1[[#This Row],[Full time hours for role]]*Table1[[#This Row],[Weekly Hours ]]/52.14285*Table1[[#This Row],[EQWP/ TTO Weeks paid per year]]</f>
        <v>22871.52105977889</v>
      </c>
      <c r="V129" s="26"/>
      <c r="W129" s="26"/>
      <c r="X129" s="26"/>
      <c r="Y129" s="31"/>
      <c r="Z129" s="26"/>
      <c r="AA129" s="11"/>
      <c r="AB129" s="11"/>
      <c r="AC129" s="11"/>
      <c r="AD129" s="11"/>
      <c r="AE129" s="11"/>
      <c r="AF129" s="26"/>
      <c r="AG129" s="26" t="s">
        <v>48</v>
      </c>
      <c r="AH129" s="26" t="b">
        <v>1</v>
      </c>
      <c r="AI129" s="26"/>
      <c r="AJ129" s="26"/>
      <c r="AK129" t="s">
        <v>54</v>
      </c>
      <c r="AL129" s="44" t="s">
        <v>1357</v>
      </c>
      <c r="AM129" s="26" t="s">
        <v>50</v>
      </c>
      <c r="AN129" s="26"/>
      <c r="AO129" s="31"/>
      <c r="AP129" s="11" t="b">
        <v>0</v>
      </c>
      <c r="AQ129" s="11" t="b">
        <v>0</v>
      </c>
    </row>
    <row r="130" spans="1:43" ht="20.100000000000001" customHeight="1">
      <c r="A130" s="26" t="s">
        <v>281</v>
      </c>
      <c r="B130" t="s">
        <v>614</v>
      </c>
      <c r="C130" t="s">
        <v>615</v>
      </c>
      <c r="D130" s="41">
        <v>45538</v>
      </c>
      <c r="E130" t="s">
        <v>819</v>
      </c>
      <c r="F130" t="s">
        <v>949</v>
      </c>
      <c r="G130" t="s">
        <v>1131</v>
      </c>
      <c r="H130" s="26">
        <v>2300</v>
      </c>
      <c r="I130" s="26" t="s">
        <v>1512</v>
      </c>
      <c r="J130" s="26"/>
      <c r="K130" s="26">
        <v>37</v>
      </c>
      <c r="L130" s="39">
        <v>12.5</v>
      </c>
      <c r="M130" s="39"/>
      <c r="N130" s="44">
        <v>41.4</v>
      </c>
      <c r="O130" s="40">
        <v>46.4</v>
      </c>
      <c r="P130" s="26" t="s">
        <v>1162</v>
      </c>
      <c r="Q130" s="45">
        <v>2</v>
      </c>
      <c r="R130" s="26">
        <v>2</v>
      </c>
      <c r="S130" s="26"/>
      <c r="T130">
        <v>24404</v>
      </c>
      <c r="U130" s="46">
        <f>Table1[[#This Row],[FTE Annual salary rate]]/Table1[[#This Row],[Full time hours for role]]*Table1[[#This Row],[Weekly Hours ]]/52.14285*Table1[[#This Row],[EQWP/ TTO Weeks paid per year]]</f>
        <v>7336.5607976777101</v>
      </c>
      <c r="V130" s="26"/>
      <c r="W130" s="26"/>
      <c r="X130" s="26"/>
      <c r="Y130" s="31"/>
      <c r="Z130" s="26"/>
      <c r="AA130" s="11"/>
      <c r="AB130" s="11"/>
      <c r="AC130" s="11"/>
      <c r="AD130" s="11"/>
      <c r="AE130" s="11"/>
      <c r="AF130" s="26"/>
      <c r="AG130" s="26" t="s">
        <v>48</v>
      </c>
      <c r="AH130" s="11" t="b">
        <v>0</v>
      </c>
      <c r="AI130" s="26"/>
      <c r="AJ130" s="26"/>
      <c r="AK130" t="s">
        <v>54</v>
      </c>
      <c r="AL130" s="44" t="s">
        <v>1358</v>
      </c>
      <c r="AM130" s="26" t="s">
        <v>50</v>
      </c>
      <c r="AN130" s="26"/>
      <c r="AO130" s="31"/>
      <c r="AP130" s="11" t="b">
        <v>0</v>
      </c>
      <c r="AQ130" s="11" t="b">
        <v>0</v>
      </c>
    </row>
    <row r="131" spans="1:43" ht="20.100000000000001" customHeight="1">
      <c r="A131" s="26" t="s">
        <v>264</v>
      </c>
      <c r="B131" t="s">
        <v>587</v>
      </c>
      <c r="C131" t="s">
        <v>550</v>
      </c>
      <c r="D131" s="41">
        <v>42248</v>
      </c>
      <c r="E131" t="s">
        <v>821</v>
      </c>
      <c r="F131" t="s">
        <v>930</v>
      </c>
      <c r="G131" t="s">
        <v>1118</v>
      </c>
      <c r="H131" s="26">
        <v>2000</v>
      </c>
      <c r="I131" s="26" t="s">
        <v>1507</v>
      </c>
      <c r="J131" s="26"/>
      <c r="K131" s="26">
        <v>32.43</v>
      </c>
      <c r="L131" s="39">
        <v>32.43</v>
      </c>
      <c r="M131" s="39"/>
      <c r="N131" s="44" t="s">
        <v>1115</v>
      </c>
      <c r="O131" s="40" t="s">
        <v>1115</v>
      </c>
      <c r="P131" s="26" t="s">
        <v>1161</v>
      </c>
      <c r="Q131" s="45">
        <v>2</v>
      </c>
      <c r="R131" s="26" t="s">
        <v>52</v>
      </c>
      <c r="S131" s="26"/>
      <c r="T131">
        <v>49232</v>
      </c>
      <c r="U131" s="46">
        <v>49232</v>
      </c>
      <c r="V131" s="26" t="s">
        <v>1180</v>
      </c>
      <c r="W131" s="26">
        <v>4675</v>
      </c>
      <c r="X131" s="26">
        <v>4675</v>
      </c>
      <c r="Y131" s="31"/>
      <c r="Z131" s="26"/>
      <c r="AA131" s="11"/>
      <c r="AB131" s="11"/>
      <c r="AC131" s="11"/>
      <c r="AD131" s="11"/>
      <c r="AE131" s="11"/>
      <c r="AF131" s="26"/>
      <c r="AG131" s="26" t="s">
        <v>53</v>
      </c>
      <c r="AH131" s="11" t="b">
        <v>0</v>
      </c>
      <c r="AI131" s="26"/>
      <c r="AJ131" s="26"/>
      <c r="AK131" t="s">
        <v>54</v>
      </c>
      <c r="AL131" s="44" t="s">
        <v>1341</v>
      </c>
      <c r="AM131" s="26" t="s">
        <v>50</v>
      </c>
      <c r="AN131" s="26"/>
      <c r="AO131" s="31"/>
      <c r="AP131" s="11" t="b">
        <v>0</v>
      </c>
      <c r="AQ131" s="11" t="b">
        <v>0</v>
      </c>
    </row>
    <row r="132" spans="1:43" ht="20.100000000000001" customHeight="1">
      <c r="A132" s="26" t="s">
        <v>282</v>
      </c>
      <c r="B132" t="s">
        <v>616</v>
      </c>
      <c r="C132" t="s">
        <v>617</v>
      </c>
      <c r="D132" s="41">
        <v>38961</v>
      </c>
      <c r="E132" t="s">
        <v>823</v>
      </c>
      <c r="F132" t="s">
        <v>951</v>
      </c>
      <c r="G132" t="s">
        <v>1148</v>
      </c>
      <c r="H132" s="26">
        <v>2630</v>
      </c>
      <c r="I132" s="26" t="s">
        <v>1511</v>
      </c>
      <c r="J132" s="26"/>
      <c r="K132" s="26">
        <v>37</v>
      </c>
      <c r="L132" s="39">
        <v>20</v>
      </c>
      <c r="M132" s="39"/>
      <c r="N132" s="44">
        <v>38</v>
      </c>
      <c r="O132" s="40">
        <v>46.2</v>
      </c>
      <c r="P132" s="26" t="s">
        <v>1167</v>
      </c>
      <c r="Q132" s="45">
        <v>31</v>
      </c>
      <c r="R132" s="26">
        <v>31</v>
      </c>
      <c r="S132" s="26"/>
      <c r="T132">
        <v>41772</v>
      </c>
      <c r="U132" s="46">
        <f>Table1[[#This Row],[FTE Annual salary rate]]/Table1[[#This Row],[Full time hours for role]]*Table1[[#This Row],[Weekly Hours ]]/52.14285*Table1[[#This Row],[EQWP/ TTO Weeks paid per year]]</f>
        <v>20006.022436959756</v>
      </c>
      <c r="V132" s="26"/>
      <c r="W132" s="26"/>
      <c r="X132" s="26"/>
      <c r="Y132" s="31"/>
      <c r="Z132" s="26"/>
      <c r="AA132" s="11"/>
      <c r="AB132" s="11"/>
      <c r="AC132" s="11"/>
      <c r="AD132" s="11"/>
      <c r="AE132" s="11"/>
      <c r="AF132" s="26"/>
      <c r="AG132" s="26" t="s">
        <v>48</v>
      </c>
      <c r="AH132" s="11" t="b">
        <v>0</v>
      </c>
      <c r="AI132" s="26"/>
      <c r="AJ132" s="26"/>
      <c r="AK132" t="s">
        <v>54</v>
      </c>
      <c r="AL132" s="44" t="s">
        <v>1359</v>
      </c>
      <c r="AM132" s="26" t="s">
        <v>50</v>
      </c>
      <c r="AN132" s="26"/>
      <c r="AO132" s="31"/>
      <c r="AP132" s="11" t="b">
        <v>0</v>
      </c>
      <c r="AQ132" s="11" t="b">
        <v>0</v>
      </c>
    </row>
    <row r="133" spans="1:43" ht="20.100000000000001" customHeight="1">
      <c r="A133" s="26" t="s">
        <v>283</v>
      </c>
      <c r="B133" t="s">
        <v>618</v>
      </c>
      <c r="C133" t="s">
        <v>619</v>
      </c>
      <c r="D133" s="41">
        <v>44585</v>
      </c>
      <c r="E133" t="s">
        <v>821</v>
      </c>
      <c r="F133" t="s">
        <v>952</v>
      </c>
      <c r="G133" t="s">
        <v>1120</v>
      </c>
      <c r="H133" s="26">
        <v>2200</v>
      </c>
      <c r="I133" s="26" t="s">
        <v>1506</v>
      </c>
      <c r="J133" s="26"/>
      <c r="K133" s="26">
        <v>37</v>
      </c>
      <c r="L133" s="39">
        <v>28.75</v>
      </c>
      <c r="M133" s="39"/>
      <c r="N133" s="44">
        <v>38</v>
      </c>
      <c r="O133" s="40">
        <v>43.3</v>
      </c>
      <c r="P133" s="26" t="s">
        <v>1167</v>
      </c>
      <c r="Q133" s="45">
        <v>6</v>
      </c>
      <c r="R133" s="26">
        <v>6</v>
      </c>
      <c r="S133" s="26"/>
      <c r="T133">
        <v>25989</v>
      </c>
      <c r="U133" s="46">
        <f>Table1[[#This Row],[FTE Annual salary rate]]/Table1[[#This Row],[Full time hours for role]]*Table1[[#This Row],[Weekly Hours ]]/52.14285*Table1[[#This Row],[EQWP/ TTO Weeks paid per year]]</f>
        <v>16769.450251646274</v>
      </c>
      <c r="V133" s="26"/>
      <c r="W133" s="26"/>
      <c r="X133" s="26"/>
      <c r="Y133" s="31"/>
      <c r="Z133" s="26"/>
      <c r="AA133" s="11"/>
      <c r="AB133" s="11"/>
      <c r="AC133" s="11"/>
      <c r="AD133" s="11"/>
      <c r="AE133" s="11"/>
      <c r="AF133" s="26"/>
      <c r="AG133" s="26" t="s">
        <v>48</v>
      </c>
      <c r="AH133" s="11" t="b">
        <v>0</v>
      </c>
      <c r="AI133" s="26"/>
      <c r="AJ133" s="26"/>
      <c r="AK133" t="s">
        <v>54</v>
      </c>
      <c r="AL133" s="44" t="s">
        <v>1360</v>
      </c>
      <c r="AM133" s="26" t="s">
        <v>50</v>
      </c>
      <c r="AN133" s="26"/>
      <c r="AO133" s="31"/>
      <c r="AP133" s="11" t="b">
        <v>0</v>
      </c>
      <c r="AQ133" s="11" t="b">
        <v>0</v>
      </c>
    </row>
    <row r="134" spans="1:43" ht="20.100000000000001" customHeight="1">
      <c r="A134" s="26" t="s">
        <v>283</v>
      </c>
      <c r="B134" t="s">
        <v>618</v>
      </c>
      <c r="C134" t="s">
        <v>619</v>
      </c>
      <c r="D134" s="41">
        <v>44585</v>
      </c>
      <c r="E134" t="s">
        <v>821</v>
      </c>
      <c r="F134" t="s">
        <v>953</v>
      </c>
      <c r="G134" t="s">
        <v>1117</v>
      </c>
      <c r="H134" s="26">
        <v>2700</v>
      </c>
      <c r="I134" s="26" t="s">
        <v>1508</v>
      </c>
      <c r="J134" s="26"/>
      <c r="K134" s="26">
        <v>37</v>
      </c>
      <c r="L134" s="39">
        <v>3.75</v>
      </c>
      <c r="M134" s="39"/>
      <c r="N134" s="44">
        <v>38</v>
      </c>
      <c r="O134" s="40">
        <v>43.3</v>
      </c>
      <c r="P134" s="26" t="s">
        <v>1167</v>
      </c>
      <c r="Q134" s="45">
        <v>4</v>
      </c>
      <c r="R134" s="26">
        <v>4</v>
      </c>
      <c r="S134" s="26"/>
      <c r="T134">
        <v>25185</v>
      </c>
      <c r="U134" s="46">
        <f>Table1[[#This Row],[FTE Annual salary rate]]/Table1[[#This Row],[Full time hours for role]]*Table1[[#This Row],[Weekly Hours ]]/52.14285*Table1[[#This Row],[EQWP/ TTO Weeks paid per year]]</f>
        <v>2119.6523173903579</v>
      </c>
      <c r="V134" s="26"/>
      <c r="W134" s="26"/>
      <c r="X134" s="26"/>
      <c r="Y134" s="31"/>
      <c r="Z134" s="26"/>
      <c r="AA134" s="11"/>
      <c r="AB134" s="11"/>
      <c r="AC134" s="11"/>
      <c r="AD134" s="11"/>
      <c r="AE134" s="11"/>
      <c r="AF134" s="26"/>
      <c r="AG134" s="26" t="s">
        <v>48</v>
      </c>
      <c r="AH134" s="11" t="b">
        <v>0</v>
      </c>
      <c r="AI134" s="26"/>
      <c r="AJ134" s="26"/>
      <c r="AK134" t="s">
        <v>54</v>
      </c>
      <c r="AL134" s="44" t="s">
        <v>1360</v>
      </c>
      <c r="AM134" s="26" t="s">
        <v>50</v>
      </c>
      <c r="AN134" s="26"/>
      <c r="AO134" s="31"/>
      <c r="AP134" s="11" t="b">
        <v>0</v>
      </c>
      <c r="AQ134" s="11" t="b">
        <v>0</v>
      </c>
    </row>
    <row r="135" spans="1:43" ht="20.100000000000001" customHeight="1">
      <c r="A135" s="26" t="s">
        <v>284</v>
      </c>
      <c r="B135" t="s">
        <v>620</v>
      </c>
      <c r="C135" t="s">
        <v>621</v>
      </c>
      <c r="D135" s="41">
        <v>38320</v>
      </c>
      <c r="E135" t="s">
        <v>821</v>
      </c>
      <c r="F135" t="s">
        <v>954</v>
      </c>
      <c r="G135" t="s">
        <v>1117</v>
      </c>
      <c r="H135" s="26">
        <v>2700</v>
      </c>
      <c r="I135" s="26" t="s">
        <v>1508</v>
      </c>
      <c r="J135" s="26"/>
      <c r="K135" s="26">
        <v>37</v>
      </c>
      <c r="L135" s="39">
        <v>5.41</v>
      </c>
      <c r="M135" s="39"/>
      <c r="N135" s="44">
        <v>38</v>
      </c>
      <c r="O135" s="40">
        <v>44.8</v>
      </c>
      <c r="P135" s="26" t="s">
        <v>1167</v>
      </c>
      <c r="Q135" s="45">
        <v>4</v>
      </c>
      <c r="R135" s="26">
        <v>4</v>
      </c>
      <c r="S135" s="26"/>
      <c r="T135">
        <v>25185</v>
      </c>
      <c r="U135" s="46">
        <f>Table1[[#This Row],[FTE Annual salary rate]]/Table1[[#This Row],[Full time hours for role]]*Table1[[#This Row],[Weekly Hours ]]/52.14285*Table1[[#This Row],[EQWP/ TTO Weeks paid per year]]</f>
        <v>3163.8854063819317</v>
      </c>
      <c r="V135" s="26"/>
      <c r="W135" s="26"/>
      <c r="X135" s="26"/>
      <c r="Y135" s="31"/>
      <c r="Z135" s="26"/>
      <c r="AA135" s="11"/>
      <c r="AB135" s="11"/>
      <c r="AC135" s="11"/>
      <c r="AD135" s="11"/>
      <c r="AE135" s="11"/>
      <c r="AF135" s="26"/>
      <c r="AG135" s="26" t="s">
        <v>48</v>
      </c>
      <c r="AH135" s="11" t="b">
        <v>0</v>
      </c>
      <c r="AI135" s="26"/>
      <c r="AJ135" s="26"/>
      <c r="AK135" t="s">
        <v>54</v>
      </c>
      <c r="AL135" s="44" t="s">
        <v>1361</v>
      </c>
      <c r="AM135" s="26" t="s">
        <v>50</v>
      </c>
      <c r="AN135" s="26"/>
      <c r="AO135" s="31"/>
      <c r="AP135" s="11" t="b">
        <v>0</v>
      </c>
      <c r="AQ135" s="11" t="b">
        <v>0</v>
      </c>
    </row>
    <row r="136" spans="1:43" ht="20.100000000000001" customHeight="1">
      <c r="A136" s="26" t="s">
        <v>284</v>
      </c>
      <c r="B136" t="s">
        <v>620</v>
      </c>
      <c r="C136" t="s">
        <v>621</v>
      </c>
      <c r="D136" s="41">
        <v>38320</v>
      </c>
      <c r="E136" t="s">
        <v>821</v>
      </c>
      <c r="F136" t="s">
        <v>955</v>
      </c>
      <c r="G136" t="s">
        <v>1120</v>
      </c>
      <c r="H136" s="26">
        <v>2200</v>
      </c>
      <c r="I136" s="26" t="s">
        <v>1506</v>
      </c>
      <c r="J136" s="26"/>
      <c r="K136" s="26">
        <v>37</v>
      </c>
      <c r="L136" s="39">
        <v>30</v>
      </c>
      <c r="M136" s="39"/>
      <c r="N136" s="44">
        <v>38</v>
      </c>
      <c r="O136" s="40">
        <v>44.8</v>
      </c>
      <c r="P136" s="26" t="s">
        <v>1167</v>
      </c>
      <c r="Q136" s="45">
        <v>6</v>
      </c>
      <c r="R136" s="26">
        <v>6</v>
      </c>
      <c r="S136" s="26"/>
      <c r="T136">
        <v>25989</v>
      </c>
      <c r="U136" s="46">
        <f>Table1[[#This Row],[FTE Annual salary rate]]/Table1[[#This Row],[Full time hours for role]]*Table1[[#This Row],[Weekly Hours ]]/52.14285*Table1[[#This Row],[EQWP/ TTO Weeks paid per year]]</f>
        <v>18104.742354222388</v>
      </c>
      <c r="V136" s="26"/>
      <c r="W136" s="26"/>
      <c r="X136" s="26"/>
      <c r="Y136" s="31"/>
      <c r="Z136" s="26"/>
      <c r="AA136" s="11"/>
      <c r="AB136" s="11"/>
      <c r="AC136" s="11"/>
      <c r="AD136" s="11"/>
      <c r="AE136" s="11"/>
      <c r="AF136" s="26"/>
      <c r="AG136" s="26" t="s">
        <v>48</v>
      </c>
      <c r="AH136" s="11" t="b">
        <v>0</v>
      </c>
      <c r="AI136" s="26"/>
      <c r="AJ136" s="26"/>
      <c r="AK136" t="s">
        <v>54</v>
      </c>
      <c r="AL136" s="44" t="s">
        <v>1361</v>
      </c>
      <c r="AM136" s="26" t="s">
        <v>50</v>
      </c>
      <c r="AN136" s="26"/>
      <c r="AO136" s="31"/>
      <c r="AP136" s="11" t="b">
        <v>0</v>
      </c>
      <c r="AQ136" s="11" t="b">
        <v>0</v>
      </c>
    </row>
    <row r="137" spans="1:43" ht="20.100000000000001" customHeight="1">
      <c r="A137" s="26" t="s">
        <v>285</v>
      </c>
      <c r="B137" t="s">
        <v>622</v>
      </c>
      <c r="C137" t="s">
        <v>544</v>
      </c>
      <c r="D137" s="41">
        <v>44678</v>
      </c>
      <c r="E137" t="s">
        <v>820</v>
      </c>
      <c r="F137" t="s">
        <v>956</v>
      </c>
      <c r="G137" t="s">
        <v>1120</v>
      </c>
      <c r="H137" s="26">
        <v>2200</v>
      </c>
      <c r="I137" s="26" t="s">
        <v>1506</v>
      </c>
      <c r="J137" s="26"/>
      <c r="K137" s="26">
        <v>37</v>
      </c>
      <c r="L137" s="39">
        <v>27.5</v>
      </c>
      <c r="M137" s="39"/>
      <c r="N137" s="44">
        <v>38</v>
      </c>
      <c r="O137" s="40">
        <v>43.3</v>
      </c>
      <c r="P137" s="26" t="s">
        <v>1167</v>
      </c>
      <c r="Q137" s="45">
        <v>6</v>
      </c>
      <c r="R137" s="26">
        <v>6</v>
      </c>
      <c r="S137" s="26"/>
      <c r="T137">
        <v>25989</v>
      </c>
      <c r="U137" s="46">
        <f>Table1[[#This Row],[FTE Annual salary rate]]/Table1[[#This Row],[Full time hours for role]]*Table1[[#This Row],[Weekly Hours ]]/52.14285*Table1[[#This Row],[EQWP/ TTO Weeks paid per year]]</f>
        <v>16040.343718966004</v>
      </c>
      <c r="V137" s="26"/>
      <c r="W137" s="26"/>
      <c r="X137" s="26"/>
      <c r="Y137" s="31"/>
      <c r="Z137" s="26"/>
      <c r="AA137" s="11"/>
      <c r="AB137" s="11"/>
      <c r="AC137" s="11"/>
      <c r="AD137" s="11"/>
      <c r="AE137" s="11"/>
      <c r="AF137" s="26"/>
      <c r="AG137" s="26" t="s">
        <v>48</v>
      </c>
      <c r="AH137" s="11" t="b">
        <v>0</v>
      </c>
      <c r="AI137" s="26"/>
      <c r="AJ137" s="26"/>
      <c r="AK137" t="s">
        <v>54</v>
      </c>
      <c r="AL137" s="44" t="s">
        <v>1362</v>
      </c>
      <c r="AM137" s="26" t="s">
        <v>50</v>
      </c>
      <c r="AN137" s="26"/>
      <c r="AO137" s="31"/>
      <c r="AP137" s="11" t="b">
        <v>0</v>
      </c>
      <c r="AQ137" s="11" t="b">
        <v>0</v>
      </c>
    </row>
    <row r="138" spans="1:43" ht="20.100000000000001" customHeight="1">
      <c r="A138" s="26" t="s">
        <v>286</v>
      </c>
      <c r="B138" t="s">
        <v>623</v>
      </c>
      <c r="C138" t="s">
        <v>624</v>
      </c>
      <c r="D138" s="41">
        <v>45964</v>
      </c>
      <c r="E138" t="s">
        <v>822</v>
      </c>
      <c r="F138" t="s">
        <v>957</v>
      </c>
      <c r="G138" t="s">
        <v>1125</v>
      </c>
      <c r="H138" s="26">
        <v>2000</v>
      </c>
      <c r="I138" s="26" t="s">
        <v>1507</v>
      </c>
      <c r="J138" s="26"/>
      <c r="K138" s="26">
        <v>32.43</v>
      </c>
      <c r="L138" s="39">
        <v>32.43</v>
      </c>
      <c r="M138" s="39"/>
      <c r="N138" s="44" t="s">
        <v>1115</v>
      </c>
      <c r="O138" s="40" t="s">
        <v>1115</v>
      </c>
      <c r="P138" s="26" t="s">
        <v>1160</v>
      </c>
      <c r="Q138" s="45">
        <v>6</v>
      </c>
      <c r="R138" s="26" t="s">
        <v>51</v>
      </c>
      <c r="S138" s="26"/>
      <c r="T138">
        <v>45352</v>
      </c>
      <c r="U138" s="46">
        <v>45352</v>
      </c>
      <c r="V138" s="26"/>
      <c r="W138" s="26"/>
      <c r="X138" s="26"/>
      <c r="Y138" s="31"/>
      <c r="Z138" s="26"/>
      <c r="AA138" s="11"/>
      <c r="AB138" s="11"/>
      <c r="AC138" s="11"/>
      <c r="AD138" s="11"/>
      <c r="AE138" s="11"/>
      <c r="AF138" s="26"/>
      <c r="AG138" s="11" t="s">
        <v>53</v>
      </c>
      <c r="AH138" s="11" t="b">
        <v>0</v>
      </c>
      <c r="AI138" s="26"/>
      <c r="AJ138" s="26"/>
      <c r="AK138" t="s">
        <v>54</v>
      </c>
      <c r="AL138" s="44" t="s">
        <v>1363</v>
      </c>
      <c r="AM138" s="26" t="s">
        <v>50</v>
      </c>
      <c r="AN138" s="26"/>
      <c r="AO138" s="31"/>
      <c r="AP138" s="11" t="b">
        <v>0</v>
      </c>
      <c r="AQ138" s="11" t="b">
        <v>0</v>
      </c>
    </row>
    <row r="139" spans="1:43" ht="20.100000000000001" customHeight="1">
      <c r="A139" s="26" t="s">
        <v>287</v>
      </c>
      <c r="B139" t="s">
        <v>625</v>
      </c>
      <c r="C139" t="s">
        <v>626</v>
      </c>
      <c r="D139" s="41">
        <v>45170</v>
      </c>
      <c r="E139" t="s">
        <v>821</v>
      </c>
      <c r="F139" t="s">
        <v>958</v>
      </c>
      <c r="G139" t="s">
        <v>1120</v>
      </c>
      <c r="H139" s="26">
        <v>2200</v>
      </c>
      <c r="I139" s="26" t="s">
        <v>1506</v>
      </c>
      <c r="J139" s="26"/>
      <c r="K139" s="26">
        <v>37</v>
      </c>
      <c r="L139" s="39">
        <v>28.75</v>
      </c>
      <c r="M139" s="39"/>
      <c r="N139" s="44">
        <v>38</v>
      </c>
      <c r="O139" s="40">
        <v>43.3</v>
      </c>
      <c r="P139" s="26" t="s">
        <v>1167</v>
      </c>
      <c r="Q139" s="45">
        <v>6</v>
      </c>
      <c r="R139" s="26">
        <v>6</v>
      </c>
      <c r="S139" s="26"/>
      <c r="T139">
        <v>25989</v>
      </c>
      <c r="U139" s="46">
        <f>Table1[[#This Row],[FTE Annual salary rate]]/Table1[[#This Row],[Full time hours for role]]*Table1[[#This Row],[Weekly Hours ]]/52.14285*Table1[[#This Row],[EQWP/ TTO Weeks paid per year]]</f>
        <v>16769.450251646274</v>
      </c>
      <c r="V139" s="26"/>
      <c r="W139" s="26"/>
      <c r="X139" s="26"/>
      <c r="Y139" s="31"/>
      <c r="Z139" s="26"/>
      <c r="AA139" s="11"/>
      <c r="AB139" s="11"/>
      <c r="AC139" s="11"/>
      <c r="AD139" s="11"/>
      <c r="AE139" s="11"/>
      <c r="AF139" s="26"/>
      <c r="AG139" s="26" t="s">
        <v>48</v>
      </c>
      <c r="AH139" s="11" t="b">
        <v>0</v>
      </c>
      <c r="AI139" s="26"/>
      <c r="AJ139" s="26"/>
      <c r="AK139" t="s">
        <v>54</v>
      </c>
      <c r="AL139" s="44" t="s">
        <v>1364</v>
      </c>
      <c r="AM139" s="26" t="s">
        <v>50</v>
      </c>
      <c r="AN139" s="26"/>
      <c r="AO139" s="31"/>
      <c r="AP139" s="11" t="b">
        <v>0</v>
      </c>
      <c r="AQ139" s="11" t="b">
        <v>0</v>
      </c>
    </row>
    <row r="140" spans="1:43" ht="20.100000000000001" customHeight="1">
      <c r="A140" s="26" t="s">
        <v>276</v>
      </c>
      <c r="B140" t="s">
        <v>607</v>
      </c>
      <c r="C140" t="s">
        <v>608</v>
      </c>
      <c r="D140" s="41">
        <v>42979</v>
      </c>
      <c r="E140" t="s">
        <v>822</v>
      </c>
      <c r="F140" t="s">
        <v>944</v>
      </c>
      <c r="G140" t="s">
        <v>1125</v>
      </c>
      <c r="H140" s="26">
        <v>2000</v>
      </c>
      <c r="I140" s="26" t="s">
        <v>1507</v>
      </c>
      <c r="J140" s="26"/>
      <c r="K140" s="26">
        <v>32.43</v>
      </c>
      <c r="L140" s="39">
        <v>32.43</v>
      </c>
      <c r="M140" s="39"/>
      <c r="N140" s="44" t="s">
        <v>1115</v>
      </c>
      <c r="O140" s="40" t="s">
        <v>1115</v>
      </c>
      <c r="P140" s="26" t="s">
        <v>1160</v>
      </c>
      <c r="Q140" s="45">
        <v>6</v>
      </c>
      <c r="R140" s="26" t="s">
        <v>51</v>
      </c>
      <c r="S140" s="26"/>
      <c r="T140">
        <v>45352</v>
      </c>
      <c r="U140" s="46">
        <v>45352</v>
      </c>
      <c r="V140" s="26" t="s">
        <v>1180</v>
      </c>
      <c r="W140" s="26">
        <v>4675</v>
      </c>
      <c r="X140" s="26">
        <v>4675</v>
      </c>
      <c r="Y140" s="31"/>
      <c r="Z140" s="26"/>
      <c r="AA140" s="11"/>
      <c r="AB140" s="11"/>
      <c r="AC140" s="11"/>
      <c r="AD140" s="11"/>
      <c r="AE140" s="11"/>
      <c r="AF140" s="26"/>
      <c r="AG140" s="11" t="s">
        <v>53</v>
      </c>
      <c r="AH140" s="11" t="b">
        <v>0</v>
      </c>
      <c r="AI140" s="26"/>
      <c r="AJ140" s="26"/>
      <c r="AK140" t="s">
        <v>49</v>
      </c>
      <c r="AL140" s="44" t="s">
        <v>1353</v>
      </c>
      <c r="AM140" s="26" t="s">
        <v>50</v>
      </c>
      <c r="AN140" s="26"/>
      <c r="AO140" s="31"/>
      <c r="AP140" s="11" t="b">
        <v>0</v>
      </c>
      <c r="AQ140" s="11" t="b">
        <v>0</v>
      </c>
    </row>
    <row r="141" spans="1:43" ht="20.100000000000001" customHeight="1">
      <c r="A141" s="26" t="s">
        <v>289</v>
      </c>
      <c r="B141" t="s">
        <v>629</v>
      </c>
      <c r="C141" t="s">
        <v>630</v>
      </c>
      <c r="D141" s="41">
        <v>35527</v>
      </c>
      <c r="E141" t="s">
        <v>819</v>
      </c>
      <c r="F141" t="s">
        <v>960</v>
      </c>
      <c r="G141" t="s">
        <v>1128</v>
      </c>
      <c r="H141" s="26">
        <v>2200</v>
      </c>
      <c r="I141" s="26" t="s">
        <v>1506</v>
      </c>
      <c r="J141" s="26"/>
      <c r="K141" s="26">
        <v>37</v>
      </c>
      <c r="L141" s="39">
        <v>12.08</v>
      </c>
      <c r="M141" s="39"/>
      <c r="N141" s="44">
        <v>38</v>
      </c>
      <c r="O141" s="40">
        <v>44.8</v>
      </c>
      <c r="P141" s="26" t="s">
        <v>1167</v>
      </c>
      <c r="Q141" s="45">
        <v>6</v>
      </c>
      <c r="R141" s="26">
        <v>6</v>
      </c>
      <c r="S141" s="26"/>
      <c r="T141">
        <v>25989</v>
      </c>
      <c r="U141" s="46">
        <f>Table1[[#This Row],[FTE Annual salary rate]]/Table1[[#This Row],[Full time hours for role]]*Table1[[#This Row],[Weekly Hours ]]/52.14285*Table1[[#This Row],[EQWP/ TTO Weeks paid per year]]</f>
        <v>7290.1762546335467</v>
      </c>
      <c r="V141" s="26"/>
      <c r="W141" s="26"/>
      <c r="X141" s="26"/>
      <c r="Y141" s="31"/>
      <c r="Z141" s="26"/>
      <c r="AA141" s="11"/>
      <c r="AB141" s="11"/>
      <c r="AC141" s="11"/>
      <c r="AD141" s="11"/>
      <c r="AE141" s="11"/>
      <c r="AF141" s="26"/>
      <c r="AG141" s="26" t="s">
        <v>48</v>
      </c>
      <c r="AH141" s="11" t="b">
        <v>0</v>
      </c>
      <c r="AI141" s="26"/>
      <c r="AJ141" s="26"/>
      <c r="AK141" t="s">
        <v>54</v>
      </c>
      <c r="AL141" s="44" t="s">
        <v>1366</v>
      </c>
      <c r="AM141" s="26" t="s">
        <v>50</v>
      </c>
      <c r="AN141" s="26"/>
      <c r="AO141" s="31"/>
      <c r="AP141" s="11" t="b">
        <v>0</v>
      </c>
      <c r="AQ141" s="11" t="b">
        <v>0</v>
      </c>
    </row>
    <row r="142" spans="1:43" ht="20.100000000000001" customHeight="1">
      <c r="A142" s="26" t="s">
        <v>290</v>
      </c>
      <c r="B142" t="s">
        <v>631</v>
      </c>
      <c r="C142" t="s">
        <v>632</v>
      </c>
      <c r="D142" s="41">
        <v>35527</v>
      </c>
      <c r="E142" t="s">
        <v>821</v>
      </c>
      <c r="F142" t="s">
        <v>961</v>
      </c>
      <c r="G142" t="s">
        <v>1128</v>
      </c>
      <c r="H142" s="26">
        <v>2200</v>
      </c>
      <c r="I142" s="26" t="s">
        <v>1506</v>
      </c>
      <c r="J142" s="26"/>
      <c r="K142" s="26">
        <v>37</v>
      </c>
      <c r="L142" s="39">
        <v>27.5</v>
      </c>
      <c r="M142" s="39"/>
      <c r="N142" s="44">
        <v>38</v>
      </c>
      <c r="O142" s="40">
        <v>44.8</v>
      </c>
      <c r="P142" s="26" t="s">
        <v>1167</v>
      </c>
      <c r="Q142" s="45">
        <v>6</v>
      </c>
      <c r="R142" s="26">
        <v>6</v>
      </c>
      <c r="S142" s="26"/>
      <c r="T142">
        <v>25989</v>
      </c>
      <c r="U142" s="46">
        <f>Table1[[#This Row],[FTE Annual salary rate]]/Table1[[#This Row],[Full time hours for role]]*Table1[[#This Row],[Weekly Hours ]]/52.14285*Table1[[#This Row],[EQWP/ TTO Weeks paid per year]]</f>
        <v>16596.013824703856</v>
      </c>
      <c r="V142" s="26"/>
      <c r="W142" s="26"/>
      <c r="X142" s="26"/>
      <c r="Y142" s="31"/>
      <c r="Z142" s="26"/>
      <c r="AA142" s="11"/>
      <c r="AB142" s="11"/>
      <c r="AC142" s="11"/>
      <c r="AD142" s="11"/>
      <c r="AE142" s="11"/>
      <c r="AF142" s="26"/>
      <c r="AG142" s="26" t="s">
        <v>48</v>
      </c>
      <c r="AH142" s="11" t="b">
        <v>0</v>
      </c>
      <c r="AI142" s="26"/>
      <c r="AJ142" s="26"/>
      <c r="AK142" t="s">
        <v>54</v>
      </c>
      <c r="AL142" s="44" t="s">
        <v>1367</v>
      </c>
      <c r="AM142" s="26" t="s">
        <v>50</v>
      </c>
      <c r="AN142" s="26"/>
      <c r="AO142" s="31"/>
      <c r="AP142" s="11" t="b">
        <v>0</v>
      </c>
      <c r="AQ142" s="11" t="b">
        <v>0</v>
      </c>
    </row>
    <row r="143" spans="1:43" ht="20.100000000000001" customHeight="1">
      <c r="A143" s="26" t="s">
        <v>291</v>
      </c>
      <c r="B143" t="s">
        <v>633</v>
      </c>
      <c r="C143" t="s">
        <v>634</v>
      </c>
      <c r="D143" s="41">
        <v>45663</v>
      </c>
      <c r="E143" t="s">
        <v>819</v>
      </c>
      <c r="F143" t="s">
        <v>962</v>
      </c>
      <c r="G143" t="s">
        <v>1120</v>
      </c>
      <c r="H143" s="26">
        <v>2200</v>
      </c>
      <c r="I143" s="26" t="s">
        <v>1506</v>
      </c>
      <c r="J143" s="26"/>
      <c r="K143" s="26">
        <v>37</v>
      </c>
      <c r="L143" s="39">
        <v>30</v>
      </c>
      <c r="M143" s="39"/>
      <c r="N143" s="44">
        <v>38</v>
      </c>
      <c r="O143" s="40">
        <v>43.3</v>
      </c>
      <c r="P143" s="26" t="s">
        <v>1167</v>
      </c>
      <c r="Q143" s="45">
        <v>6</v>
      </c>
      <c r="R143" s="26">
        <v>6</v>
      </c>
      <c r="S143" s="26"/>
      <c r="T143">
        <v>25989</v>
      </c>
      <c r="U143" s="46">
        <f>Table1[[#This Row],[FTE Annual salary rate]]/Table1[[#This Row],[Full time hours for role]]*Table1[[#This Row],[Weekly Hours ]]/52.14285*Table1[[#This Row],[EQWP/ TTO Weeks paid per year]]</f>
        <v>17498.556784326549</v>
      </c>
      <c r="V143" s="26"/>
      <c r="W143" s="26"/>
      <c r="X143" s="26"/>
      <c r="Y143" s="31"/>
      <c r="Z143" s="26"/>
      <c r="AA143" s="11"/>
      <c r="AB143" s="11"/>
      <c r="AC143" s="11"/>
      <c r="AD143" s="11"/>
      <c r="AE143" s="11"/>
      <c r="AF143" s="26"/>
      <c r="AG143" s="26" t="s">
        <v>48</v>
      </c>
      <c r="AH143" s="11" t="b">
        <v>0</v>
      </c>
      <c r="AI143" s="26"/>
      <c r="AJ143" s="26"/>
      <c r="AK143" t="s">
        <v>54</v>
      </c>
      <c r="AL143" s="44" t="s">
        <v>1368</v>
      </c>
      <c r="AM143" s="26" t="s">
        <v>50</v>
      </c>
      <c r="AN143" s="26"/>
      <c r="AO143" s="31"/>
      <c r="AP143" s="11" t="b">
        <v>0</v>
      </c>
      <c r="AQ143" s="11" t="b">
        <v>0</v>
      </c>
    </row>
    <row r="144" spans="1:43" ht="20.100000000000001" customHeight="1">
      <c r="A144" s="26" t="s">
        <v>292</v>
      </c>
      <c r="B144" t="s">
        <v>635</v>
      </c>
      <c r="C144" t="s">
        <v>636</v>
      </c>
      <c r="D144" s="41">
        <v>44440</v>
      </c>
      <c r="E144" t="s">
        <v>822</v>
      </c>
      <c r="F144" t="s">
        <v>963</v>
      </c>
      <c r="G144" t="s">
        <v>1118</v>
      </c>
      <c r="H144" s="26">
        <v>2000</v>
      </c>
      <c r="I144" s="26" t="s">
        <v>1507</v>
      </c>
      <c r="J144" s="26"/>
      <c r="K144" s="26">
        <v>32.43</v>
      </c>
      <c r="L144" s="49">
        <v>16.215</v>
      </c>
      <c r="M144" s="39"/>
      <c r="N144" s="44" t="s">
        <v>1115</v>
      </c>
      <c r="O144" s="40" t="s">
        <v>1115</v>
      </c>
      <c r="P144" s="26" t="s">
        <v>1161</v>
      </c>
      <c r="Q144" s="45">
        <v>3</v>
      </c>
      <c r="R144" s="26" t="s">
        <v>52</v>
      </c>
      <c r="S144" s="26"/>
      <c r="T144">
        <v>51048</v>
      </c>
      <c r="U144" s="46">
        <f>Table1[[#This Row],[FTE Annual salary rate]]*16.215/32.43</f>
        <v>25524</v>
      </c>
      <c r="V144" s="26"/>
      <c r="W144" s="26"/>
      <c r="X144" s="26"/>
      <c r="Y144" s="31"/>
      <c r="Z144" s="26"/>
      <c r="AA144" s="11"/>
      <c r="AB144" s="11"/>
      <c r="AC144" s="11"/>
      <c r="AD144" s="11"/>
      <c r="AE144" s="11"/>
      <c r="AF144" s="26"/>
      <c r="AG144" s="11" t="s">
        <v>53</v>
      </c>
      <c r="AH144" s="11" t="b">
        <v>0</v>
      </c>
      <c r="AI144" s="26"/>
      <c r="AJ144" s="26"/>
      <c r="AK144" t="s">
        <v>54</v>
      </c>
      <c r="AL144" s="44" t="s">
        <v>1369</v>
      </c>
      <c r="AM144" s="26" t="s">
        <v>50</v>
      </c>
      <c r="AN144" s="26"/>
      <c r="AO144" s="31"/>
      <c r="AP144" s="11" t="b">
        <v>0</v>
      </c>
      <c r="AQ144" s="11" t="b">
        <v>0</v>
      </c>
    </row>
    <row r="145" spans="1:43" ht="20.100000000000001" customHeight="1">
      <c r="A145" s="26" t="s">
        <v>293</v>
      </c>
      <c r="B145" t="s">
        <v>637</v>
      </c>
      <c r="C145" t="s">
        <v>574</v>
      </c>
      <c r="D145" s="41">
        <v>38384</v>
      </c>
      <c r="E145" t="s">
        <v>822</v>
      </c>
      <c r="F145" t="s">
        <v>964</v>
      </c>
      <c r="G145" t="s">
        <v>1120</v>
      </c>
      <c r="H145" s="26">
        <v>2200</v>
      </c>
      <c r="I145" s="26" t="s">
        <v>1506</v>
      </c>
      <c r="J145" s="26"/>
      <c r="K145" s="26">
        <v>37</v>
      </c>
      <c r="L145" s="39">
        <v>30</v>
      </c>
      <c r="M145" s="39"/>
      <c r="N145" s="44">
        <v>38</v>
      </c>
      <c r="O145" s="40">
        <v>44.8</v>
      </c>
      <c r="P145" s="26" t="s">
        <v>1167</v>
      </c>
      <c r="Q145" s="45">
        <v>6</v>
      </c>
      <c r="R145" s="26">
        <v>6</v>
      </c>
      <c r="S145" s="26"/>
      <c r="T145">
        <v>25989</v>
      </c>
      <c r="U145" s="46">
        <f>Table1[[#This Row],[FTE Annual salary rate]]/Table1[[#This Row],[Full time hours for role]]*Table1[[#This Row],[Weekly Hours ]]/52.14285*Table1[[#This Row],[EQWP/ TTO Weeks paid per year]]</f>
        <v>18104.742354222388</v>
      </c>
      <c r="V145" s="26"/>
      <c r="W145" s="26"/>
      <c r="X145" s="26"/>
      <c r="Y145" s="31"/>
      <c r="Z145" s="26"/>
      <c r="AA145" s="11"/>
      <c r="AB145" s="11"/>
      <c r="AC145" s="11"/>
      <c r="AD145" s="11"/>
      <c r="AE145" s="11"/>
      <c r="AF145" s="26"/>
      <c r="AG145" s="26" t="s">
        <v>48</v>
      </c>
      <c r="AH145" s="11" t="b">
        <v>0</v>
      </c>
      <c r="AI145" s="26"/>
      <c r="AJ145" s="26"/>
      <c r="AK145" t="s">
        <v>54</v>
      </c>
      <c r="AL145" s="44" t="s">
        <v>1370</v>
      </c>
      <c r="AM145" s="26" t="s">
        <v>50</v>
      </c>
      <c r="AN145" s="26"/>
      <c r="AO145" s="31"/>
      <c r="AP145" s="11" t="b">
        <v>0</v>
      </c>
      <c r="AQ145" s="11" t="b">
        <v>0</v>
      </c>
    </row>
    <row r="146" spans="1:43" ht="20.100000000000001" customHeight="1">
      <c r="A146" s="26" t="s">
        <v>294</v>
      </c>
      <c r="B146" t="s">
        <v>638</v>
      </c>
      <c r="C146" t="s">
        <v>526</v>
      </c>
      <c r="D146" s="41">
        <v>44929</v>
      </c>
      <c r="E146" t="s">
        <v>821</v>
      </c>
      <c r="F146" t="s">
        <v>965</v>
      </c>
      <c r="G146" t="s">
        <v>1119</v>
      </c>
      <c r="H146" s="26">
        <v>2820</v>
      </c>
      <c r="I146" s="26" t="s">
        <v>1509</v>
      </c>
      <c r="J146" s="26"/>
      <c r="K146" s="26">
        <v>37</v>
      </c>
      <c r="L146" s="39">
        <v>6.25</v>
      </c>
      <c r="M146" s="39"/>
      <c r="N146" s="44">
        <v>38</v>
      </c>
      <c r="O146" s="40">
        <v>43.3</v>
      </c>
      <c r="P146" s="26" t="s">
        <v>1167</v>
      </c>
      <c r="Q146" s="45">
        <v>4</v>
      </c>
      <c r="R146" s="26">
        <v>4</v>
      </c>
      <c r="S146" s="26"/>
      <c r="T146">
        <v>25185</v>
      </c>
      <c r="U146" s="46">
        <f>Table1[[#This Row],[FTE Annual salary rate]]/Table1[[#This Row],[Full time hours for role]]*Table1[[#This Row],[Weekly Hours ]]/52.14285*Table1[[#This Row],[EQWP/ TTO Weeks paid per year]]</f>
        <v>3532.7538623172627</v>
      </c>
      <c r="V146" s="26"/>
      <c r="W146" s="26"/>
      <c r="X146" s="26"/>
      <c r="Y146" s="31"/>
      <c r="Z146" s="26"/>
      <c r="AA146" s="11"/>
      <c r="AB146" s="11"/>
      <c r="AC146" s="11"/>
      <c r="AD146" s="11"/>
      <c r="AE146" s="11"/>
      <c r="AF146" s="26"/>
      <c r="AG146" s="26" t="s">
        <v>48</v>
      </c>
      <c r="AH146" s="11" t="b">
        <v>0</v>
      </c>
      <c r="AI146" s="26"/>
      <c r="AJ146" s="26"/>
      <c r="AK146" t="s">
        <v>54</v>
      </c>
      <c r="AL146" s="44" t="s">
        <v>1371</v>
      </c>
      <c r="AM146" s="26" t="s">
        <v>50</v>
      </c>
      <c r="AN146" s="26"/>
      <c r="AO146" s="31"/>
      <c r="AP146" s="11" t="b">
        <v>0</v>
      </c>
      <c r="AQ146" s="11" t="b">
        <v>0</v>
      </c>
    </row>
    <row r="147" spans="1:43" ht="20.100000000000001" customHeight="1">
      <c r="A147" s="26" t="s">
        <v>295</v>
      </c>
      <c r="B147" t="s">
        <v>639</v>
      </c>
      <c r="C147" t="s">
        <v>640</v>
      </c>
      <c r="D147" s="41">
        <v>43836</v>
      </c>
      <c r="E147" t="s">
        <v>819</v>
      </c>
      <c r="F147" t="s">
        <v>966</v>
      </c>
      <c r="G147" t="s">
        <v>1118</v>
      </c>
      <c r="H147" s="26">
        <v>2000</v>
      </c>
      <c r="I147" s="26" t="s">
        <v>1507</v>
      </c>
      <c r="J147" s="26"/>
      <c r="K147" s="26">
        <v>32.43</v>
      </c>
      <c r="L147" s="39">
        <v>32.43</v>
      </c>
      <c r="M147" s="39"/>
      <c r="N147" s="44" t="s">
        <v>1115</v>
      </c>
      <c r="O147" s="40" t="s">
        <v>1115</v>
      </c>
      <c r="P147" s="26" t="s">
        <v>1161</v>
      </c>
      <c r="Q147" s="45">
        <v>2</v>
      </c>
      <c r="R147" s="26" t="s">
        <v>52</v>
      </c>
      <c r="S147" s="26"/>
      <c r="T147">
        <v>49232</v>
      </c>
      <c r="U147" s="46">
        <v>49232</v>
      </c>
      <c r="V147" s="26"/>
      <c r="W147" s="26"/>
      <c r="X147" s="26"/>
      <c r="Y147" s="31"/>
      <c r="Z147" s="26"/>
      <c r="AA147" s="11"/>
      <c r="AB147" s="11"/>
      <c r="AC147" s="11"/>
      <c r="AD147" s="11"/>
      <c r="AE147" s="11"/>
      <c r="AF147" s="26"/>
      <c r="AG147" s="11" t="s">
        <v>53</v>
      </c>
      <c r="AH147" s="11" t="b">
        <v>0</v>
      </c>
      <c r="AI147" s="26"/>
      <c r="AJ147" s="26"/>
      <c r="AK147" t="s">
        <v>54</v>
      </c>
      <c r="AL147" s="44" t="s">
        <v>1372</v>
      </c>
      <c r="AM147" s="26" t="s">
        <v>50</v>
      </c>
      <c r="AN147" s="26"/>
      <c r="AO147" s="31"/>
      <c r="AP147" s="11" t="b">
        <v>0</v>
      </c>
      <c r="AQ147" s="11" t="b">
        <v>0</v>
      </c>
    </row>
    <row r="148" spans="1:43" ht="20.100000000000001" customHeight="1">
      <c r="A148" s="26" t="s">
        <v>296</v>
      </c>
      <c r="B148" t="s">
        <v>641</v>
      </c>
      <c r="C148" t="s">
        <v>632</v>
      </c>
      <c r="D148" s="41">
        <v>45684</v>
      </c>
      <c r="E148" t="s">
        <v>820</v>
      </c>
      <c r="F148" t="s">
        <v>967</v>
      </c>
      <c r="G148" t="s">
        <v>1131</v>
      </c>
      <c r="H148" s="26">
        <v>2300</v>
      </c>
      <c r="I148" s="26" t="s">
        <v>1512</v>
      </c>
      <c r="J148" s="26"/>
      <c r="K148" s="26">
        <v>37</v>
      </c>
      <c r="L148" s="39">
        <v>12.5</v>
      </c>
      <c r="M148" s="39"/>
      <c r="N148" s="44">
        <v>41.4</v>
      </c>
      <c r="O148" s="40">
        <v>46.4</v>
      </c>
      <c r="P148" s="26" t="s">
        <v>1162</v>
      </c>
      <c r="Q148" s="45">
        <v>2</v>
      </c>
      <c r="R148" s="26">
        <v>2</v>
      </c>
      <c r="S148" s="26"/>
      <c r="T148">
        <v>24404</v>
      </c>
      <c r="U148" s="46">
        <f>Table1[[#This Row],[FTE Annual salary rate]]/Table1[[#This Row],[Full time hours for role]]*Table1[[#This Row],[Weekly Hours ]]/52.14285*Table1[[#This Row],[EQWP/ TTO Weeks paid per year]]</f>
        <v>7336.5607976777101</v>
      </c>
      <c r="V148" s="26"/>
      <c r="W148" s="26"/>
      <c r="X148" s="26"/>
      <c r="Y148" s="31"/>
      <c r="Z148" s="26"/>
      <c r="AA148" s="11"/>
      <c r="AB148" s="11"/>
      <c r="AC148" s="11"/>
      <c r="AD148" s="11"/>
      <c r="AE148" s="11"/>
      <c r="AF148" s="26"/>
      <c r="AG148" s="26" t="s">
        <v>48</v>
      </c>
      <c r="AH148" s="11" t="b">
        <v>0</v>
      </c>
      <c r="AI148" s="26"/>
      <c r="AJ148" s="26"/>
      <c r="AK148" t="s">
        <v>54</v>
      </c>
      <c r="AL148" s="44" t="s">
        <v>1373</v>
      </c>
      <c r="AM148" s="26" t="s">
        <v>50</v>
      </c>
      <c r="AN148" s="26"/>
      <c r="AO148" s="31"/>
      <c r="AP148" s="11" t="b">
        <v>0</v>
      </c>
      <c r="AQ148" s="11" t="b">
        <v>0</v>
      </c>
    </row>
    <row r="149" spans="1:43" ht="20.100000000000001" customHeight="1">
      <c r="A149" s="26" t="s">
        <v>297</v>
      </c>
      <c r="B149" t="s">
        <v>642</v>
      </c>
      <c r="C149" t="s">
        <v>643</v>
      </c>
      <c r="D149" s="41">
        <v>43344</v>
      </c>
      <c r="E149" t="s">
        <v>822</v>
      </c>
      <c r="F149" t="s">
        <v>968</v>
      </c>
      <c r="G149" t="s">
        <v>1125</v>
      </c>
      <c r="H149" s="26">
        <v>2000</v>
      </c>
      <c r="I149" s="26" t="s">
        <v>1507</v>
      </c>
      <c r="J149" s="26"/>
      <c r="K149" s="26">
        <v>32.43</v>
      </c>
      <c r="L149" s="39">
        <v>32.43</v>
      </c>
      <c r="M149" s="39"/>
      <c r="N149" s="44" t="s">
        <v>1115</v>
      </c>
      <c r="O149" s="40" t="s">
        <v>1115</v>
      </c>
      <c r="P149" s="26" t="s">
        <v>1160</v>
      </c>
      <c r="Q149" s="45">
        <v>6</v>
      </c>
      <c r="R149" s="26" t="s">
        <v>51</v>
      </c>
      <c r="S149" s="26"/>
      <c r="T149">
        <v>45352</v>
      </c>
      <c r="U149" s="46">
        <v>45352</v>
      </c>
      <c r="V149" s="26" t="s">
        <v>1180</v>
      </c>
      <c r="W149" s="26">
        <v>4675</v>
      </c>
      <c r="X149" s="26">
        <v>4675</v>
      </c>
      <c r="Y149" s="31"/>
      <c r="Z149" s="26"/>
      <c r="AA149" s="11"/>
      <c r="AB149" s="11"/>
      <c r="AC149" s="11"/>
      <c r="AD149" s="11"/>
      <c r="AE149" s="11"/>
      <c r="AF149" s="26"/>
      <c r="AG149" s="11" t="s">
        <v>53</v>
      </c>
      <c r="AH149" s="11" t="b">
        <v>0</v>
      </c>
      <c r="AI149" s="26"/>
      <c r="AJ149" s="26"/>
      <c r="AK149" t="s">
        <v>54</v>
      </c>
      <c r="AL149" s="44" t="s">
        <v>1374</v>
      </c>
      <c r="AM149" s="26" t="s">
        <v>50</v>
      </c>
      <c r="AN149" s="26"/>
      <c r="AO149" s="31"/>
      <c r="AP149" s="11" t="b">
        <v>0</v>
      </c>
      <c r="AQ149" s="11" t="b">
        <v>0</v>
      </c>
    </row>
    <row r="150" spans="1:43" ht="20.100000000000001" customHeight="1">
      <c r="A150" s="26" t="s">
        <v>298</v>
      </c>
      <c r="B150" t="s">
        <v>644</v>
      </c>
      <c r="C150" t="s">
        <v>645</v>
      </c>
      <c r="D150" s="41">
        <v>45449</v>
      </c>
      <c r="E150" t="s">
        <v>820</v>
      </c>
      <c r="F150" t="s">
        <v>969</v>
      </c>
      <c r="G150" t="s">
        <v>1146</v>
      </c>
      <c r="H150" s="26">
        <v>2200</v>
      </c>
      <c r="I150" s="26" t="s">
        <v>1506</v>
      </c>
      <c r="J150" s="26"/>
      <c r="K150" s="26">
        <v>37</v>
      </c>
      <c r="L150" s="39">
        <v>10</v>
      </c>
      <c r="M150" s="39"/>
      <c r="N150" s="44">
        <v>38</v>
      </c>
      <c r="O150" s="40">
        <v>43.3</v>
      </c>
      <c r="P150" s="26" t="s">
        <v>1167</v>
      </c>
      <c r="Q150" s="45">
        <v>6</v>
      </c>
      <c r="R150" s="26">
        <v>6</v>
      </c>
      <c r="S150" s="26"/>
      <c r="T150">
        <v>25989</v>
      </c>
      <c r="U150" s="46">
        <f>Table1[[#This Row],[FTE Annual salary rate]]/Table1[[#This Row],[Full time hours for role]]*Table1[[#This Row],[Weekly Hours ]]/52.14285*Table1[[#This Row],[EQWP/ TTO Weeks paid per year]]</f>
        <v>5832.8522614421836</v>
      </c>
      <c r="V150" s="26"/>
      <c r="W150" s="26"/>
      <c r="X150" s="26"/>
      <c r="Y150" s="31"/>
      <c r="Z150" s="26"/>
      <c r="AA150" s="11"/>
      <c r="AB150" s="11"/>
      <c r="AC150" s="11"/>
      <c r="AD150" s="11"/>
      <c r="AE150" s="11"/>
      <c r="AF150" s="26"/>
      <c r="AG150" s="26" t="s">
        <v>48</v>
      </c>
      <c r="AH150" s="26" t="b">
        <v>1</v>
      </c>
      <c r="AI150" s="26"/>
      <c r="AJ150" s="26"/>
      <c r="AK150" t="s">
        <v>54</v>
      </c>
      <c r="AL150" s="44" t="s">
        <v>1375</v>
      </c>
      <c r="AM150" s="26" t="s">
        <v>50</v>
      </c>
      <c r="AN150" s="26"/>
      <c r="AO150" s="31"/>
      <c r="AP150" s="11" t="b">
        <v>0</v>
      </c>
      <c r="AQ150" s="11" t="b">
        <v>0</v>
      </c>
    </row>
    <row r="151" spans="1:43" ht="20.100000000000001" customHeight="1">
      <c r="A151" s="26" t="s">
        <v>299</v>
      </c>
      <c r="B151" t="s">
        <v>646</v>
      </c>
      <c r="C151" t="s">
        <v>647</v>
      </c>
      <c r="D151" s="41">
        <v>45229</v>
      </c>
      <c r="E151" t="s">
        <v>820</v>
      </c>
      <c r="F151" t="s">
        <v>970</v>
      </c>
      <c r="G151" t="s">
        <v>1119</v>
      </c>
      <c r="H151" s="26">
        <v>2820</v>
      </c>
      <c r="I151" s="26" t="s">
        <v>1509</v>
      </c>
      <c r="J151" s="26"/>
      <c r="K151" s="26">
        <v>37</v>
      </c>
      <c r="L151" s="39">
        <v>6.25</v>
      </c>
      <c r="M151" s="39"/>
      <c r="N151" s="44">
        <v>38</v>
      </c>
      <c r="O151" s="40">
        <v>43.3</v>
      </c>
      <c r="P151" s="26" t="s">
        <v>1167</v>
      </c>
      <c r="Q151" s="45">
        <v>4</v>
      </c>
      <c r="R151" s="26">
        <v>4</v>
      </c>
      <c r="S151" s="26"/>
      <c r="T151">
        <v>25185</v>
      </c>
      <c r="U151" s="46">
        <f>Table1[[#This Row],[FTE Annual salary rate]]/Table1[[#This Row],[Full time hours for role]]*Table1[[#This Row],[Weekly Hours ]]/52.14285*Table1[[#This Row],[EQWP/ TTO Weeks paid per year]]</f>
        <v>3532.7538623172627</v>
      </c>
      <c r="V151" s="26"/>
      <c r="W151" s="26"/>
      <c r="X151" s="26"/>
      <c r="Y151" s="31"/>
      <c r="Z151" s="26"/>
      <c r="AA151" s="11"/>
      <c r="AB151" s="11"/>
      <c r="AC151" s="11"/>
      <c r="AD151" s="11"/>
      <c r="AE151" s="11"/>
      <c r="AF151" s="26"/>
      <c r="AG151" s="26" t="s">
        <v>48</v>
      </c>
      <c r="AH151" s="11" t="b">
        <v>0</v>
      </c>
      <c r="AI151" s="26"/>
      <c r="AJ151" s="26"/>
      <c r="AK151" t="s">
        <v>54</v>
      </c>
      <c r="AL151" s="44" t="s">
        <v>1376</v>
      </c>
      <c r="AM151" s="26" t="s">
        <v>50</v>
      </c>
      <c r="AN151" s="26"/>
      <c r="AO151" s="31"/>
      <c r="AP151" s="11" t="b">
        <v>0</v>
      </c>
      <c r="AQ151" s="11" t="b">
        <v>0</v>
      </c>
    </row>
    <row r="152" spans="1:43" ht="20.100000000000001" customHeight="1">
      <c r="A152" s="26" t="s">
        <v>300</v>
      </c>
      <c r="B152" t="s">
        <v>648</v>
      </c>
      <c r="C152" t="s">
        <v>649</v>
      </c>
      <c r="D152" s="41">
        <v>45313</v>
      </c>
      <c r="E152" t="s">
        <v>821</v>
      </c>
      <c r="F152" t="s">
        <v>971</v>
      </c>
      <c r="G152" t="s">
        <v>1119</v>
      </c>
      <c r="H152" s="26">
        <v>2820</v>
      </c>
      <c r="I152" s="26" t="s">
        <v>1509</v>
      </c>
      <c r="J152" s="26"/>
      <c r="K152" s="26">
        <v>37</v>
      </c>
      <c r="L152" s="39">
        <v>6.25</v>
      </c>
      <c r="M152" s="39"/>
      <c r="N152" s="44">
        <v>38</v>
      </c>
      <c r="O152" s="40">
        <v>43.3</v>
      </c>
      <c r="P152" s="26" t="s">
        <v>1167</v>
      </c>
      <c r="Q152" s="45">
        <v>4</v>
      </c>
      <c r="R152" s="26">
        <v>4</v>
      </c>
      <c r="S152" s="26"/>
      <c r="T152">
        <v>25185</v>
      </c>
      <c r="U152" s="46">
        <f>Table1[[#This Row],[FTE Annual salary rate]]/Table1[[#This Row],[Full time hours for role]]*Table1[[#This Row],[Weekly Hours ]]/52.14285*Table1[[#This Row],[EQWP/ TTO Weeks paid per year]]</f>
        <v>3532.7538623172627</v>
      </c>
      <c r="V152" s="26"/>
      <c r="W152" s="26"/>
      <c r="X152" s="26"/>
      <c r="Y152" s="31"/>
      <c r="Z152" s="26"/>
      <c r="AA152" s="11"/>
      <c r="AB152" s="11"/>
      <c r="AC152" s="11"/>
      <c r="AD152" s="11"/>
      <c r="AE152" s="11"/>
      <c r="AF152" s="26"/>
      <c r="AG152" s="26" t="s">
        <v>48</v>
      </c>
      <c r="AH152" s="11" t="b">
        <v>0</v>
      </c>
      <c r="AI152" s="26"/>
      <c r="AJ152" s="26"/>
      <c r="AK152" t="s">
        <v>54</v>
      </c>
      <c r="AL152" s="44" t="s">
        <v>1377</v>
      </c>
      <c r="AM152" s="26" t="s">
        <v>50</v>
      </c>
      <c r="AN152" s="26"/>
      <c r="AO152" s="31"/>
      <c r="AP152" s="11" t="b">
        <v>0</v>
      </c>
      <c r="AQ152" s="11" t="b">
        <v>0</v>
      </c>
    </row>
    <row r="153" spans="1:43" ht="20.100000000000001" customHeight="1">
      <c r="A153" s="26" t="s">
        <v>301</v>
      </c>
      <c r="B153" t="s">
        <v>648</v>
      </c>
      <c r="C153" t="s">
        <v>650</v>
      </c>
      <c r="D153" s="41">
        <v>45536</v>
      </c>
      <c r="E153" t="s">
        <v>819</v>
      </c>
      <c r="F153" t="s">
        <v>972</v>
      </c>
      <c r="G153" t="s">
        <v>1125</v>
      </c>
      <c r="H153" s="26">
        <v>2000</v>
      </c>
      <c r="I153" s="26" t="s">
        <v>1507</v>
      </c>
      <c r="J153" s="26"/>
      <c r="K153" s="26">
        <v>32.43</v>
      </c>
      <c r="L153" s="39">
        <v>32.43</v>
      </c>
      <c r="M153" s="39"/>
      <c r="N153" s="44" t="s">
        <v>1115</v>
      </c>
      <c r="O153" s="40" t="s">
        <v>1115</v>
      </c>
      <c r="P153" s="26" t="s">
        <v>1160</v>
      </c>
      <c r="Q153" s="45">
        <v>2</v>
      </c>
      <c r="R153" s="26" t="s">
        <v>51</v>
      </c>
      <c r="S153" s="26"/>
      <c r="T153">
        <v>34823</v>
      </c>
      <c r="U153" s="46">
        <v>34823</v>
      </c>
      <c r="V153" s="26"/>
      <c r="W153" s="26"/>
      <c r="X153" s="26"/>
      <c r="Y153" s="31"/>
      <c r="Z153" s="26"/>
      <c r="AA153" s="11"/>
      <c r="AB153" s="11"/>
      <c r="AC153" s="11"/>
      <c r="AD153" s="11"/>
      <c r="AE153" s="11"/>
      <c r="AF153" s="26"/>
      <c r="AG153" s="11" t="s">
        <v>53</v>
      </c>
      <c r="AH153" s="11" t="b">
        <v>0</v>
      </c>
      <c r="AI153" s="26"/>
      <c r="AJ153" s="26"/>
      <c r="AK153" t="s">
        <v>54</v>
      </c>
      <c r="AL153" s="44" t="s">
        <v>1378</v>
      </c>
      <c r="AM153" s="26" t="s">
        <v>50</v>
      </c>
      <c r="AN153" s="26"/>
      <c r="AO153" s="31"/>
      <c r="AP153" s="11" t="b">
        <v>0</v>
      </c>
      <c r="AQ153" s="11" t="b">
        <v>0</v>
      </c>
    </row>
    <row r="154" spans="1:43" ht="20.100000000000001" customHeight="1">
      <c r="A154" s="26" t="s">
        <v>302</v>
      </c>
      <c r="B154" t="s">
        <v>651</v>
      </c>
      <c r="C154" t="s">
        <v>611</v>
      </c>
      <c r="D154" s="41">
        <v>42375</v>
      </c>
      <c r="E154" t="s">
        <v>821</v>
      </c>
      <c r="F154" t="s">
        <v>973</v>
      </c>
      <c r="G154" t="s">
        <v>1120</v>
      </c>
      <c r="H154" s="26">
        <v>2200</v>
      </c>
      <c r="I154" s="26" t="s">
        <v>1506</v>
      </c>
      <c r="J154" s="26"/>
      <c r="K154" s="26">
        <v>37</v>
      </c>
      <c r="L154" s="39">
        <v>27.5</v>
      </c>
      <c r="M154" s="39"/>
      <c r="N154" s="44">
        <v>38</v>
      </c>
      <c r="O154" s="40">
        <v>44.8</v>
      </c>
      <c r="P154" s="26" t="s">
        <v>1167</v>
      </c>
      <c r="Q154" s="45">
        <v>6</v>
      </c>
      <c r="R154" s="26">
        <v>6</v>
      </c>
      <c r="S154" s="26"/>
      <c r="T154">
        <v>25989</v>
      </c>
      <c r="U154" s="46">
        <f>Table1[[#This Row],[FTE Annual salary rate]]/Table1[[#This Row],[Full time hours for role]]*Table1[[#This Row],[Weekly Hours ]]/52.14285*Table1[[#This Row],[EQWP/ TTO Weeks paid per year]]</f>
        <v>16596.013824703856</v>
      </c>
      <c r="V154" s="26"/>
      <c r="W154" s="26"/>
      <c r="X154" s="26"/>
      <c r="Y154" s="31"/>
      <c r="Z154" s="26"/>
      <c r="AA154" s="11"/>
      <c r="AB154" s="11"/>
      <c r="AC154" s="11"/>
      <c r="AD154" s="11"/>
      <c r="AE154" s="11"/>
      <c r="AF154" s="26"/>
      <c r="AG154" s="26" t="s">
        <v>48</v>
      </c>
      <c r="AH154" s="11" t="b">
        <v>0</v>
      </c>
      <c r="AI154" s="26"/>
      <c r="AJ154" s="26"/>
      <c r="AK154" t="s">
        <v>54</v>
      </c>
      <c r="AL154" s="44" t="s">
        <v>1379</v>
      </c>
      <c r="AM154" s="26" t="s">
        <v>50</v>
      </c>
      <c r="AN154" s="26"/>
      <c r="AO154" s="31"/>
      <c r="AP154" s="11" t="b">
        <v>0</v>
      </c>
      <c r="AQ154" s="11" t="b">
        <v>0</v>
      </c>
    </row>
    <row r="155" spans="1:43" ht="20.100000000000001" customHeight="1">
      <c r="A155" s="26" t="s">
        <v>303</v>
      </c>
      <c r="B155" t="s">
        <v>652</v>
      </c>
      <c r="C155" t="s">
        <v>653</v>
      </c>
      <c r="D155" s="41">
        <v>45673</v>
      </c>
      <c r="E155" t="s">
        <v>820</v>
      </c>
      <c r="F155" t="s">
        <v>974</v>
      </c>
      <c r="G155" t="s">
        <v>1127</v>
      </c>
      <c r="H155" s="26">
        <v>2300</v>
      </c>
      <c r="I155" s="26" t="s">
        <v>1512</v>
      </c>
      <c r="J155" s="26"/>
      <c r="K155" s="26">
        <v>37</v>
      </c>
      <c r="L155" s="39">
        <v>0</v>
      </c>
      <c r="M155" s="39"/>
      <c r="N155" s="44" t="s">
        <v>1115</v>
      </c>
      <c r="O155" s="40" t="s">
        <v>1115</v>
      </c>
      <c r="P155" s="26" t="s">
        <v>1170</v>
      </c>
      <c r="Q155" s="44" t="s">
        <v>1169</v>
      </c>
      <c r="R155" s="26" t="s">
        <v>1169</v>
      </c>
      <c r="S155" s="26"/>
      <c r="T155">
        <v>0</v>
      </c>
      <c r="U155" s="46"/>
      <c r="V155" s="26"/>
      <c r="W155" s="26"/>
      <c r="X155" s="26"/>
      <c r="Y155" s="31"/>
      <c r="Z155" s="26"/>
      <c r="AA155" s="11"/>
      <c r="AB155" s="11"/>
      <c r="AC155" s="11"/>
      <c r="AD155" s="11"/>
      <c r="AE155" s="11"/>
      <c r="AF155" s="26"/>
      <c r="AG155" s="26"/>
      <c r="AH155" s="26"/>
      <c r="AI155" s="26"/>
      <c r="AJ155" s="26"/>
      <c r="AK155" t="s">
        <v>49</v>
      </c>
      <c r="AL155" s="44" t="s">
        <v>1380</v>
      </c>
      <c r="AM155" s="26" t="s">
        <v>50</v>
      </c>
      <c r="AN155" s="26"/>
      <c r="AO155" s="31"/>
      <c r="AP155" s="11" t="b">
        <v>0</v>
      </c>
      <c r="AQ155" s="26" t="b">
        <v>1</v>
      </c>
    </row>
    <row r="156" spans="1:43" ht="20.100000000000001" customHeight="1">
      <c r="A156" s="26" t="s">
        <v>304</v>
      </c>
      <c r="B156" t="s">
        <v>654</v>
      </c>
      <c r="C156" t="s">
        <v>655</v>
      </c>
      <c r="D156" s="41">
        <v>39326</v>
      </c>
      <c r="E156" t="s">
        <v>821</v>
      </c>
      <c r="F156" t="s">
        <v>975</v>
      </c>
      <c r="G156" t="s">
        <v>1128</v>
      </c>
      <c r="H156" s="26">
        <v>2200</v>
      </c>
      <c r="I156" s="26" t="s">
        <v>1506</v>
      </c>
      <c r="J156" s="26"/>
      <c r="K156" s="26">
        <v>37</v>
      </c>
      <c r="L156" s="39">
        <v>17.5</v>
      </c>
      <c r="M156" s="39"/>
      <c r="N156" s="44">
        <v>38</v>
      </c>
      <c r="O156" s="40">
        <v>44.8</v>
      </c>
      <c r="P156" s="26" t="s">
        <v>1167</v>
      </c>
      <c r="Q156" s="45">
        <v>6</v>
      </c>
      <c r="R156" s="26">
        <v>6</v>
      </c>
      <c r="S156" s="26"/>
      <c r="T156">
        <v>25989</v>
      </c>
      <c r="U156" s="46">
        <f>Table1[[#This Row],[FTE Annual salary rate]]/Table1[[#This Row],[Full time hours for role]]*Table1[[#This Row],[Weekly Hours ]]/52.14285*Table1[[#This Row],[EQWP/ TTO Weeks paid per year]]</f>
        <v>10561.099706629726</v>
      </c>
      <c r="V156" s="26"/>
      <c r="W156" s="26"/>
      <c r="X156" s="26"/>
      <c r="Y156" s="31"/>
      <c r="Z156" s="26"/>
      <c r="AA156" s="11"/>
      <c r="AB156" s="11"/>
      <c r="AC156" s="11"/>
      <c r="AD156" s="11"/>
      <c r="AE156" s="11"/>
      <c r="AF156" s="26"/>
      <c r="AG156" s="26" t="s">
        <v>48</v>
      </c>
      <c r="AH156" s="11" t="b">
        <v>0</v>
      </c>
      <c r="AI156" s="26"/>
      <c r="AJ156" s="26"/>
      <c r="AK156" t="s">
        <v>54</v>
      </c>
      <c r="AL156" s="44" t="s">
        <v>1381</v>
      </c>
      <c r="AM156" s="26" t="s">
        <v>50</v>
      </c>
      <c r="AN156" s="26"/>
      <c r="AO156" s="31"/>
      <c r="AP156" s="11" t="b">
        <v>0</v>
      </c>
      <c r="AQ156" s="11" t="b">
        <v>0</v>
      </c>
    </row>
    <row r="157" spans="1:43" ht="20.100000000000001" customHeight="1">
      <c r="A157" s="26" t="s">
        <v>304</v>
      </c>
      <c r="B157" t="s">
        <v>654</v>
      </c>
      <c r="C157" t="s">
        <v>655</v>
      </c>
      <c r="D157" s="41">
        <v>39326</v>
      </c>
      <c r="E157" t="s">
        <v>821</v>
      </c>
      <c r="F157" t="s">
        <v>976</v>
      </c>
      <c r="G157" t="s">
        <v>1138</v>
      </c>
      <c r="H157" s="26">
        <v>2200</v>
      </c>
      <c r="I157" s="26" t="s">
        <v>1506</v>
      </c>
      <c r="J157" s="26"/>
      <c r="K157" s="26">
        <v>37</v>
      </c>
      <c r="L157" s="39">
        <v>10</v>
      </c>
      <c r="M157" s="39"/>
      <c r="N157" s="44">
        <v>38</v>
      </c>
      <c r="O157" s="40">
        <v>44.8</v>
      </c>
      <c r="P157" s="26" t="s">
        <v>1167</v>
      </c>
      <c r="Q157" s="45">
        <v>6</v>
      </c>
      <c r="R157" s="26">
        <v>6</v>
      </c>
      <c r="S157" s="26"/>
      <c r="T157">
        <v>25989</v>
      </c>
      <c r="U157" s="46">
        <f>Table1[[#This Row],[FTE Annual salary rate]]/Table1[[#This Row],[Full time hours for role]]*Table1[[#This Row],[Weekly Hours ]]/52.14285*Table1[[#This Row],[EQWP/ TTO Weeks paid per year]]</f>
        <v>6034.9141180741299</v>
      </c>
      <c r="V157" s="26"/>
      <c r="W157" s="26"/>
      <c r="X157" s="26"/>
      <c r="Y157" s="31"/>
      <c r="Z157" s="26"/>
      <c r="AA157" s="11"/>
      <c r="AB157" s="11"/>
      <c r="AC157" s="11"/>
      <c r="AD157" s="11"/>
      <c r="AE157" s="11"/>
      <c r="AF157" s="26"/>
      <c r="AG157" s="26" t="s">
        <v>48</v>
      </c>
      <c r="AH157" s="11" t="b">
        <v>0</v>
      </c>
      <c r="AI157" s="26"/>
      <c r="AJ157" s="26"/>
      <c r="AK157" t="s">
        <v>54</v>
      </c>
      <c r="AL157" s="44" t="s">
        <v>1381</v>
      </c>
      <c r="AM157" s="26" t="s">
        <v>50</v>
      </c>
      <c r="AN157" s="26"/>
      <c r="AO157" s="31"/>
      <c r="AP157" s="11" t="b">
        <v>0</v>
      </c>
      <c r="AQ157" s="11" t="b">
        <v>0</v>
      </c>
    </row>
    <row r="158" spans="1:43" ht="20.100000000000001" customHeight="1">
      <c r="A158" s="26" t="s">
        <v>305</v>
      </c>
      <c r="B158" t="s">
        <v>562</v>
      </c>
      <c r="C158" t="s">
        <v>656</v>
      </c>
      <c r="D158" s="41">
        <v>45538</v>
      </c>
      <c r="E158" t="s">
        <v>819</v>
      </c>
      <c r="F158" t="s">
        <v>977</v>
      </c>
      <c r="G158" t="s">
        <v>1120</v>
      </c>
      <c r="H158" s="26">
        <v>2200</v>
      </c>
      <c r="I158" s="26" t="s">
        <v>1506</v>
      </c>
      <c r="J158" s="26"/>
      <c r="K158" s="26">
        <v>37</v>
      </c>
      <c r="L158" s="39">
        <v>30</v>
      </c>
      <c r="M158" s="39"/>
      <c r="N158" s="44">
        <v>38</v>
      </c>
      <c r="O158" s="40">
        <v>43.3</v>
      </c>
      <c r="P158" s="26" t="s">
        <v>1167</v>
      </c>
      <c r="Q158" s="45">
        <v>6</v>
      </c>
      <c r="R158" s="26">
        <v>6</v>
      </c>
      <c r="S158" s="26"/>
      <c r="T158">
        <v>25989</v>
      </c>
      <c r="U158" s="46">
        <f>Table1[[#This Row],[FTE Annual salary rate]]/Table1[[#This Row],[Full time hours for role]]*Table1[[#This Row],[Weekly Hours ]]/52.14285*Table1[[#This Row],[EQWP/ TTO Weeks paid per year]]</f>
        <v>17498.556784326549</v>
      </c>
      <c r="V158" s="26"/>
      <c r="W158" s="26"/>
      <c r="X158" s="26"/>
      <c r="Y158" s="31"/>
      <c r="Z158" s="26"/>
      <c r="AA158" s="11"/>
      <c r="AB158" s="11"/>
      <c r="AC158" s="11"/>
      <c r="AD158" s="11"/>
      <c r="AE158" s="11"/>
      <c r="AF158" s="26"/>
      <c r="AG158" s="26" t="s">
        <v>48</v>
      </c>
      <c r="AH158" s="11" t="b">
        <v>0</v>
      </c>
      <c r="AI158" s="26"/>
      <c r="AJ158" s="26"/>
      <c r="AK158" t="s">
        <v>54</v>
      </c>
      <c r="AL158" s="44" t="s">
        <v>1382</v>
      </c>
      <c r="AM158" s="26" t="s">
        <v>50</v>
      </c>
      <c r="AN158" s="26"/>
      <c r="AO158" s="31"/>
      <c r="AP158" s="11" t="b">
        <v>0</v>
      </c>
      <c r="AQ158" s="11" t="b">
        <v>0</v>
      </c>
    </row>
    <row r="159" spans="1:43" ht="20.100000000000001" customHeight="1">
      <c r="A159" s="26" t="s">
        <v>306</v>
      </c>
      <c r="B159" t="s">
        <v>657</v>
      </c>
      <c r="C159" t="s">
        <v>658</v>
      </c>
      <c r="D159" s="41">
        <v>44606</v>
      </c>
      <c r="E159" t="s">
        <v>822</v>
      </c>
      <c r="F159" t="s">
        <v>978</v>
      </c>
      <c r="G159" t="s">
        <v>1125</v>
      </c>
      <c r="H159" s="26">
        <v>2000</v>
      </c>
      <c r="I159" s="26" t="s">
        <v>1507</v>
      </c>
      <c r="J159" s="26"/>
      <c r="K159" s="26">
        <v>32.43</v>
      </c>
      <c r="L159" s="39">
        <v>32.43</v>
      </c>
      <c r="M159" s="39"/>
      <c r="N159" s="44" t="s">
        <v>1115</v>
      </c>
      <c r="O159" s="40" t="s">
        <v>1115</v>
      </c>
      <c r="P159" s="26" t="s">
        <v>1160</v>
      </c>
      <c r="Q159" s="45">
        <v>4</v>
      </c>
      <c r="R159" s="26" t="s">
        <v>51</v>
      </c>
      <c r="S159" s="26"/>
      <c r="T159">
        <v>39556</v>
      </c>
      <c r="U159" s="46">
        <v>39556</v>
      </c>
      <c r="V159" s="26"/>
      <c r="W159" s="26"/>
      <c r="X159" s="26"/>
      <c r="Y159" s="31"/>
      <c r="Z159" s="26"/>
      <c r="AA159" s="11"/>
      <c r="AB159" s="11"/>
      <c r="AC159" s="11"/>
      <c r="AD159" s="11"/>
      <c r="AE159" s="11"/>
      <c r="AF159" s="26"/>
      <c r="AG159" s="11" t="s">
        <v>53</v>
      </c>
      <c r="AH159" s="11" t="b">
        <v>0</v>
      </c>
      <c r="AI159" s="26"/>
      <c r="AJ159" s="26"/>
      <c r="AK159" t="s">
        <v>54</v>
      </c>
      <c r="AL159" s="44" t="s">
        <v>1383</v>
      </c>
      <c r="AM159" s="26" t="s">
        <v>50</v>
      </c>
      <c r="AN159" s="26"/>
      <c r="AO159" s="31"/>
      <c r="AP159" s="11" t="b">
        <v>0</v>
      </c>
      <c r="AQ159" s="11" t="b">
        <v>0</v>
      </c>
    </row>
    <row r="160" spans="1:43" ht="20.100000000000001" customHeight="1">
      <c r="A160" s="26" t="s">
        <v>307</v>
      </c>
      <c r="B160" t="s">
        <v>659</v>
      </c>
      <c r="C160" t="s">
        <v>467</v>
      </c>
      <c r="D160" s="41">
        <v>36801</v>
      </c>
      <c r="E160" t="s">
        <v>820</v>
      </c>
      <c r="F160" t="s">
        <v>979</v>
      </c>
      <c r="G160" t="s">
        <v>1119</v>
      </c>
      <c r="H160" s="26">
        <v>2820</v>
      </c>
      <c r="I160" s="26" t="s">
        <v>1509</v>
      </c>
      <c r="J160" s="26"/>
      <c r="K160" s="26">
        <v>37</v>
      </c>
      <c r="L160" s="39">
        <v>6.25</v>
      </c>
      <c r="M160" s="39"/>
      <c r="N160" s="44">
        <v>38</v>
      </c>
      <c r="O160" s="40">
        <v>44.8</v>
      </c>
      <c r="P160" s="26" t="s">
        <v>1167</v>
      </c>
      <c r="Q160" s="45">
        <v>4</v>
      </c>
      <c r="R160" s="26">
        <v>4</v>
      </c>
      <c r="S160" s="26"/>
      <c r="T160">
        <v>25185</v>
      </c>
      <c r="U160" s="46">
        <f>Table1[[#This Row],[FTE Annual salary rate]]/Table1[[#This Row],[Full time hours for role]]*Table1[[#This Row],[Weekly Hours ]]/52.14285*Table1[[#This Row],[EQWP/ TTO Weeks paid per year]]</f>
        <v>3655.1356358386461</v>
      </c>
      <c r="V160" s="26"/>
      <c r="W160" s="26"/>
      <c r="X160" s="26"/>
      <c r="Y160" s="31"/>
      <c r="Z160" s="26"/>
      <c r="AA160" s="11"/>
      <c r="AB160" s="11"/>
      <c r="AC160" s="11"/>
      <c r="AD160" s="11"/>
      <c r="AE160" s="11"/>
      <c r="AF160" s="26"/>
      <c r="AG160" s="26" t="s">
        <v>48</v>
      </c>
      <c r="AH160" s="11" t="b">
        <v>0</v>
      </c>
      <c r="AI160" s="26"/>
      <c r="AJ160" s="26"/>
      <c r="AK160" t="s">
        <v>54</v>
      </c>
      <c r="AL160" s="44" t="s">
        <v>1384</v>
      </c>
      <c r="AM160" s="26" t="s">
        <v>50</v>
      </c>
      <c r="AN160" s="26"/>
      <c r="AO160" s="31"/>
      <c r="AP160" s="11" t="b">
        <v>0</v>
      </c>
      <c r="AQ160" s="11" t="b">
        <v>0</v>
      </c>
    </row>
    <row r="161" spans="1:43" ht="20.100000000000001" customHeight="1">
      <c r="A161" s="26" t="s">
        <v>307</v>
      </c>
      <c r="B161" t="s">
        <v>659</v>
      </c>
      <c r="C161" t="s">
        <v>467</v>
      </c>
      <c r="D161" s="41">
        <v>36801</v>
      </c>
      <c r="E161" t="s">
        <v>820</v>
      </c>
      <c r="F161" t="s">
        <v>980</v>
      </c>
      <c r="G161" t="s">
        <v>1127</v>
      </c>
      <c r="H161" s="26">
        <v>2300</v>
      </c>
      <c r="I161" s="26" t="s">
        <v>1512</v>
      </c>
      <c r="J161" s="26"/>
      <c r="K161" s="26">
        <v>37</v>
      </c>
      <c r="L161" s="39">
        <v>12.5</v>
      </c>
      <c r="M161" s="39"/>
      <c r="N161" s="44">
        <v>38</v>
      </c>
      <c r="O161" s="40">
        <v>47.2</v>
      </c>
      <c r="P161" s="26" t="s">
        <v>1162</v>
      </c>
      <c r="Q161" s="45">
        <v>1</v>
      </c>
      <c r="R161" s="26">
        <v>1</v>
      </c>
      <c r="S161" s="26"/>
      <c r="T161">
        <v>23557</v>
      </c>
      <c r="U161" s="46">
        <f>Table1[[#This Row],[FTE Annual salary rate]]/Table1[[#This Row],[Full time hours for role]]*Table1[[#This Row],[Weekly Hours ]]/52.14285*Table1[[#This Row],[EQWP/ TTO Weeks paid per year]]</f>
        <v>7204.0298650466675</v>
      </c>
      <c r="V161" s="26"/>
      <c r="W161" s="26"/>
      <c r="X161" s="26"/>
      <c r="Y161" s="31"/>
      <c r="Z161" s="26"/>
      <c r="AA161" s="11"/>
      <c r="AB161" s="11"/>
      <c r="AC161" s="11"/>
      <c r="AD161" s="11"/>
      <c r="AE161" s="11"/>
      <c r="AF161" s="26"/>
      <c r="AG161" s="26" t="s">
        <v>48</v>
      </c>
      <c r="AH161" s="11" t="b">
        <v>0</v>
      </c>
      <c r="AI161" s="26"/>
      <c r="AJ161" s="26"/>
      <c r="AK161" t="s">
        <v>54</v>
      </c>
      <c r="AL161" s="44" t="s">
        <v>1384</v>
      </c>
      <c r="AM161" s="26" t="s">
        <v>50</v>
      </c>
      <c r="AN161" s="26"/>
      <c r="AO161" s="31"/>
      <c r="AP161" s="11" t="b">
        <v>0</v>
      </c>
      <c r="AQ161" s="11" t="b">
        <v>0</v>
      </c>
    </row>
    <row r="162" spans="1:43" ht="20.100000000000001" customHeight="1">
      <c r="A162" s="26" t="s">
        <v>308</v>
      </c>
      <c r="B162" t="s">
        <v>660</v>
      </c>
      <c r="C162" t="s">
        <v>661</v>
      </c>
      <c r="D162" s="41">
        <v>45204</v>
      </c>
      <c r="E162" t="s">
        <v>820</v>
      </c>
      <c r="F162" t="s">
        <v>981</v>
      </c>
      <c r="G162" t="s">
        <v>1120</v>
      </c>
      <c r="H162" s="26">
        <v>2200</v>
      </c>
      <c r="I162" s="26" t="s">
        <v>1506</v>
      </c>
      <c r="J162" s="26"/>
      <c r="K162" s="26">
        <v>37</v>
      </c>
      <c r="L162" s="39">
        <v>28.75</v>
      </c>
      <c r="M162" s="39"/>
      <c r="N162" s="44">
        <v>38</v>
      </c>
      <c r="O162" s="40">
        <v>43.3</v>
      </c>
      <c r="P162" s="26" t="s">
        <v>1167</v>
      </c>
      <c r="Q162" s="45">
        <v>6</v>
      </c>
      <c r="R162" s="26">
        <v>6</v>
      </c>
      <c r="S162" s="26"/>
      <c r="T162">
        <v>25989</v>
      </c>
      <c r="U162" s="46">
        <f>Table1[[#This Row],[FTE Annual salary rate]]/Table1[[#This Row],[Full time hours for role]]*Table1[[#This Row],[Weekly Hours ]]/52.14285*Table1[[#This Row],[EQWP/ TTO Weeks paid per year]]</f>
        <v>16769.450251646274</v>
      </c>
      <c r="V162" s="26"/>
      <c r="W162" s="26"/>
      <c r="X162" s="26"/>
      <c r="Y162" s="31"/>
      <c r="Z162" s="26"/>
      <c r="AA162" s="11"/>
      <c r="AB162" s="11"/>
      <c r="AC162" s="11"/>
      <c r="AD162" s="11"/>
      <c r="AE162" s="11"/>
      <c r="AF162" s="26"/>
      <c r="AG162" s="26" t="s">
        <v>48</v>
      </c>
      <c r="AH162" s="11" t="b">
        <v>0</v>
      </c>
      <c r="AI162" s="26"/>
      <c r="AJ162" s="26"/>
      <c r="AK162" t="s">
        <v>54</v>
      </c>
      <c r="AL162" s="44" t="s">
        <v>1385</v>
      </c>
      <c r="AM162" s="26" t="s">
        <v>50</v>
      </c>
      <c r="AN162" s="26"/>
      <c r="AO162" s="31"/>
      <c r="AP162" s="11" t="b">
        <v>0</v>
      </c>
      <c r="AQ162" s="11" t="b">
        <v>0</v>
      </c>
    </row>
    <row r="163" spans="1:43" ht="20.100000000000001" customHeight="1">
      <c r="A163" s="26" t="s">
        <v>309</v>
      </c>
      <c r="B163" t="s">
        <v>662</v>
      </c>
      <c r="C163" t="s">
        <v>477</v>
      </c>
      <c r="D163" s="41">
        <v>43850</v>
      </c>
      <c r="E163" t="s">
        <v>819</v>
      </c>
      <c r="F163" t="s">
        <v>982</v>
      </c>
      <c r="G163" t="s">
        <v>1140</v>
      </c>
      <c r="H163" s="26">
        <v>2200</v>
      </c>
      <c r="I163" s="26" t="s">
        <v>1506</v>
      </c>
      <c r="J163" s="26"/>
      <c r="K163" s="26">
        <v>37</v>
      </c>
      <c r="L163" s="39">
        <v>37</v>
      </c>
      <c r="M163" s="39"/>
      <c r="N163" s="44">
        <v>38</v>
      </c>
      <c r="O163" s="40">
        <v>44.2</v>
      </c>
      <c r="P163" s="26" t="s">
        <v>1167</v>
      </c>
      <c r="Q163" s="45">
        <v>17</v>
      </c>
      <c r="R163" s="26">
        <v>17</v>
      </c>
      <c r="S163" s="26"/>
      <c r="T163">
        <v>31022</v>
      </c>
      <c r="U163" s="46">
        <f>Table1[[#This Row],[FTE Annual salary rate]]/Table1[[#This Row],[Full time hours for role]]*Table1[[#This Row],[Weekly Hours ]]/52.14285*Table1[[#This Row],[EQWP/ TTO Weeks paid per year]]</f>
        <v>26296.460588556249</v>
      </c>
      <c r="V163" s="26"/>
      <c r="W163" s="26"/>
      <c r="X163" s="26"/>
      <c r="Y163" s="31"/>
      <c r="Z163" s="26"/>
      <c r="AA163" s="11"/>
      <c r="AB163" s="11"/>
      <c r="AC163" s="11"/>
      <c r="AD163" s="11"/>
      <c r="AE163" s="11"/>
      <c r="AF163" s="26"/>
      <c r="AG163" s="26" t="s">
        <v>48</v>
      </c>
      <c r="AH163" s="11" t="b">
        <v>0</v>
      </c>
      <c r="AI163" s="26"/>
      <c r="AJ163" s="26"/>
      <c r="AK163" t="s">
        <v>54</v>
      </c>
      <c r="AL163" s="44" t="s">
        <v>1386</v>
      </c>
      <c r="AM163" s="26" t="s">
        <v>50</v>
      </c>
      <c r="AN163" s="26"/>
      <c r="AO163" s="31"/>
      <c r="AP163" s="11" t="b">
        <v>0</v>
      </c>
      <c r="AQ163" s="11" t="b">
        <v>0</v>
      </c>
    </row>
    <row r="164" spans="1:43" ht="20.100000000000001" customHeight="1">
      <c r="A164" s="26" t="s">
        <v>310</v>
      </c>
      <c r="B164" t="s">
        <v>663</v>
      </c>
      <c r="C164" t="s">
        <v>664</v>
      </c>
      <c r="D164" s="41">
        <v>45712</v>
      </c>
      <c r="E164" t="s">
        <v>822</v>
      </c>
      <c r="F164" t="s">
        <v>983</v>
      </c>
      <c r="G164" t="s">
        <v>1125</v>
      </c>
      <c r="H164" s="26">
        <v>2000</v>
      </c>
      <c r="I164" s="26" t="s">
        <v>1507</v>
      </c>
      <c r="J164" s="26"/>
      <c r="K164" s="26">
        <v>32.43</v>
      </c>
      <c r="L164" s="39">
        <v>32.43</v>
      </c>
      <c r="M164" s="39"/>
      <c r="N164" s="44" t="s">
        <v>1115</v>
      </c>
      <c r="O164" s="40" t="s">
        <v>1115</v>
      </c>
      <c r="P164" s="26" t="s">
        <v>1160</v>
      </c>
      <c r="Q164" s="45">
        <v>6</v>
      </c>
      <c r="R164" s="26" t="s">
        <v>51</v>
      </c>
      <c r="S164" s="26"/>
      <c r="T164">
        <v>45352</v>
      </c>
      <c r="U164" s="46">
        <v>45352</v>
      </c>
      <c r="V164" s="26"/>
      <c r="W164" s="26"/>
      <c r="X164" s="26"/>
      <c r="Y164" s="31"/>
      <c r="Z164" s="26"/>
      <c r="AA164" s="11"/>
      <c r="AB164" s="11"/>
      <c r="AC164" s="11"/>
      <c r="AD164" s="11"/>
      <c r="AE164" s="11"/>
      <c r="AF164" s="26"/>
      <c r="AG164" s="11" t="s">
        <v>53</v>
      </c>
      <c r="AH164" s="11" t="b">
        <v>0</v>
      </c>
      <c r="AI164" s="26"/>
      <c r="AJ164" s="26"/>
      <c r="AK164" t="s">
        <v>49</v>
      </c>
      <c r="AL164" s="44" t="s">
        <v>1387</v>
      </c>
      <c r="AM164" s="26" t="s">
        <v>50</v>
      </c>
      <c r="AN164" s="26"/>
      <c r="AO164" s="31"/>
      <c r="AP164" s="11" t="b">
        <v>0</v>
      </c>
      <c r="AQ164" s="11" t="b">
        <v>0</v>
      </c>
    </row>
    <row r="165" spans="1:43" ht="20.100000000000001" customHeight="1">
      <c r="A165" s="26" t="s">
        <v>311</v>
      </c>
      <c r="B165" t="s">
        <v>665</v>
      </c>
      <c r="C165" t="s">
        <v>666</v>
      </c>
      <c r="D165" s="41">
        <v>42752</v>
      </c>
      <c r="E165" t="s">
        <v>819</v>
      </c>
      <c r="F165" t="s">
        <v>984</v>
      </c>
      <c r="G165" t="s">
        <v>1120</v>
      </c>
      <c r="H165" s="26">
        <v>2200</v>
      </c>
      <c r="I165" s="26" t="s">
        <v>1506</v>
      </c>
      <c r="J165" s="26"/>
      <c r="K165" s="26">
        <v>37</v>
      </c>
      <c r="L165" s="39">
        <v>15</v>
      </c>
      <c r="M165" s="39"/>
      <c r="N165" s="44">
        <v>38</v>
      </c>
      <c r="O165" s="40">
        <v>44.2</v>
      </c>
      <c r="P165" s="26" t="s">
        <v>1167</v>
      </c>
      <c r="Q165" s="45">
        <v>6</v>
      </c>
      <c r="R165" s="26">
        <v>6</v>
      </c>
      <c r="S165" s="26"/>
      <c r="T165">
        <v>25989</v>
      </c>
      <c r="U165" s="46">
        <f>Table1[[#This Row],[FTE Annual salary rate]]/Table1[[#This Row],[Full time hours for role]]*Table1[[#This Row],[Weekly Hours ]]/52.14285*Table1[[#This Row],[EQWP/ TTO Weeks paid per year]]</f>
        <v>8931.1340631320272</v>
      </c>
      <c r="V165" s="26"/>
      <c r="W165" s="26"/>
      <c r="X165" s="26"/>
      <c r="Y165" s="31"/>
      <c r="Z165" s="26"/>
      <c r="AA165" s="11"/>
      <c r="AB165" s="11"/>
      <c r="AC165" s="11"/>
      <c r="AD165" s="11"/>
      <c r="AE165" s="11"/>
      <c r="AF165" s="26"/>
      <c r="AG165" s="26" t="s">
        <v>48</v>
      </c>
      <c r="AH165" s="11" t="b">
        <v>0</v>
      </c>
      <c r="AI165" s="26"/>
      <c r="AJ165" s="26"/>
      <c r="AK165" t="s">
        <v>54</v>
      </c>
      <c r="AL165" s="44" t="s">
        <v>1388</v>
      </c>
      <c r="AM165" s="26" t="s">
        <v>50</v>
      </c>
      <c r="AN165" s="26"/>
      <c r="AO165" s="31"/>
      <c r="AP165" s="11" t="b">
        <v>0</v>
      </c>
      <c r="AQ165" s="11" t="b">
        <v>0</v>
      </c>
    </row>
    <row r="166" spans="1:43" ht="20.100000000000001" customHeight="1">
      <c r="A166" s="26" t="s">
        <v>312</v>
      </c>
      <c r="B166" t="s">
        <v>667</v>
      </c>
      <c r="C166" t="s">
        <v>668</v>
      </c>
      <c r="D166" s="41">
        <v>44929</v>
      </c>
      <c r="E166" t="s">
        <v>819</v>
      </c>
      <c r="F166" t="s">
        <v>985</v>
      </c>
      <c r="G166" t="s">
        <v>1120</v>
      </c>
      <c r="H166" s="26">
        <v>2200</v>
      </c>
      <c r="I166" s="26" t="s">
        <v>1506</v>
      </c>
      <c r="J166" s="26"/>
      <c r="K166" s="26">
        <v>37</v>
      </c>
      <c r="L166" s="39">
        <v>24.75</v>
      </c>
      <c r="M166" s="39"/>
      <c r="N166" s="44">
        <v>38</v>
      </c>
      <c r="O166" s="40">
        <v>43.3</v>
      </c>
      <c r="P166" s="26" t="s">
        <v>1167</v>
      </c>
      <c r="Q166" s="45">
        <v>6</v>
      </c>
      <c r="R166" s="26">
        <v>6</v>
      </c>
      <c r="S166" s="26"/>
      <c r="T166">
        <v>25989</v>
      </c>
      <c r="U166" s="46">
        <f>Table1[[#This Row],[FTE Annual salary rate]]/Table1[[#This Row],[Full time hours for role]]*Table1[[#This Row],[Weekly Hours ]]/52.14285*Table1[[#This Row],[EQWP/ TTO Weeks paid per year]]</f>
        <v>14436.309347069402</v>
      </c>
      <c r="V166" s="26"/>
      <c r="W166" s="26"/>
      <c r="X166" s="26"/>
      <c r="Y166" s="31"/>
      <c r="Z166" s="26"/>
      <c r="AA166" s="11"/>
      <c r="AB166" s="11"/>
      <c r="AC166" s="11"/>
      <c r="AD166" s="11"/>
      <c r="AE166" s="11"/>
      <c r="AF166" s="26"/>
      <c r="AG166" s="26" t="s">
        <v>48</v>
      </c>
      <c r="AH166" s="11" t="b">
        <v>0</v>
      </c>
      <c r="AI166" s="26"/>
      <c r="AJ166" s="26"/>
      <c r="AK166" t="s">
        <v>54</v>
      </c>
      <c r="AL166" s="44" t="s">
        <v>1389</v>
      </c>
      <c r="AM166" s="26" t="s">
        <v>50</v>
      </c>
      <c r="AN166" s="26"/>
      <c r="AO166" s="31"/>
      <c r="AP166" s="11" t="b">
        <v>0</v>
      </c>
      <c r="AQ166" s="11" t="b">
        <v>0</v>
      </c>
    </row>
    <row r="167" spans="1:43" ht="20.100000000000001" customHeight="1">
      <c r="A167" s="26" t="s">
        <v>313</v>
      </c>
      <c r="B167" t="s">
        <v>669</v>
      </c>
      <c r="C167" t="s">
        <v>670</v>
      </c>
      <c r="D167" s="41">
        <v>46027</v>
      </c>
      <c r="E167" t="s">
        <v>821</v>
      </c>
      <c r="F167" t="s">
        <v>986</v>
      </c>
      <c r="G167" t="s">
        <v>1174</v>
      </c>
      <c r="H167" s="26">
        <v>2200</v>
      </c>
      <c r="I167" s="26" t="s">
        <v>1506</v>
      </c>
      <c r="J167" s="26"/>
      <c r="K167" s="26">
        <v>37</v>
      </c>
      <c r="L167" s="39">
        <v>16.5</v>
      </c>
      <c r="M167" s="39"/>
      <c r="N167" s="44">
        <v>38</v>
      </c>
      <c r="O167" s="40">
        <v>43.3</v>
      </c>
      <c r="P167" s="26" t="s">
        <v>1167</v>
      </c>
      <c r="Q167" s="45">
        <v>7</v>
      </c>
      <c r="R167" s="26">
        <v>9</v>
      </c>
      <c r="S167" s="26"/>
      <c r="T167">
        <v>26403</v>
      </c>
      <c r="U167" s="46">
        <f>Table1[[#This Row],[FTE Annual salary rate]]/Table1[[#This Row],[Full time hours for role]]*Table1[[#This Row],[Weekly Hours ]]/52.14285*Table1[[#This Row],[EQWP/ TTO Weeks paid per year]]</f>
        <v>9777.5180702264643</v>
      </c>
      <c r="V167" s="26"/>
      <c r="W167" s="26"/>
      <c r="X167" s="26"/>
      <c r="Y167" s="31"/>
      <c r="Z167" s="26"/>
      <c r="AA167" s="11"/>
      <c r="AB167" s="11"/>
      <c r="AC167" s="11"/>
      <c r="AD167" s="11"/>
      <c r="AE167" s="11"/>
      <c r="AF167" s="26"/>
      <c r="AG167" s="26" t="s">
        <v>48</v>
      </c>
      <c r="AH167" s="11" t="b">
        <v>0</v>
      </c>
      <c r="AI167" s="26"/>
      <c r="AJ167" s="26"/>
      <c r="AK167" t="s">
        <v>54</v>
      </c>
      <c r="AL167" s="44" t="s">
        <v>1390</v>
      </c>
      <c r="AM167" s="26" t="s">
        <v>50</v>
      </c>
      <c r="AN167" s="26"/>
      <c r="AO167" s="31"/>
      <c r="AP167" s="11" t="b">
        <v>0</v>
      </c>
      <c r="AQ167" s="11" t="b">
        <v>0</v>
      </c>
    </row>
    <row r="168" spans="1:43" ht="20.100000000000001" customHeight="1">
      <c r="A168" s="26" t="s">
        <v>314</v>
      </c>
      <c r="B168" t="s">
        <v>671</v>
      </c>
      <c r="C168" t="s">
        <v>672</v>
      </c>
      <c r="D168" s="41">
        <v>43739</v>
      </c>
      <c r="E168" t="s">
        <v>820</v>
      </c>
      <c r="F168" t="s">
        <v>987</v>
      </c>
      <c r="G168" t="s">
        <v>1147</v>
      </c>
      <c r="H168" s="26">
        <v>2630</v>
      </c>
      <c r="I168" s="26" t="s">
        <v>1511</v>
      </c>
      <c r="J168" s="26"/>
      <c r="K168" s="26">
        <v>37</v>
      </c>
      <c r="L168" s="39">
        <v>35</v>
      </c>
      <c r="M168" s="39"/>
      <c r="N168" s="44">
        <v>38.6</v>
      </c>
      <c r="O168" s="40">
        <v>44.9</v>
      </c>
      <c r="P168" s="26" t="s">
        <v>1167</v>
      </c>
      <c r="Q168" s="45">
        <v>11</v>
      </c>
      <c r="R168" s="26">
        <v>11</v>
      </c>
      <c r="S168" s="26"/>
      <c r="T168">
        <v>28142</v>
      </c>
      <c r="U168" s="46">
        <f>Table1[[#This Row],[FTE Annual salary rate]]/Table1[[#This Row],[Full time hours for role]]*Table1[[#This Row],[Weekly Hours ]]/52.14285*Table1[[#This Row],[EQWP/ TTO Weeks paid per year]]</f>
        <v>22923.073928743925</v>
      </c>
      <c r="V168" s="26"/>
      <c r="W168" s="26"/>
      <c r="X168" s="26"/>
      <c r="Y168" s="31"/>
      <c r="Z168" s="26"/>
      <c r="AA168" s="11"/>
      <c r="AB168" s="11"/>
      <c r="AC168" s="11"/>
      <c r="AD168" s="11"/>
      <c r="AE168" s="11"/>
      <c r="AF168" s="26"/>
      <c r="AG168" s="26" t="s">
        <v>48</v>
      </c>
      <c r="AH168" s="11" t="b">
        <v>0</v>
      </c>
      <c r="AI168" s="26"/>
      <c r="AJ168" s="26"/>
      <c r="AK168" t="s">
        <v>54</v>
      </c>
      <c r="AL168" s="44" t="s">
        <v>1391</v>
      </c>
      <c r="AM168" s="26" t="s">
        <v>50</v>
      </c>
      <c r="AN168" s="26"/>
      <c r="AO168" s="31"/>
      <c r="AP168" s="11" t="b">
        <v>0</v>
      </c>
      <c r="AQ168" s="11" t="b">
        <v>0</v>
      </c>
    </row>
    <row r="169" spans="1:43" ht="20.100000000000001" customHeight="1">
      <c r="A169" s="26" t="s">
        <v>315</v>
      </c>
      <c r="B169" t="s">
        <v>673</v>
      </c>
      <c r="C169" t="s">
        <v>674</v>
      </c>
      <c r="D169" s="41">
        <v>44805</v>
      </c>
      <c r="E169" t="s">
        <v>821</v>
      </c>
      <c r="F169" t="s">
        <v>988</v>
      </c>
      <c r="G169" t="s">
        <v>1125</v>
      </c>
      <c r="H169" s="26">
        <v>2000</v>
      </c>
      <c r="I169" s="26" t="s">
        <v>1507</v>
      </c>
      <c r="J169" s="26"/>
      <c r="K169" s="26">
        <v>32.43</v>
      </c>
      <c r="L169" s="39">
        <v>32.43</v>
      </c>
      <c r="M169" s="39"/>
      <c r="N169" s="44" t="s">
        <v>1115</v>
      </c>
      <c r="O169" s="40" t="s">
        <v>1115</v>
      </c>
      <c r="P169" s="26" t="s">
        <v>1160</v>
      </c>
      <c r="Q169" s="45">
        <v>6</v>
      </c>
      <c r="R169" s="26" t="s">
        <v>51</v>
      </c>
      <c r="S169" s="26"/>
      <c r="T169">
        <v>45352</v>
      </c>
      <c r="U169" s="46">
        <v>45352</v>
      </c>
      <c r="V169" s="26"/>
      <c r="W169" s="26"/>
      <c r="X169" s="26"/>
      <c r="Y169" s="31"/>
      <c r="Z169" s="26"/>
      <c r="AA169" s="11"/>
      <c r="AB169" s="11"/>
      <c r="AC169" s="11"/>
      <c r="AD169" s="11"/>
      <c r="AE169" s="11"/>
      <c r="AF169" s="26"/>
      <c r="AG169" s="11" t="s">
        <v>53</v>
      </c>
      <c r="AH169" s="11" t="b">
        <v>0</v>
      </c>
      <c r="AI169" s="26"/>
      <c r="AJ169" s="26"/>
      <c r="AK169" t="s">
        <v>54</v>
      </c>
      <c r="AL169" s="44" t="s">
        <v>1392</v>
      </c>
      <c r="AM169" s="26" t="s">
        <v>50</v>
      </c>
      <c r="AN169" s="26"/>
      <c r="AO169" s="31"/>
      <c r="AP169" s="11" t="b">
        <v>0</v>
      </c>
      <c r="AQ169" s="11" t="b">
        <v>0</v>
      </c>
    </row>
    <row r="170" spans="1:43" ht="20.100000000000001" customHeight="1">
      <c r="A170" s="26" t="s">
        <v>316</v>
      </c>
      <c r="B170" t="s">
        <v>675</v>
      </c>
      <c r="C170" t="s">
        <v>501</v>
      </c>
      <c r="D170" s="41">
        <v>43344</v>
      </c>
      <c r="E170" t="s">
        <v>821</v>
      </c>
      <c r="F170" t="s">
        <v>989</v>
      </c>
      <c r="G170" t="s">
        <v>1125</v>
      </c>
      <c r="H170" s="26">
        <v>2000</v>
      </c>
      <c r="I170" s="26" t="s">
        <v>1507</v>
      </c>
      <c r="J170" s="26"/>
      <c r="K170" s="26">
        <v>32.43</v>
      </c>
      <c r="L170" s="39">
        <v>32.43</v>
      </c>
      <c r="M170" s="39"/>
      <c r="N170" s="44" t="s">
        <v>1115</v>
      </c>
      <c r="O170" s="40" t="s">
        <v>1115</v>
      </c>
      <c r="P170" s="26" t="s">
        <v>1160</v>
      </c>
      <c r="Q170" s="45">
        <v>6</v>
      </c>
      <c r="R170" s="26" t="s">
        <v>51</v>
      </c>
      <c r="S170" s="26"/>
      <c r="T170">
        <v>45352</v>
      </c>
      <c r="U170" s="46">
        <v>45352</v>
      </c>
      <c r="V170" s="26"/>
      <c r="W170" s="26"/>
      <c r="X170" s="26"/>
      <c r="Y170" s="31"/>
      <c r="Z170" s="26"/>
      <c r="AA170" s="11"/>
      <c r="AB170" s="11"/>
      <c r="AC170" s="11"/>
      <c r="AD170" s="11"/>
      <c r="AE170" s="11"/>
      <c r="AF170" s="26"/>
      <c r="AG170" s="11" t="s">
        <v>53</v>
      </c>
      <c r="AH170" s="11" t="b">
        <v>0</v>
      </c>
      <c r="AI170" s="26"/>
      <c r="AJ170" s="26"/>
      <c r="AK170" t="s">
        <v>54</v>
      </c>
      <c r="AL170" s="44" t="s">
        <v>1393</v>
      </c>
      <c r="AM170" s="26" t="s">
        <v>50</v>
      </c>
      <c r="AN170" s="26"/>
      <c r="AO170" s="31"/>
      <c r="AP170" s="11" t="b">
        <v>0</v>
      </c>
      <c r="AQ170" s="11" t="b">
        <v>0</v>
      </c>
    </row>
    <row r="171" spans="1:43" ht="20.100000000000001" customHeight="1">
      <c r="A171" s="26" t="s">
        <v>317</v>
      </c>
      <c r="B171" t="s">
        <v>675</v>
      </c>
      <c r="C171" t="s">
        <v>676</v>
      </c>
      <c r="D171" s="41">
        <v>46030</v>
      </c>
      <c r="E171" t="s">
        <v>820</v>
      </c>
      <c r="F171" t="s">
        <v>990</v>
      </c>
      <c r="G171" t="s">
        <v>1127</v>
      </c>
      <c r="H171" s="26">
        <v>2300</v>
      </c>
      <c r="I171" s="26" t="s">
        <v>1512</v>
      </c>
      <c r="J171" s="26"/>
      <c r="K171" s="26">
        <v>37</v>
      </c>
      <c r="L171" s="39">
        <v>12.5</v>
      </c>
      <c r="M171" s="39"/>
      <c r="N171" s="44">
        <v>41.4</v>
      </c>
      <c r="O171" s="40">
        <v>46.4</v>
      </c>
      <c r="P171" s="26" t="s">
        <v>1162</v>
      </c>
      <c r="Q171" s="45">
        <v>1</v>
      </c>
      <c r="R171" s="26">
        <v>1</v>
      </c>
      <c r="S171" s="26"/>
      <c r="T171">
        <v>23557</v>
      </c>
      <c r="U171" s="46">
        <f>Table1[[#This Row],[FTE Annual salary rate]]/Table1[[#This Row],[Full time hours for role]]*Table1[[#This Row],[Weekly Hours ]]/52.14285*Table1[[#This Row],[EQWP/ TTO Weeks paid per year]]</f>
        <v>7081.9276639441805</v>
      </c>
      <c r="V171" s="26"/>
      <c r="W171" s="26"/>
      <c r="X171" s="26"/>
      <c r="Y171" s="31"/>
      <c r="Z171" s="26"/>
      <c r="AA171" s="11"/>
      <c r="AB171" s="11"/>
      <c r="AC171" s="11"/>
      <c r="AD171" s="11"/>
      <c r="AE171" s="11"/>
      <c r="AF171" s="26"/>
      <c r="AG171" s="26" t="s">
        <v>48</v>
      </c>
      <c r="AH171" s="11" t="b">
        <v>0</v>
      </c>
      <c r="AI171" s="26"/>
      <c r="AJ171" s="26"/>
      <c r="AK171" t="s">
        <v>54</v>
      </c>
      <c r="AL171" s="44" t="s">
        <v>1394</v>
      </c>
      <c r="AM171" s="26" t="s">
        <v>50</v>
      </c>
      <c r="AN171" s="26"/>
      <c r="AO171" s="31"/>
      <c r="AP171" s="11" t="b">
        <v>0</v>
      </c>
      <c r="AQ171" s="11" t="b">
        <v>0</v>
      </c>
    </row>
    <row r="172" spans="1:43" ht="20.100000000000001" customHeight="1">
      <c r="A172" s="26" t="s">
        <v>317</v>
      </c>
      <c r="B172" t="s">
        <v>675</v>
      </c>
      <c r="C172" t="s">
        <v>676</v>
      </c>
      <c r="D172" s="41">
        <v>46030</v>
      </c>
      <c r="E172" t="s">
        <v>820</v>
      </c>
      <c r="F172" t="s">
        <v>991</v>
      </c>
      <c r="G172" t="s">
        <v>1119</v>
      </c>
      <c r="H172" s="26">
        <v>2820</v>
      </c>
      <c r="I172" s="26" t="s">
        <v>1509</v>
      </c>
      <c r="J172" s="26"/>
      <c r="K172" s="26">
        <v>37</v>
      </c>
      <c r="L172" s="39">
        <v>5.41</v>
      </c>
      <c r="M172" s="39"/>
      <c r="N172" s="44">
        <v>38</v>
      </c>
      <c r="O172" s="40">
        <v>43.3</v>
      </c>
      <c r="P172" s="26" t="s">
        <v>1167</v>
      </c>
      <c r="Q172" s="45">
        <v>3</v>
      </c>
      <c r="R172" s="26">
        <v>4</v>
      </c>
      <c r="S172" s="26"/>
      <c r="T172">
        <v>24796</v>
      </c>
      <c r="U172" s="46">
        <f>Table1[[#This Row],[FTE Annual salary rate]]/Table1[[#This Row],[Full time hours for role]]*Table1[[#This Row],[Weekly Hours ]]/52.14285*Table1[[#This Row],[EQWP/ TTO Weeks paid per year]]</f>
        <v>3010.719532456952</v>
      </c>
      <c r="V172" s="26"/>
      <c r="W172" s="26"/>
      <c r="X172" s="26"/>
      <c r="Y172" s="31"/>
      <c r="Z172" s="26"/>
      <c r="AA172" s="11"/>
      <c r="AB172" s="11"/>
      <c r="AC172" s="11"/>
      <c r="AD172" s="11"/>
      <c r="AE172" s="11"/>
      <c r="AF172" s="26"/>
      <c r="AG172" s="26" t="s">
        <v>48</v>
      </c>
      <c r="AH172" s="11" t="b">
        <v>0</v>
      </c>
      <c r="AI172" s="26"/>
      <c r="AJ172" s="26"/>
      <c r="AK172" t="s">
        <v>54</v>
      </c>
      <c r="AL172" s="44" t="s">
        <v>1394</v>
      </c>
      <c r="AM172" s="26" t="s">
        <v>50</v>
      </c>
      <c r="AN172" s="26"/>
      <c r="AO172" s="31"/>
      <c r="AP172" s="11" t="b">
        <v>0</v>
      </c>
      <c r="AQ172" s="11" t="b">
        <v>0</v>
      </c>
    </row>
    <row r="173" spans="1:43" ht="20.100000000000001" customHeight="1">
      <c r="A173" s="26" t="s">
        <v>318</v>
      </c>
      <c r="B173" t="s">
        <v>677</v>
      </c>
      <c r="C173" t="s">
        <v>556</v>
      </c>
      <c r="D173" s="41">
        <v>44907</v>
      </c>
      <c r="E173" t="s">
        <v>820</v>
      </c>
      <c r="F173" t="s">
        <v>992</v>
      </c>
      <c r="G173" t="s">
        <v>1119</v>
      </c>
      <c r="H173" s="26">
        <v>2820</v>
      </c>
      <c r="I173" s="26" t="s">
        <v>1509</v>
      </c>
      <c r="J173" s="26"/>
      <c r="K173" s="26">
        <v>37</v>
      </c>
      <c r="L173" s="39">
        <v>6.25</v>
      </c>
      <c r="M173" s="39"/>
      <c r="N173" s="44">
        <v>38</v>
      </c>
      <c r="O173" s="40">
        <v>43.3</v>
      </c>
      <c r="P173" s="26" t="s">
        <v>1167</v>
      </c>
      <c r="Q173" s="45">
        <v>4</v>
      </c>
      <c r="R173" s="26">
        <v>4</v>
      </c>
      <c r="S173" s="26"/>
      <c r="T173">
        <v>25185</v>
      </c>
      <c r="U173" s="46">
        <f>Table1[[#This Row],[FTE Annual salary rate]]/Table1[[#This Row],[Full time hours for role]]*Table1[[#This Row],[Weekly Hours ]]/52.14285*Table1[[#This Row],[EQWP/ TTO Weeks paid per year]]</f>
        <v>3532.7538623172627</v>
      </c>
      <c r="V173" s="26"/>
      <c r="W173" s="26"/>
      <c r="X173" s="26"/>
      <c r="Y173" s="31"/>
      <c r="Z173" s="26"/>
      <c r="AA173" s="11"/>
      <c r="AB173" s="11"/>
      <c r="AC173" s="11"/>
      <c r="AD173" s="11"/>
      <c r="AE173" s="11"/>
      <c r="AF173" s="26"/>
      <c r="AG173" s="26" t="s">
        <v>48</v>
      </c>
      <c r="AH173" s="11" t="b">
        <v>0</v>
      </c>
      <c r="AI173" s="26"/>
      <c r="AJ173" s="26"/>
      <c r="AK173" t="s">
        <v>54</v>
      </c>
      <c r="AL173" s="44" t="s">
        <v>1395</v>
      </c>
      <c r="AM173" s="26" t="s">
        <v>50</v>
      </c>
      <c r="AN173" s="26"/>
      <c r="AO173" s="31"/>
      <c r="AP173" s="11" t="b">
        <v>0</v>
      </c>
      <c r="AQ173" s="11" t="b">
        <v>0</v>
      </c>
    </row>
    <row r="174" spans="1:43" ht="20.100000000000001" customHeight="1">
      <c r="A174" s="26" t="s">
        <v>319</v>
      </c>
      <c r="B174" t="s">
        <v>678</v>
      </c>
      <c r="C174" t="s">
        <v>679</v>
      </c>
      <c r="D174" s="41">
        <v>44249</v>
      </c>
      <c r="E174" t="s">
        <v>820</v>
      </c>
      <c r="F174" t="s">
        <v>993</v>
      </c>
      <c r="G174" t="s">
        <v>1128</v>
      </c>
      <c r="H174" s="26">
        <v>2200</v>
      </c>
      <c r="I174" s="26" t="s">
        <v>1506</v>
      </c>
      <c r="J174" s="26"/>
      <c r="K174" s="26">
        <v>37</v>
      </c>
      <c r="L174" s="39">
        <v>28.75</v>
      </c>
      <c r="M174" s="39"/>
      <c r="N174" s="44">
        <v>38</v>
      </c>
      <c r="O174" s="40">
        <v>43.3</v>
      </c>
      <c r="P174" s="26" t="s">
        <v>1167</v>
      </c>
      <c r="Q174" s="45">
        <v>6</v>
      </c>
      <c r="R174" s="26">
        <v>6</v>
      </c>
      <c r="S174" s="26"/>
      <c r="T174">
        <v>25989</v>
      </c>
      <c r="U174" s="46">
        <f>Table1[[#This Row],[FTE Annual salary rate]]/Table1[[#This Row],[Full time hours for role]]*Table1[[#This Row],[Weekly Hours ]]/52.14285*Table1[[#This Row],[EQWP/ TTO Weeks paid per year]]</f>
        <v>16769.450251646274</v>
      </c>
      <c r="V174" s="26"/>
      <c r="W174" s="26"/>
      <c r="X174" s="26"/>
      <c r="Y174" s="31"/>
      <c r="Z174" s="26"/>
      <c r="AA174" s="11"/>
      <c r="AB174" s="11"/>
      <c r="AC174" s="11"/>
      <c r="AD174" s="11"/>
      <c r="AE174" s="11"/>
      <c r="AF174" s="26"/>
      <c r="AG174" s="26" t="s">
        <v>48</v>
      </c>
      <c r="AH174" s="11" t="b">
        <v>0</v>
      </c>
      <c r="AI174" s="26"/>
      <c r="AJ174" s="26"/>
      <c r="AK174" t="s">
        <v>54</v>
      </c>
      <c r="AL174" s="44" t="s">
        <v>1396</v>
      </c>
      <c r="AM174" s="26" t="s">
        <v>50</v>
      </c>
      <c r="AN174" s="26"/>
      <c r="AO174" s="31"/>
      <c r="AP174" s="11" t="b">
        <v>0</v>
      </c>
      <c r="AQ174" s="11" t="b">
        <v>0</v>
      </c>
    </row>
    <row r="175" spans="1:43" ht="20.100000000000001" customHeight="1">
      <c r="A175" s="26" t="s">
        <v>320</v>
      </c>
      <c r="B175" t="s">
        <v>680</v>
      </c>
      <c r="C175" t="s">
        <v>681</v>
      </c>
      <c r="D175" s="41">
        <v>45215</v>
      </c>
      <c r="E175" t="s">
        <v>820</v>
      </c>
      <c r="F175" t="s">
        <v>994</v>
      </c>
      <c r="G175" t="s">
        <v>1120</v>
      </c>
      <c r="H175" s="26">
        <v>2200</v>
      </c>
      <c r="I175" s="26" t="s">
        <v>1506</v>
      </c>
      <c r="J175" s="26"/>
      <c r="K175" s="26">
        <v>37</v>
      </c>
      <c r="L175" s="39">
        <v>28.75</v>
      </c>
      <c r="M175" s="39"/>
      <c r="N175" s="44">
        <v>38</v>
      </c>
      <c r="O175" s="40">
        <v>43.3</v>
      </c>
      <c r="P175" s="26" t="s">
        <v>1167</v>
      </c>
      <c r="Q175" s="45">
        <v>6</v>
      </c>
      <c r="R175" s="26">
        <v>6</v>
      </c>
      <c r="S175" s="26"/>
      <c r="T175">
        <v>25989</v>
      </c>
      <c r="U175" s="46">
        <f>Table1[[#This Row],[FTE Annual salary rate]]/Table1[[#This Row],[Full time hours for role]]*Table1[[#This Row],[Weekly Hours ]]/52.14285*Table1[[#This Row],[EQWP/ TTO Weeks paid per year]]</f>
        <v>16769.450251646274</v>
      </c>
      <c r="V175" s="26"/>
      <c r="W175" s="26"/>
      <c r="X175" s="26"/>
      <c r="Y175" s="31"/>
      <c r="Z175" s="26"/>
      <c r="AA175" s="11"/>
      <c r="AB175" s="11"/>
      <c r="AC175" s="11"/>
      <c r="AD175" s="11"/>
      <c r="AE175" s="11"/>
      <c r="AF175" s="26"/>
      <c r="AG175" s="26" t="s">
        <v>48</v>
      </c>
      <c r="AH175" s="11" t="b">
        <v>0</v>
      </c>
      <c r="AI175" s="26"/>
      <c r="AJ175" s="26"/>
      <c r="AK175" t="s">
        <v>54</v>
      </c>
      <c r="AL175" s="44" t="s">
        <v>1397</v>
      </c>
      <c r="AM175" s="26" t="s">
        <v>50</v>
      </c>
      <c r="AN175" s="26"/>
      <c r="AO175" s="31"/>
      <c r="AP175" s="11" t="b">
        <v>0</v>
      </c>
      <c r="AQ175" s="11" t="b">
        <v>0</v>
      </c>
    </row>
    <row r="176" spans="1:43" ht="20.100000000000001" customHeight="1">
      <c r="A176" s="26" t="s">
        <v>321</v>
      </c>
      <c r="B176" t="s">
        <v>680</v>
      </c>
      <c r="C176" t="s">
        <v>586</v>
      </c>
      <c r="D176" s="41">
        <v>41932</v>
      </c>
      <c r="E176" t="s">
        <v>820</v>
      </c>
      <c r="F176" t="s">
        <v>995</v>
      </c>
      <c r="G176" t="s">
        <v>1128</v>
      </c>
      <c r="H176" s="26">
        <v>2200</v>
      </c>
      <c r="I176" s="26" t="s">
        <v>1506</v>
      </c>
      <c r="J176" s="26"/>
      <c r="K176" s="26">
        <v>37</v>
      </c>
      <c r="L176" s="39">
        <v>27.5</v>
      </c>
      <c r="M176" s="39"/>
      <c r="N176" s="44">
        <v>38</v>
      </c>
      <c r="O176" s="40">
        <v>44.8</v>
      </c>
      <c r="P176" s="26" t="s">
        <v>1167</v>
      </c>
      <c r="Q176" s="45">
        <v>6</v>
      </c>
      <c r="R176" s="26">
        <v>6</v>
      </c>
      <c r="S176" s="26"/>
      <c r="T176">
        <v>25989</v>
      </c>
      <c r="U176" s="46">
        <f>Table1[[#This Row],[FTE Annual salary rate]]/Table1[[#This Row],[Full time hours for role]]*Table1[[#This Row],[Weekly Hours ]]/52.14285*Table1[[#This Row],[EQWP/ TTO Weeks paid per year]]</f>
        <v>16596.013824703856</v>
      </c>
      <c r="V176" s="26"/>
      <c r="W176" s="26"/>
      <c r="X176" s="26"/>
      <c r="Y176" s="31"/>
      <c r="Z176" s="26"/>
      <c r="AA176" s="11"/>
      <c r="AB176" s="11"/>
      <c r="AC176" s="11"/>
      <c r="AD176" s="11"/>
      <c r="AE176" s="11"/>
      <c r="AF176" s="26"/>
      <c r="AG176" s="26" t="s">
        <v>48</v>
      </c>
      <c r="AH176" s="11" t="b">
        <v>0</v>
      </c>
      <c r="AI176" s="26"/>
      <c r="AJ176" s="26"/>
      <c r="AK176" t="s">
        <v>54</v>
      </c>
      <c r="AL176" s="44" t="s">
        <v>1398</v>
      </c>
      <c r="AM176" s="26" t="s">
        <v>50</v>
      </c>
      <c r="AN176" s="26"/>
      <c r="AO176" s="31"/>
      <c r="AP176" s="11" t="b">
        <v>0</v>
      </c>
      <c r="AQ176" s="11" t="b">
        <v>0</v>
      </c>
    </row>
    <row r="177" spans="1:43" ht="20.100000000000001" customHeight="1">
      <c r="A177" s="26" t="s">
        <v>322</v>
      </c>
      <c r="B177" t="s">
        <v>682</v>
      </c>
      <c r="C177" t="s">
        <v>619</v>
      </c>
      <c r="D177" s="41">
        <v>45538</v>
      </c>
      <c r="E177" t="s">
        <v>820</v>
      </c>
      <c r="F177" t="s">
        <v>996</v>
      </c>
      <c r="G177" t="s">
        <v>1119</v>
      </c>
      <c r="H177" s="26">
        <v>2820</v>
      </c>
      <c r="I177" s="26" t="s">
        <v>1509</v>
      </c>
      <c r="J177" s="26"/>
      <c r="K177" s="26">
        <v>37</v>
      </c>
      <c r="L177" s="39">
        <v>5.41</v>
      </c>
      <c r="M177" s="39"/>
      <c r="N177" s="44">
        <v>38</v>
      </c>
      <c r="O177" s="40">
        <v>43.3</v>
      </c>
      <c r="P177" s="26" t="s">
        <v>1167</v>
      </c>
      <c r="Q177" s="45">
        <v>4</v>
      </c>
      <c r="R177" s="26">
        <v>4</v>
      </c>
      <c r="S177" s="26"/>
      <c r="T177">
        <v>25185</v>
      </c>
      <c r="U177" s="46">
        <f>Table1[[#This Row],[FTE Annual salary rate]]/Table1[[#This Row],[Full time hours for role]]*Table1[[#This Row],[Weekly Hours ]]/52.14285*Table1[[#This Row],[EQWP/ TTO Weeks paid per year]]</f>
        <v>3057.9517432218227</v>
      </c>
      <c r="V177" s="26"/>
      <c r="W177" s="26"/>
      <c r="X177" s="26"/>
      <c r="Y177" s="31"/>
      <c r="Z177" s="26"/>
      <c r="AA177" s="11"/>
      <c r="AB177" s="11"/>
      <c r="AC177" s="11"/>
      <c r="AD177" s="11"/>
      <c r="AE177" s="11"/>
      <c r="AF177" s="26"/>
      <c r="AG177" s="26" t="s">
        <v>48</v>
      </c>
      <c r="AH177" s="11" t="b">
        <v>0</v>
      </c>
      <c r="AI177" s="26"/>
      <c r="AJ177" s="26"/>
      <c r="AK177" t="s">
        <v>54</v>
      </c>
      <c r="AL177" s="44" t="s">
        <v>1399</v>
      </c>
      <c r="AM177" s="26" t="s">
        <v>50</v>
      </c>
      <c r="AN177" s="26"/>
      <c r="AO177" s="31"/>
      <c r="AP177" s="11" t="b">
        <v>0</v>
      </c>
      <c r="AQ177" s="11" t="b">
        <v>0</v>
      </c>
    </row>
    <row r="178" spans="1:43" ht="20.100000000000001" customHeight="1">
      <c r="A178" s="26" t="s">
        <v>322</v>
      </c>
      <c r="B178" t="s">
        <v>682</v>
      </c>
      <c r="C178" t="s">
        <v>619</v>
      </c>
      <c r="D178" s="41">
        <v>45538</v>
      </c>
      <c r="E178" t="s">
        <v>820</v>
      </c>
      <c r="F178" t="s">
        <v>997</v>
      </c>
      <c r="G178" t="s">
        <v>1127</v>
      </c>
      <c r="H178" s="26">
        <v>2300</v>
      </c>
      <c r="I178" s="26" t="s">
        <v>1512</v>
      </c>
      <c r="J178" s="26"/>
      <c r="K178" s="26">
        <v>37</v>
      </c>
      <c r="L178" s="39">
        <v>12.5</v>
      </c>
      <c r="M178" s="39"/>
      <c r="N178" s="44">
        <v>41.4</v>
      </c>
      <c r="O178" s="40">
        <v>46.4</v>
      </c>
      <c r="P178" s="26" t="s">
        <v>1162</v>
      </c>
      <c r="Q178" s="45">
        <v>1</v>
      </c>
      <c r="R178" s="26">
        <v>1</v>
      </c>
      <c r="S178" s="26"/>
      <c r="T178">
        <v>23557</v>
      </c>
      <c r="U178" s="46">
        <f>Table1[[#This Row],[FTE Annual salary rate]]/Table1[[#This Row],[Full time hours for role]]*Table1[[#This Row],[Weekly Hours ]]/52.14285*Table1[[#This Row],[EQWP/ TTO Weeks paid per year]]</f>
        <v>7081.9276639441805</v>
      </c>
      <c r="V178" s="26"/>
      <c r="W178" s="26"/>
      <c r="X178" s="26"/>
      <c r="Y178" s="31"/>
      <c r="Z178" s="26"/>
      <c r="AA178" s="11"/>
      <c r="AB178" s="11"/>
      <c r="AC178" s="11"/>
      <c r="AD178" s="11"/>
      <c r="AE178" s="11"/>
      <c r="AF178" s="26"/>
      <c r="AG178" s="26" t="s">
        <v>48</v>
      </c>
      <c r="AH178" s="11" t="b">
        <v>0</v>
      </c>
      <c r="AI178" s="26"/>
      <c r="AJ178" s="26"/>
      <c r="AK178" t="s">
        <v>54</v>
      </c>
      <c r="AL178" s="44" t="s">
        <v>1399</v>
      </c>
      <c r="AM178" s="26" t="s">
        <v>50</v>
      </c>
      <c r="AN178" s="26"/>
      <c r="AO178" s="31"/>
      <c r="AP178" s="11" t="b">
        <v>0</v>
      </c>
      <c r="AQ178" s="11" t="b">
        <v>0</v>
      </c>
    </row>
    <row r="179" spans="1:43" ht="20.100000000000001" customHeight="1">
      <c r="A179" s="26" t="s">
        <v>322</v>
      </c>
      <c r="B179" t="s">
        <v>682</v>
      </c>
      <c r="C179" t="s">
        <v>619</v>
      </c>
      <c r="D179" s="41">
        <v>45538</v>
      </c>
      <c r="E179" t="s">
        <v>820</v>
      </c>
      <c r="F179" t="s">
        <v>998</v>
      </c>
      <c r="G179" t="s">
        <v>1119</v>
      </c>
      <c r="H179" s="26">
        <v>2820</v>
      </c>
      <c r="I179" s="26" t="s">
        <v>1509</v>
      </c>
      <c r="J179" s="26"/>
      <c r="K179" s="26">
        <v>37</v>
      </c>
      <c r="L179" s="39">
        <v>6.25</v>
      </c>
      <c r="M179" s="39"/>
      <c r="N179" s="44">
        <v>38</v>
      </c>
      <c r="O179" s="40">
        <v>43.3</v>
      </c>
      <c r="P179" s="26" t="s">
        <v>1167</v>
      </c>
      <c r="Q179" s="45">
        <v>4</v>
      </c>
      <c r="R179" s="26">
        <v>4</v>
      </c>
      <c r="S179" s="26"/>
      <c r="T179">
        <v>25185</v>
      </c>
      <c r="U179" s="46">
        <f>Table1[[#This Row],[FTE Annual salary rate]]/Table1[[#This Row],[Full time hours for role]]*Table1[[#This Row],[Weekly Hours ]]/52.14285*Table1[[#This Row],[EQWP/ TTO Weeks paid per year]]</f>
        <v>3532.7538623172627</v>
      </c>
      <c r="V179" s="26"/>
      <c r="W179" s="26"/>
      <c r="X179" s="26"/>
      <c r="Y179" s="31"/>
      <c r="Z179" s="26"/>
      <c r="AA179" s="11"/>
      <c r="AB179" s="11"/>
      <c r="AC179" s="11"/>
      <c r="AD179" s="11"/>
      <c r="AE179" s="11"/>
      <c r="AF179" s="26"/>
      <c r="AG179" s="26" t="s">
        <v>48</v>
      </c>
      <c r="AH179" s="11" t="b">
        <v>0</v>
      </c>
      <c r="AI179" s="26"/>
      <c r="AJ179" s="26"/>
      <c r="AK179" t="s">
        <v>54</v>
      </c>
      <c r="AL179" s="44" t="s">
        <v>1399</v>
      </c>
      <c r="AM179" s="26" t="s">
        <v>50</v>
      </c>
      <c r="AN179" s="26"/>
      <c r="AO179" s="31"/>
      <c r="AP179" s="11" t="b">
        <v>0</v>
      </c>
      <c r="AQ179" s="11" t="b">
        <v>0</v>
      </c>
    </row>
    <row r="180" spans="1:43" ht="20.100000000000001" customHeight="1">
      <c r="A180" s="26" t="s">
        <v>323</v>
      </c>
      <c r="B180" t="s">
        <v>683</v>
      </c>
      <c r="C180" t="s">
        <v>684</v>
      </c>
      <c r="D180" s="41">
        <v>40057</v>
      </c>
      <c r="E180" t="s">
        <v>821</v>
      </c>
      <c r="F180" t="s">
        <v>999</v>
      </c>
      <c r="G180" t="s">
        <v>1140</v>
      </c>
      <c r="H180" s="26">
        <v>2200</v>
      </c>
      <c r="I180" s="26" t="s">
        <v>1506</v>
      </c>
      <c r="J180" s="26"/>
      <c r="K180" s="26">
        <v>37</v>
      </c>
      <c r="L180" s="39">
        <v>37</v>
      </c>
      <c r="M180" s="39"/>
      <c r="N180" s="44">
        <v>38</v>
      </c>
      <c r="O180" s="40">
        <v>44.8</v>
      </c>
      <c r="P180" s="26" t="s">
        <v>1167</v>
      </c>
      <c r="Q180" s="45">
        <v>17</v>
      </c>
      <c r="R180" s="26">
        <v>17</v>
      </c>
      <c r="S180" s="26"/>
      <c r="T180">
        <v>31022</v>
      </c>
      <c r="U180" s="46">
        <f>Table1[[#This Row],[FTE Annual salary rate]]/Table1[[#This Row],[Full time hours for role]]*Table1[[#This Row],[Weekly Hours ]]/52.14285*Table1[[#This Row],[EQWP/ TTO Weeks paid per year]]</f>
        <v>26653.426116907685</v>
      </c>
      <c r="V180" s="26"/>
      <c r="W180" s="26"/>
      <c r="X180" s="26"/>
      <c r="Y180" s="31"/>
      <c r="Z180" s="26"/>
      <c r="AA180" s="11"/>
      <c r="AB180" s="11"/>
      <c r="AC180" s="11"/>
      <c r="AD180" s="11"/>
      <c r="AE180" s="11"/>
      <c r="AF180" s="26"/>
      <c r="AG180" s="26" t="s">
        <v>48</v>
      </c>
      <c r="AH180" s="11" t="b">
        <v>0</v>
      </c>
      <c r="AI180" s="26"/>
      <c r="AJ180" s="26"/>
      <c r="AK180" t="s">
        <v>54</v>
      </c>
      <c r="AL180" s="44" t="s">
        <v>1400</v>
      </c>
      <c r="AM180" s="26" t="s">
        <v>50</v>
      </c>
      <c r="AN180" s="26"/>
      <c r="AO180" s="31"/>
      <c r="AP180" s="11" t="b">
        <v>0</v>
      </c>
      <c r="AQ180" s="11" t="b">
        <v>0</v>
      </c>
    </row>
    <row r="181" spans="1:43" ht="20.100000000000001" customHeight="1">
      <c r="A181" s="26" t="s">
        <v>324</v>
      </c>
      <c r="B181" t="s">
        <v>685</v>
      </c>
      <c r="C181" t="s">
        <v>496</v>
      </c>
      <c r="D181" s="41">
        <v>42807</v>
      </c>
      <c r="E181" t="s">
        <v>819</v>
      </c>
      <c r="F181" t="s">
        <v>1000</v>
      </c>
      <c r="G181" t="s">
        <v>1117</v>
      </c>
      <c r="H181" s="26">
        <v>2700</v>
      </c>
      <c r="I181" s="26" t="s">
        <v>1508</v>
      </c>
      <c r="J181" s="26"/>
      <c r="K181" s="26">
        <v>37</v>
      </c>
      <c r="L181" s="39">
        <v>6.25</v>
      </c>
      <c r="M181" s="39"/>
      <c r="N181" s="44">
        <v>38</v>
      </c>
      <c r="O181" s="40">
        <v>44.2</v>
      </c>
      <c r="P181" s="26" t="s">
        <v>1167</v>
      </c>
      <c r="Q181" s="45">
        <v>4</v>
      </c>
      <c r="R181" s="26">
        <v>4</v>
      </c>
      <c r="S181" s="26"/>
      <c r="T181">
        <v>25185</v>
      </c>
      <c r="U181" s="46">
        <f>Table1[[#This Row],[FTE Annual salary rate]]/Table1[[#This Row],[Full time hours for role]]*Table1[[#This Row],[Weekly Hours ]]/52.14285*Table1[[#This Row],[EQWP/ TTO Weeks paid per year]]</f>
        <v>3606.1829264300932</v>
      </c>
      <c r="V181" s="26"/>
      <c r="W181" s="26"/>
      <c r="X181" s="26"/>
      <c r="Y181" s="31"/>
      <c r="Z181" s="26"/>
      <c r="AA181" s="11"/>
      <c r="AB181" s="11"/>
      <c r="AC181" s="11"/>
      <c r="AD181" s="11"/>
      <c r="AE181" s="11"/>
      <c r="AF181" s="26"/>
      <c r="AG181" s="26" t="s">
        <v>48</v>
      </c>
      <c r="AH181" s="11" t="b">
        <v>0</v>
      </c>
      <c r="AI181" s="26"/>
      <c r="AJ181" s="26"/>
      <c r="AK181" t="s">
        <v>54</v>
      </c>
      <c r="AL181" s="44" t="s">
        <v>1401</v>
      </c>
      <c r="AM181" s="26" t="s">
        <v>50</v>
      </c>
      <c r="AN181" s="26"/>
      <c r="AO181" s="31"/>
      <c r="AP181" s="11" t="b">
        <v>0</v>
      </c>
      <c r="AQ181" s="11" t="b">
        <v>0</v>
      </c>
    </row>
    <row r="182" spans="1:43" ht="20.100000000000001" customHeight="1">
      <c r="A182" s="26" t="s">
        <v>324</v>
      </c>
      <c r="B182" t="s">
        <v>685</v>
      </c>
      <c r="C182" t="s">
        <v>496</v>
      </c>
      <c r="D182" s="41">
        <v>42807</v>
      </c>
      <c r="E182" t="s">
        <v>819</v>
      </c>
      <c r="F182" t="s">
        <v>1001</v>
      </c>
      <c r="G182" t="s">
        <v>1120</v>
      </c>
      <c r="H182" s="26">
        <v>2200</v>
      </c>
      <c r="I182" s="26" t="s">
        <v>1506</v>
      </c>
      <c r="J182" s="26"/>
      <c r="K182" s="26">
        <v>37</v>
      </c>
      <c r="L182" s="39">
        <v>28.33</v>
      </c>
      <c r="M182" s="39"/>
      <c r="N182" s="44">
        <v>38</v>
      </c>
      <c r="O182" s="40">
        <v>44.2</v>
      </c>
      <c r="P182" s="26" t="s">
        <v>1167</v>
      </c>
      <c r="Q182" s="45">
        <v>6</v>
      </c>
      <c r="R182" s="26">
        <v>6</v>
      </c>
      <c r="S182" s="26"/>
      <c r="T182">
        <v>25989</v>
      </c>
      <c r="U182" s="46">
        <f>Table1[[#This Row],[FTE Annual salary rate]]/Table1[[#This Row],[Full time hours for role]]*Table1[[#This Row],[Weekly Hours ]]/52.14285*Table1[[#This Row],[EQWP/ TTO Weeks paid per year]]</f>
        <v>16867.935200568689</v>
      </c>
      <c r="V182" s="26"/>
      <c r="W182" s="26"/>
      <c r="X182" s="26"/>
      <c r="Y182" s="31"/>
      <c r="Z182" s="26"/>
      <c r="AA182" s="11"/>
      <c r="AB182" s="11"/>
      <c r="AC182" s="11"/>
      <c r="AD182" s="11"/>
      <c r="AE182" s="11"/>
      <c r="AF182" s="26"/>
      <c r="AG182" s="26" t="s">
        <v>48</v>
      </c>
      <c r="AH182" s="11" t="b">
        <v>0</v>
      </c>
      <c r="AI182" s="26"/>
      <c r="AJ182" s="26"/>
      <c r="AK182" t="s">
        <v>54</v>
      </c>
      <c r="AL182" s="44" t="s">
        <v>1401</v>
      </c>
      <c r="AM182" s="26" t="s">
        <v>50</v>
      </c>
      <c r="AN182" s="26"/>
      <c r="AO182" s="31"/>
      <c r="AP182" s="11" t="b">
        <v>0</v>
      </c>
      <c r="AQ182" s="11" t="b">
        <v>0</v>
      </c>
    </row>
    <row r="183" spans="1:43" ht="20.100000000000001" customHeight="1">
      <c r="A183" s="26" t="s">
        <v>325</v>
      </c>
      <c r="B183" t="s">
        <v>686</v>
      </c>
      <c r="C183" t="s">
        <v>518</v>
      </c>
      <c r="D183" s="41">
        <v>45628</v>
      </c>
      <c r="E183" t="s">
        <v>823</v>
      </c>
      <c r="F183" t="s">
        <v>1002</v>
      </c>
      <c r="G183" t="s">
        <v>1116</v>
      </c>
      <c r="H183" s="26">
        <v>2200</v>
      </c>
      <c r="I183" s="26" t="s">
        <v>1506</v>
      </c>
      <c r="J183" s="26"/>
      <c r="K183" s="26">
        <v>37</v>
      </c>
      <c r="L183" s="39">
        <v>31.5</v>
      </c>
      <c r="M183" s="39"/>
      <c r="N183" s="44">
        <v>38</v>
      </c>
      <c r="O183" s="40">
        <v>43.3</v>
      </c>
      <c r="P183" s="26" t="s">
        <v>1167</v>
      </c>
      <c r="Q183" s="45">
        <v>13</v>
      </c>
      <c r="R183" s="26">
        <v>17</v>
      </c>
      <c r="S183" s="26"/>
      <c r="T183">
        <v>29065</v>
      </c>
      <c r="U183" s="46">
        <f>Table1[[#This Row],[FTE Annual salary rate]]/Table1[[#This Row],[Full time hours for role]]*Table1[[#This Row],[Weekly Hours ]]/52.14285*Table1[[#This Row],[EQWP/ TTO Weeks paid per year]]</f>
        <v>20548.12923095439</v>
      </c>
      <c r="V183" s="26"/>
      <c r="W183" s="26"/>
      <c r="X183" s="26"/>
      <c r="Y183" s="31"/>
      <c r="Z183" s="26"/>
      <c r="AA183" s="11"/>
      <c r="AB183" s="11"/>
      <c r="AC183" s="11"/>
      <c r="AD183" s="11"/>
      <c r="AE183" s="11"/>
      <c r="AF183" s="26"/>
      <c r="AG183" s="26" t="s">
        <v>48</v>
      </c>
      <c r="AH183" s="11" t="b">
        <v>0</v>
      </c>
      <c r="AI183" s="26"/>
      <c r="AJ183" s="26"/>
      <c r="AK183" t="s">
        <v>54</v>
      </c>
      <c r="AL183" s="44" t="s">
        <v>1402</v>
      </c>
      <c r="AM183" s="26" t="s">
        <v>50</v>
      </c>
      <c r="AN183" s="26"/>
      <c r="AO183" s="31"/>
      <c r="AP183" s="11" t="b">
        <v>0</v>
      </c>
      <c r="AQ183" s="11" t="b">
        <v>0</v>
      </c>
    </row>
    <row r="184" spans="1:43" ht="20.100000000000001" customHeight="1">
      <c r="A184" s="26" t="s">
        <v>326</v>
      </c>
      <c r="B184" t="s">
        <v>687</v>
      </c>
      <c r="C184" t="s">
        <v>688</v>
      </c>
      <c r="D184" s="41">
        <v>45446</v>
      </c>
      <c r="E184" t="s">
        <v>822</v>
      </c>
      <c r="F184" t="s">
        <v>1003</v>
      </c>
      <c r="G184" t="s">
        <v>1128</v>
      </c>
      <c r="H184" s="26">
        <v>2200</v>
      </c>
      <c r="I184" s="26" t="s">
        <v>1506</v>
      </c>
      <c r="J184" s="26"/>
      <c r="K184" s="26">
        <v>37</v>
      </c>
      <c r="L184" s="39">
        <v>30</v>
      </c>
      <c r="M184" s="39"/>
      <c r="N184" s="44">
        <v>38</v>
      </c>
      <c r="O184" s="40">
        <v>43.3</v>
      </c>
      <c r="P184" s="26" t="s">
        <v>1167</v>
      </c>
      <c r="Q184" s="45">
        <v>6</v>
      </c>
      <c r="R184" s="26">
        <v>6</v>
      </c>
      <c r="S184" s="26"/>
      <c r="T184">
        <v>25989</v>
      </c>
      <c r="U184" s="46">
        <f>Table1[[#This Row],[FTE Annual salary rate]]/Table1[[#This Row],[Full time hours for role]]*Table1[[#This Row],[Weekly Hours ]]/52.14285*Table1[[#This Row],[EQWP/ TTO Weeks paid per year]]</f>
        <v>17498.556784326549</v>
      </c>
      <c r="V184" s="26"/>
      <c r="W184" s="26"/>
      <c r="X184" s="26"/>
      <c r="Y184" s="31"/>
      <c r="Z184" s="26"/>
      <c r="AA184" s="11"/>
      <c r="AB184" s="11"/>
      <c r="AC184" s="11"/>
      <c r="AD184" s="11"/>
      <c r="AE184" s="11"/>
      <c r="AF184" s="26"/>
      <c r="AG184" s="26" t="s">
        <v>48</v>
      </c>
      <c r="AH184" s="11" t="b">
        <v>0</v>
      </c>
      <c r="AI184" s="26"/>
      <c r="AJ184" s="26"/>
      <c r="AK184" t="s">
        <v>54</v>
      </c>
      <c r="AL184" s="44" t="s">
        <v>1403</v>
      </c>
      <c r="AM184" s="26" t="s">
        <v>50</v>
      </c>
      <c r="AN184" s="26"/>
      <c r="AO184" s="31"/>
      <c r="AP184" s="11" t="b">
        <v>0</v>
      </c>
      <c r="AQ184" s="11" t="b">
        <v>0</v>
      </c>
    </row>
    <row r="185" spans="1:43" ht="20.100000000000001" customHeight="1">
      <c r="A185" s="26" t="s">
        <v>327</v>
      </c>
      <c r="B185" t="s">
        <v>689</v>
      </c>
      <c r="C185" t="s">
        <v>690</v>
      </c>
      <c r="D185" s="41">
        <v>45712</v>
      </c>
      <c r="E185" t="s">
        <v>822</v>
      </c>
      <c r="F185" t="s">
        <v>1004</v>
      </c>
      <c r="G185" t="s">
        <v>1125</v>
      </c>
      <c r="H185" s="26">
        <v>2000</v>
      </c>
      <c r="I185" s="26" t="s">
        <v>1507</v>
      </c>
      <c r="J185" s="26"/>
      <c r="K185" s="26">
        <v>32.43</v>
      </c>
      <c r="L185" s="39">
        <v>32.43</v>
      </c>
      <c r="M185" s="39"/>
      <c r="N185" s="44" t="s">
        <v>1115</v>
      </c>
      <c r="O185" s="40" t="s">
        <v>1115</v>
      </c>
      <c r="P185" s="26" t="s">
        <v>1160</v>
      </c>
      <c r="Q185" s="45">
        <v>2</v>
      </c>
      <c r="R185" s="26" t="s">
        <v>51</v>
      </c>
      <c r="S185" s="26"/>
      <c r="T185">
        <v>34823</v>
      </c>
      <c r="U185" s="46">
        <v>34823</v>
      </c>
      <c r="V185" s="26"/>
      <c r="W185" s="26"/>
      <c r="X185" s="26"/>
      <c r="Y185" s="31"/>
      <c r="Z185" s="26"/>
      <c r="AA185" s="11"/>
      <c r="AB185" s="11"/>
      <c r="AC185" s="11"/>
      <c r="AD185" s="11"/>
      <c r="AE185" s="11"/>
      <c r="AF185" s="26"/>
      <c r="AG185" s="11" t="s">
        <v>53</v>
      </c>
      <c r="AH185" s="11" t="b">
        <v>0</v>
      </c>
      <c r="AI185" s="26"/>
      <c r="AJ185" s="26"/>
      <c r="AK185" t="s">
        <v>49</v>
      </c>
      <c r="AL185" s="44" t="s">
        <v>1404</v>
      </c>
      <c r="AM185" s="26" t="s">
        <v>50</v>
      </c>
      <c r="AN185" s="26"/>
      <c r="AO185" s="31"/>
      <c r="AP185" s="11" t="b">
        <v>0</v>
      </c>
      <c r="AQ185" s="11" t="b">
        <v>0</v>
      </c>
    </row>
    <row r="186" spans="1:43" ht="20.100000000000001" customHeight="1">
      <c r="A186" s="26" t="s">
        <v>328</v>
      </c>
      <c r="B186" t="s">
        <v>691</v>
      </c>
      <c r="C186" t="s">
        <v>473</v>
      </c>
      <c r="D186" s="41">
        <v>45170</v>
      </c>
      <c r="E186" t="s">
        <v>820</v>
      </c>
      <c r="F186" t="s">
        <v>1005</v>
      </c>
      <c r="G186" t="s">
        <v>1128</v>
      </c>
      <c r="H186" s="26">
        <v>2200</v>
      </c>
      <c r="I186" s="26" t="s">
        <v>1506</v>
      </c>
      <c r="J186" s="26"/>
      <c r="K186" s="26">
        <v>37</v>
      </c>
      <c r="L186" s="39">
        <v>17.5</v>
      </c>
      <c r="M186" s="39"/>
      <c r="N186" s="44">
        <v>38</v>
      </c>
      <c r="O186" s="40">
        <v>43.3</v>
      </c>
      <c r="P186" s="26" t="s">
        <v>1167</v>
      </c>
      <c r="Q186" s="45">
        <v>6</v>
      </c>
      <c r="R186" s="26">
        <v>6</v>
      </c>
      <c r="S186" s="26"/>
      <c r="T186">
        <v>25989</v>
      </c>
      <c r="U186" s="46">
        <f>Table1[[#This Row],[FTE Annual salary rate]]/Table1[[#This Row],[Full time hours for role]]*Table1[[#This Row],[Weekly Hours ]]/52.14285*Table1[[#This Row],[EQWP/ TTO Weeks paid per year]]</f>
        <v>10207.49145752382</v>
      </c>
      <c r="V186" s="26"/>
      <c r="W186" s="26"/>
      <c r="X186" s="26"/>
      <c r="Y186" s="31"/>
      <c r="Z186" s="26"/>
      <c r="AA186" s="11"/>
      <c r="AB186" s="11"/>
      <c r="AC186" s="11"/>
      <c r="AD186" s="11"/>
      <c r="AE186" s="11"/>
      <c r="AF186" s="26"/>
      <c r="AG186" s="26" t="s">
        <v>48</v>
      </c>
      <c r="AH186" s="11" t="b">
        <v>0</v>
      </c>
      <c r="AI186" s="26"/>
      <c r="AJ186" s="26"/>
      <c r="AK186" t="s">
        <v>54</v>
      </c>
      <c r="AL186" s="44" t="s">
        <v>1405</v>
      </c>
      <c r="AM186" s="26" t="s">
        <v>50</v>
      </c>
      <c r="AN186" s="26"/>
      <c r="AO186" s="31"/>
      <c r="AP186" s="11" t="b">
        <v>0</v>
      </c>
      <c r="AQ186" s="11" t="b">
        <v>0</v>
      </c>
    </row>
    <row r="187" spans="1:43" ht="20.100000000000001" customHeight="1">
      <c r="A187" s="26" t="s">
        <v>329</v>
      </c>
      <c r="B187" t="s">
        <v>692</v>
      </c>
      <c r="C187" t="s">
        <v>503</v>
      </c>
      <c r="D187" s="41">
        <v>41932</v>
      </c>
      <c r="E187" t="s">
        <v>820</v>
      </c>
      <c r="F187" t="s">
        <v>1006</v>
      </c>
      <c r="G187" t="s">
        <v>1120</v>
      </c>
      <c r="H187" s="26">
        <v>2200</v>
      </c>
      <c r="I187" s="26" t="s">
        <v>1506</v>
      </c>
      <c r="J187" s="26"/>
      <c r="K187" s="26">
        <v>37</v>
      </c>
      <c r="L187" s="39">
        <v>31.25</v>
      </c>
      <c r="M187" s="39"/>
      <c r="N187" s="44">
        <v>38</v>
      </c>
      <c r="O187" s="40">
        <v>44.8</v>
      </c>
      <c r="P187" s="26" t="s">
        <v>1167</v>
      </c>
      <c r="Q187" s="45">
        <v>6</v>
      </c>
      <c r="R187" s="26">
        <v>6</v>
      </c>
      <c r="S187" s="26"/>
      <c r="T187">
        <v>25989</v>
      </c>
      <c r="U187" s="46">
        <f>Table1[[#This Row],[FTE Annual salary rate]]/Table1[[#This Row],[Full time hours for role]]*Table1[[#This Row],[Weekly Hours ]]/52.14285*Table1[[#This Row],[EQWP/ TTO Weeks paid per year]]</f>
        <v>18859.106618981652</v>
      </c>
      <c r="V187" s="26"/>
      <c r="W187" s="26"/>
      <c r="X187" s="26"/>
      <c r="Y187" s="31"/>
      <c r="Z187" s="26"/>
      <c r="AA187" s="11"/>
      <c r="AB187" s="11"/>
      <c r="AC187" s="11"/>
      <c r="AD187" s="11"/>
      <c r="AE187" s="11"/>
      <c r="AF187" s="26"/>
      <c r="AG187" s="26" t="s">
        <v>48</v>
      </c>
      <c r="AH187" s="11" t="b">
        <v>0</v>
      </c>
      <c r="AI187" s="26"/>
      <c r="AJ187" s="26"/>
      <c r="AK187" t="s">
        <v>54</v>
      </c>
      <c r="AL187" s="44" t="s">
        <v>1406</v>
      </c>
      <c r="AM187" s="26" t="s">
        <v>50</v>
      </c>
      <c r="AN187" s="26"/>
      <c r="AO187" s="31"/>
      <c r="AP187" s="11" t="b">
        <v>0</v>
      </c>
      <c r="AQ187" s="11" t="b">
        <v>0</v>
      </c>
    </row>
    <row r="188" spans="1:43" ht="20.100000000000001" customHeight="1">
      <c r="A188" s="26" t="s">
        <v>330</v>
      </c>
      <c r="B188" t="s">
        <v>693</v>
      </c>
      <c r="C188" t="s">
        <v>550</v>
      </c>
      <c r="D188" s="41">
        <v>45971</v>
      </c>
      <c r="E188" t="s">
        <v>823</v>
      </c>
      <c r="F188" t="s">
        <v>1007</v>
      </c>
      <c r="G188" t="s">
        <v>1174</v>
      </c>
      <c r="H188" s="26">
        <v>2200</v>
      </c>
      <c r="I188" s="26" t="s">
        <v>1506</v>
      </c>
      <c r="J188" s="26"/>
      <c r="K188" s="26">
        <v>37</v>
      </c>
      <c r="L188" s="39">
        <v>30</v>
      </c>
      <c r="M188" s="39"/>
      <c r="N188" s="44">
        <v>38</v>
      </c>
      <c r="O188" s="40">
        <v>43.3</v>
      </c>
      <c r="P188" s="26" t="s">
        <v>1167</v>
      </c>
      <c r="Q188" s="45">
        <v>7</v>
      </c>
      <c r="R188" s="26">
        <v>9</v>
      </c>
      <c r="S188" s="26"/>
      <c r="T188">
        <v>26403</v>
      </c>
      <c r="U188" s="46">
        <f>Table1[[#This Row],[FTE Annual salary rate]]/Table1[[#This Row],[Full time hours for role]]*Table1[[#This Row],[Weekly Hours ]]/52.14285*Table1[[#This Row],[EQWP/ TTO Weeks paid per year]]</f>
        <v>17777.305582229936</v>
      </c>
      <c r="V188" s="26"/>
      <c r="W188" s="26"/>
      <c r="X188" s="26"/>
      <c r="Y188" s="31"/>
      <c r="Z188" s="26"/>
      <c r="AA188" s="11"/>
      <c r="AB188" s="11"/>
      <c r="AC188" s="11"/>
      <c r="AD188" s="11"/>
      <c r="AE188" s="11"/>
      <c r="AF188" s="26"/>
      <c r="AG188" s="26" t="s">
        <v>48</v>
      </c>
      <c r="AH188" s="11" t="b">
        <v>0</v>
      </c>
      <c r="AI188" s="26"/>
      <c r="AJ188" s="26"/>
      <c r="AK188" t="s">
        <v>54</v>
      </c>
      <c r="AL188" s="44" t="s">
        <v>1407</v>
      </c>
      <c r="AM188" s="26" t="s">
        <v>50</v>
      </c>
      <c r="AN188" s="26"/>
      <c r="AO188" s="31"/>
      <c r="AP188" s="11" t="b">
        <v>0</v>
      </c>
      <c r="AQ188" s="11" t="b">
        <v>0</v>
      </c>
    </row>
    <row r="189" spans="1:43" ht="20.100000000000001" customHeight="1">
      <c r="A189" s="26" t="s">
        <v>331</v>
      </c>
      <c r="B189" t="s">
        <v>694</v>
      </c>
      <c r="C189" t="s">
        <v>540</v>
      </c>
      <c r="D189" s="41">
        <v>43466</v>
      </c>
      <c r="E189" t="s">
        <v>820</v>
      </c>
      <c r="F189" t="s">
        <v>1008</v>
      </c>
      <c r="G189" t="s">
        <v>1128</v>
      </c>
      <c r="H189" s="26">
        <v>2200</v>
      </c>
      <c r="I189" s="26" t="s">
        <v>1506</v>
      </c>
      <c r="J189" s="26"/>
      <c r="K189" s="26">
        <v>37</v>
      </c>
      <c r="L189" s="39">
        <v>27.5</v>
      </c>
      <c r="M189" s="39"/>
      <c r="N189" s="44">
        <v>38</v>
      </c>
      <c r="O189" s="40">
        <v>44.2</v>
      </c>
      <c r="P189" s="26" t="s">
        <v>1167</v>
      </c>
      <c r="Q189" s="45">
        <v>6</v>
      </c>
      <c r="R189" s="26">
        <v>6</v>
      </c>
      <c r="S189" s="26"/>
      <c r="T189">
        <v>25989</v>
      </c>
      <c r="U189" s="46">
        <f>Table1[[#This Row],[FTE Annual salary rate]]/Table1[[#This Row],[Full time hours for role]]*Table1[[#This Row],[Weekly Hours ]]/52.14285*Table1[[#This Row],[EQWP/ TTO Weeks paid per year]]</f>
        <v>16373.745782408716</v>
      </c>
      <c r="V189" s="26"/>
      <c r="W189" s="26"/>
      <c r="X189" s="26"/>
      <c r="Y189" s="31"/>
      <c r="Z189" s="26"/>
      <c r="AA189" s="11"/>
      <c r="AB189" s="11"/>
      <c r="AC189" s="11"/>
      <c r="AD189" s="11"/>
      <c r="AE189" s="11"/>
      <c r="AF189" s="26"/>
      <c r="AG189" s="26" t="s">
        <v>48</v>
      </c>
      <c r="AH189" s="11" t="b">
        <v>0</v>
      </c>
      <c r="AI189" s="26"/>
      <c r="AJ189" s="26"/>
      <c r="AK189" t="s">
        <v>54</v>
      </c>
      <c r="AL189" s="44" t="s">
        <v>1408</v>
      </c>
      <c r="AM189" s="26" t="s">
        <v>50</v>
      </c>
      <c r="AN189" s="26"/>
      <c r="AO189" s="31"/>
      <c r="AP189" s="11" t="b">
        <v>0</v>
      </c>
      <c r="AQ189" s="11" t="b">
        <v>0</v>
      </c>
    </row>
    <row r="190" spans="1:43" ht="20.100000000000001" customHeight="1">
      <c r="A190" s="26" t="s">
        <v>332</v>
      </c>
      <c r="B190" t="s">
        <v>695</v>
      </c>
      <c r="C190" t="s">
        <v>696</v>
      </c>
      <c r="D190" s="41">
        <v>45901</v>
      </c>
      <c r="E190" t="s">
        <v>819</v>
      </c>
      <c r="F190" t="s">
        <v>1009</v>
      </c>
      <c r="G190" t="s">
        <v>1125</v>
      </c>
      <c r="H190" s="26">
        <v>2000</v>
      </c>
      <c r="I190" s="26" t="s">
        <v>1507</v>
      </c>
      <c r="J190" s="26"/>
      <c r="K190" s="26">
        <v>32.43</v>
      </c>
      <c r="L190" s="39">
        <v>32.43</v>
      </c>
      <c r="M190" s="39"/>
      <c r="N190" s="44" t="s">
        <v>1115</v>
      </c>
      <c r="O190" s="40" t="s">
        <v>1115</v>
      </c>
      <c r="P190" s="26" t="s">
        <v>1160</v>
      </c>
      <c r="Q190" s="45">
        <v>1</v>
      </c>
      <c r="R190" s="26" t="s">
        <v>51</v>
      </c>
      <c r="S190" s="26"/>
      <c r="T190">
        <v>32916</v>
      </c>
      <c r="U190" s="46">
        <v>32916</v>
      </c>
      <c r="V190" s="26"/>
      <c r="W190" s="26"/>
      <c r="X190" s="26"/>
      <c r="Y190" s="31"/>
      <c r="Z190" s="26"/>
      <c r="AA190" s="11"/>
      <c r="AB190" s="11"/>
      <c r="AC190" s="11"/>
      <c r="AD190" s="11"/>
      <c r="AE190" s="11"/>
      <c r="AF190" s="26"/>
      <c r="AG190" s="11" t="s">
        <v>53</v>
      </c>
      <c r="AH190" s="11" t="b">
        <v>0</v>
      </c>
      <c r="AI190" s="26"/>
      <c r="AJ190" s="26"/>
      <c r="AK190" t="s">
        <v>54</v>
      </c>
      <c r="AL190" s="44" t="s">
        <v>1409</v>
      </c>
      <c r="AM190" s="26" t="s">
        <v>1186</v>
      </c>
      <c r="AN190" s="26"/>
      <c r="AO190" s="31"/>
      <c r="AP190" s="11" t="b">
        <v>0</v>
      </c>
      <c r="AQ190" s="11" t="b">
        <v>0</v>
      </c>
    </row>
    <row r="191" spans="1:43" ht="20.100000000000001" customHeight="1">
      <c r="A191" s="26" t="s">
        <v>333</v>
      </c>
      <c r="B191" t="s">
        <v>697</v>
      </c>
      <c r="C191" t="s">
        <v>698</v>
      </c>
      <c r="D191" s="41">
        <v>34943</v>
      </c>
      <c r="E191" t="s">
        <v>822</v>
      </c>
      <c r="F191" t="s">
        <v>1010</v>
      </c>
      <c r="G191" t="s">
        <v>1118</v>
      </c>
      <c r="H191" s="26">
        <v>2000</v>
      </c>
      <c r="I191" s="26" t="s">
        <v>1507</v>
      </c>
      <c r="J191" s="26"/>
      <c r="K191" s="26">
        <v>32.43</v>
      </c>
      <c r="L191" s="39">
        <v>32.43</v>
      </c>
      <c r="M191" s="39"/>
      <c r="N191" s="44" t="s">
        <v>1115</v>
      </c>
      <c r="O191" s="40" t="s">
        <v>1115</v>
      </c>
      <c r="P191" s="26" t="s">
        <v>1161</v>
      </c>
      <c r="Q191" s="45">
        <v>3</v>
      </c>
      <c r="R191" s="26" t="s">
        <v>52</v>
      </c>
      <c r="S191" s="26"/>
      <c r="T191">
        <v>51048</v>
      </c>
      <c r="U191" s="46">
        <v>51048</v>
      </c>
      <c r="V191" s="26" t="s">
        <v>1180</v>
      </c>
      <c r="W191" s="26">
        <v>4675</v>
      </c>
      <c r="X191" s="26">
        <v>4675</v>
      </c>
      <c r="Y191" s="31"/>
      <c r="Z191" s="26"/>
      <c r="AA191" s="11"/>
      <c r="AB191" s="11"/>
      <c r="AC191" s="11"/>
      <c r="AD191" s="11"/>
      <c r="AE191" s="11"/>
      <c r="AF191" s="26"/>
      <c r="AG191" s="11" t="s">
        <v>53</v>
      </c>
      <c r="AH191" s="11" t="b">
        <v>0</v>
      </c>
      <c r="AI191" s="26"/>
      <c r="AJ191" s="26"/>
      <c r="AK191" t="s">
        <v>54</v>
      </c>
      <c r="AL191" s="44" t="s">
        <v>1410</v>
      </c>
      <c r="AM191" s="26" t="s">
        <v>50</v>
      </c>
      <c r="AN191" s="26"/>
      <c r="AO191" s="31"/>
      <c r="AP191" s="11" t="b">
        <v>0</v>
      </c>
      <c r="AQ191" s="11" t="b">
        <v>0</v>
      </c>
    </row>
    <row r="192" spans="1:43" ht="20.100000000000001" customHeight="1">
      <c r="A192" s="26" t="s">
        <v>334</v>
      </c>
      <c r="B192" t="s">
        <v>699</v>
      </c>
      <c r="C192" t="s">
        <v>698</v>
      </c>
      <c r="D192" s="41">
        <v>43709</v>
      </c>
      <c r="E192" t="s">
        <v>822</v>
      </c>
      <c r="F192" t="s">
        <v>1011</v>
      </c>
      <c r="G192" t="s">
        <v>1149</v>
      </c>
      <c r="H192" s="26">
        <v>2000</v>
      </c>
      <c r="I192" s="26" t="s">
        <v>1507</v>
      </c>
      <c r="J192" s="26"/>
      <c r="K192" s="26">
        <v>32.43</v>
      </c>
      <c r="L192" s="39">
        <v>32.43</v>
      </c>
      <c r="M192" s="39"/>
      <c r="N192" s="44" t="s">
        <v>1115</v>
      </c>
      <c r="O192" s="40" t="s">
        <v>1115</v>
      </c>
      <c r="P192" s="26" t="s">
        <v>1160</v>
      </c>
      <c r="Q192" s="45">
        <v>6</v>
      </c>
      <c r="R192" s="26" t="s">
        <v>51</v>
      </c>
      <c r="S192" s="26"/>
      <c r="T192">
        <v>45352</v>
      </c>
      <c r="U192" s="46">
        <v>45352</v>
      </c>
      <c r="V192" s="26" t="s">
        <v>1180</v>
      </c>
      <c r="W192" s="26">
        <v>4675</v>
      </c>
      <c r="X192" s="26">
        <v>4675</v>
      </c>
      <c r="Y192" s="31"/>
      <c r="Z192" s="26"/>
      <c r="AA192" s="11"/>
      <c r="AB192" s="11"/>
      <c r="AC192" s="11"/>
      <c r="AD192" s="11"/>
      <c r="AE192" s="11"/>
      <c r="AF192" s="26"/>
      <c r="AG192" s="11" t="s">
        <v>53</v>
      </c>
      <c r="AH192" s="11" t="b">
        <v>0</v>
      </c>
      <c r="AI192" s="26"/>
      <c r="AJ192" s="26"/>
      <c r="AK192" t="s">
        <v>54</v>
      </c>
      <c r="AL192" s="44" t="s">
        <v>1411</v>
      </c>
      <c r="AM192" s="26" t="s">
        <v>50</v>
      </c>
      <c r="AN192" s="26"/>
      <c r="AO192" s="31"/>
      <c r="AP192" s="11" t="b">
        <v>0</v>
      </c>
      <c r="AQ192" s="11" t="b">
        <v>0</v>
      </c>
    </row>
    <row r="193" spans="1:43" ht="20.100000000000001" customHeight="1">
      <c r="A193" s="26" t="s">
        <v>335</v>
      </c>
      <c r="B193" t="s">
        <v>700</v>
      </c>
      <c r="C193" t="s">
        <v>544</v>
      </c>
      <c r="D193" s="41">
        <v>44174</v>
      </c>
      <c r="E193" t="s">
        <v>822</v>
      </c>
      <c r="F193" t="s">
        <v>1012</v>
      </c>
      <c r="G193" t="s">
        <v>1125</v>
      </c>
      <c r="H193" s="26">
        <v>2000</v>
      </c>
      <c r="I193" s="26" t="s">
        <v>1507</v>
      </c>
      <c r="J193" s="26"/>
      <c r="K193" s="26">
        <v>32.43</v>
      </c>
      <c r="L193" s="39">
        <v>32.43</v>
      </c>
      <c r="M193" s="39"/>
      <c r="N193" s="44" t="s">
        <v>1115</v>
      </c>
      <c r="O193" s="40" t="s">
        <v>1115</v>
      </c>
      <c r="P193" s="26" t="s">
        <v>1160</v>
      </c>
      <c r="Q193" s="45">
        <v>6</v>
      </c>
      <c r="R193" s="26" t="s">
        <v>51</v>
      </c>
      <c r="S193" s="26"/>
      <c r="T193">
        <v>45352</v>
      </c>
      <c r="U193" s="46">
        <v>45352</v>
      </c>
      <c r="V193" s="26"/>
      <c r="W193" s="26"/>
      <c r="X193" s="26"/>
      <c r="Y193" s="31"/>
      <c r="Z193" s="26"/>
      <c r="AA193" s="11"/>
      <c r="AB193" s="11"/>
      <c r="AC193" s="11"/>
      <c r="AD193" s="11"/>
      <c r="AE193" s="11"/>
      <c r="AF193" s="26"/>
      <c r="AG193" s="11" t="s">
        <v>53</v>
      </c>
      <c r="AH193" s="11" t="b">
        <v>1</v>
      </c>
      <c r="AI193" s="26"/>
      <c r="AJ193" s="26"/>
      <c r="AK193" t="s">
        <v>54</v>
      </c>
      <c r="AL193" s="44" t="s">
        <v>1412</v>
      </c>
      <c r="AM193" s="26" t="s">
        <v>50</v>
      </c>
      <c r="AN193" s="26"/>
      <c r="AO193" s="31"/>
      <c r="AP193" s="11" t="b">
        <v>0</v>
      </c>
      <c r="AQ193" s="11" t="b">
        <v>0</v>
      </c>
    </row>
    <row r="194" spans="1:43" ht="20.100000000000001" customHeight="1">
      <c r="A194" s="26" t="s">
        <v>336</v>
      </c>
      <c r="B194" t="s">
        <v>701</v>
      </c>
      <c r="C194" t="s">
        <v>702</v>
      </c>
      <c r="D194" s="41">
        <v>45341</v>
      </c>
      <c r="E194" t="s">
        <v>819</v>
      </c>
      <c r="F194" t="s">
        <v>1013</v>
      </c>
      <c r="G194" t="s">
        <v>1120</v>
      </c>
      <c r="H194" s="26">
        <v>2200</v>
      </c>
      <c r="I194" s="26" t="s">
        <v>1506</v>
      </c>
      <c r="J194" s="26"/>
      <c r="K194" s="26">
        <v>37</v>
      </c>
      <c r="L194" s="39">
        <v>25.33</v>
      </c>
      <c r="M194" s="39"/>
      <c r="N194" s="44">
        <v>38</v>
      </c>
      <c r="O194" s="40">
        <v>43.3</v>
      </c>
      <c r="P194" s="26" t="s">
        <v>1167</v>
      </c>
      <c r="Q194" s="45">
        <v>6</v>
      </c>
      <c r="R194" s="26">
        <v>6</v>
      </c>
      <c r="S194" s="26"/>
      <c r="T194">
        <v>25989</v>
      </c>
      <c r="U194" s="46">
        <f>Table1[[#This Row],[FTE Annual salary rate]]/Table1[[#This Row],[Full time hours for role]]*Table1[[#This Row],[Weekly Hours ]]/52.14285*Table1[[#This Row],[EQWP/ TTO Weeks paid per year]]</f>
        <v>14774.61477823305</v>
      </c>
      <c r="V194" s="26"/>
      <c r="W194" s="26"/>
      <c r="X194" s="26"/>
      <c r="Y194" s="31"/>
      <c r="Z194" s="26"/>
      <c r="AA194" s="11"/>
      <c r="AB194" s="11"/>
      <c r="AC194" s="11"/>
      <c r="AD194" s="11"/>
      <c r="AE194" s="11"/>
      <c r="AF194" s="26"/>
      <c r="AG194" s="26" t="s">
        <v>48</v>
      </c>
      <c r="AH194" s="11" t="b">
        <v>0</v>
      </c>
      <c r="AI194" s="26"/>
      <c r="AJ194" s="26"/>
      <c r="AK194" t="s">
        <v>54</v>
      </c>
      <c r="AL194" s="44" t="s">
        <v>1413</v>
      </c>
      <c r="AM194" s="26" t="s">
        <v>50</v>
      </c>
      <c r="AN194" s="26"/>
      <c r="AO194" s="31"/>
      <c r="AP194" s="11" t="b">
        <v>0</v>
      </c>
      <c r="AQ194" s="11" t="b">
        <v>0</v>
      </c>
    </row>
    <row r="195" spans="1:43" ht="20.100000000000001" customHeight="1">
      <c r="A195" s="26" t="s">
        <v>337</v>
      </c>
      <c r="B195" t="s">
        <v>703</v>
      </c>
      <c r="C195" t="s">
        <v>570</v>
      </c>
      <c r="D195" s="41">
        <v>44704</v>
      </c>
      <c r="E195" t="s">
        <v>822</v>
      </c>
      <c r="F195" t="s">
        <v>1014</v>
      </c>
      <c r="G195" t="s">
        <v>1120</v>
      </c>
      <c r="H195" s="26">
        <v>2200</v>
      </c>
      <c r="I195" s="26" t="s">
        <v>1506</v>
      </c>
      <c r="J195" s="26"/>
      <c r="K195" s="26">
        <v>37</v>
      </c>
      <c r="L195" s="39">
        <v>12.5</v>
      </c>
      <c r="M195" s="39"/>
      <c r="N195" s="44">
        <v>38</v>
      </c>
      <c r="O195" s="40">
        <v>43.3</v>
      </c>
      <c r="P195" s="26" t="s">
        <v>1167</v>
      </c>
      <c r="Q195" s="45">
        <v>6</v>
      </c>
      <c r="R195" s="26">
        <v>6</v>
      </c>
      <c r="S195" s="26"/>
      <c r="T195">
        <v>25989</v>
      </c>
      <c r="U195" s="46">
        <f>Table1[[#This Row],[FTE Annual salary rate]]/Table1[[#This Row],[Full time hours for role]]*Table1[[#This Row],[Weekly Hours ]]/52.14285*Table1[[#This Row],[EQWP/ TTO Weeks paid per year]]</f>
        <v>7291.0653268027281</v>
      </c>
      <c r="V195" s="26"/>
      <c r="W195" s="26"/>
      <c r="X195" s="26"/>
      <c r="Y195" s="31"/>
      <c r="Z195" s="26"/>
      <c r="AA195" s="11"/>
      <c r="AB195" s="11"/>
      <c r="AC195" s="11"/>
      <c r="AD195" s="11"/>
      <c r="AE195" s="11"/>
      <c r="AF195" s="26"/>
      <c r="AG195" s="26" t="s">
        <v>48</v>
      </c>
      <c r="AH195" s="11" t="b">
        <v>0</v>
      </c>
      <c r="AI195" s="26"/>
      <c r="AJ195" s="26"/>
      <c r="AK195" t="s">
        <v>54</v>
      </c>
      <c r="AL195" s="44" t="s">
        <v>1414</v>
      </c>
      <c r="AM195" s="26" t="s">
        <v>50</v>
      </c>
      <c r="AN195" s="26"/>
      <c r="AO195" s="31"/>
      <c r="AP195" s="11" t="b">
        <v>0</v>
      </c>
      <c r="AQ195" s="11" t="b">
        <v>0</v>
      </c>
    </row>
    <row r="196" spans="1:43" ht="20.100000000000001" customHeight="1">
      <c r="A196" s="26" t="s">
        <v>338</v>
      </c>
      <c r="B196" t="s">
        <v>704</v>
      </c>
      <c r="C196" t="s">
        <v>516</v>
      </c>
      <c r="D196" s="41">
        <v>43709</v>
      </c>
      <c r="E196" t="s">
        <v>822</v>
      </c>
      <c r="F196" t="s">
        <v>1015</v>
      </c>
      <c r="G196" t="s">
        <v>1118</v>
      </c>
      <c r="H196" s="26">
        <v>2000</v>
      </c>
      <c r="I196" s="26" t="s">
        <v>1507</v>
      </c>
      <c r="J196" s="26"/>
      <c r="K196" s="26">
        <v>32.43</v>
      </c>
      <c r="L196" s="39">
        <v>32.43</v>
      </c>
      <c r="M196" s="39"/>
      <c r="N196" s="44" t="s">
        <v>1115</v>
      </c>
      <c r="O196" s="40" t="s">
        <v>1115</v>
      </c>
      <c r="P196" s="26" t="s">
        <v>1161</v>
      </c>
      <c r="Q196" s="45">
        <v>3</v>
      </c>
      <c r="R196" s="26" t="s">
        <v>52</v>
      </c>
      <c r="S196" s="26"/>
      <c r="T196">
        <v>51048</v>
      </c>
      <c r="U196" s="46">
        <v>51048</v>
      </c>
      <c r="V196" s="26"/>
      <c r="W196" s="26"/>
      <c r="X196" s="26"/>
      <c r="Y196" s="31"/>
      <c r="Z196" s="26"/>
      <c r="AA196" s="11"/>
      <c r="AB196" s="11"/>
      <c r="AC196" s="11"/>
      <c r="AD196" s="11"/>
      <c r="AE196" s="11"/>
      <c r="AF196" s="26"/>
      <c r="AG196" s="11" t="s">
        <v>53</v>
      </c>
      <c r="AH196" s="11" t="b">
        <v>0</v>
      </c>
      <c r="AI196" s="26"/>
      <c r="AJ196" s="26"/>
      <c r="AK196" t="s">
        <v>49</v>
      </c>
      <c r="AL196" s="44" t="s">
        <v>1415</v>
      </c>
      <c r="AM196" s="26" t="s">
        <v>50</v>
      </c>
      <c r="AN196" s="26"/>
      <c r="AO196" s="31"/>
      <c r="AP196" s="11" t="b">
        <v>0</v>
      </c>
      <c r="AQ196" s="11" t="b">
        <v>0</v>
      </c>
    </row>
    <row r="197" spans="1:43" ht="20.100000000000001" customHeight="1">
      <c r="A197" s="26" t="s">
        <v>339</v>
      </c>
      <c r="B197" t="s">
        <v>705</v>
      </c>
      <c r="C197" t="s">
        <v>706</v>
      </c>
      <c r="D197" s="41">
        <v>41944</v>
      </c>
      <c r="E197" t="s">
        <v>822</v>
      </c>
      <c r="F197" t="s">
        <v>1016</v>
      </c>
      <c r="G197" t="s">
        <v>1175</v>
      </c>
      <c r="H197" s="26">
        <v>2740</v>
      </c>
      <c r="I197" s="26" t="s">
        <v>1510</v>
      </c>
      <c r="J197" s="26"/>
      <c r="K197" s="26">
        <v>37</v>
      </c>
      <c r="L197" s="39">
        <v>9</v>
      </c>
      <c r="M197" s="39"/>
      <c r="N197" s="44">
        <v>38</v>
      </c>
      <c r="O197" s="40">
        <v>44.8</v>
      </c>
      <c r="P197" s="26" t="s">
        <v>1167</v>
      </c>
      <c r="Q197" s="45">
        <v>11</v>
      </c>
      <c r="R197" s="26">
        <v>11</v>
      </c>
      <c r="S197" s="26"/>
      <c r="T197">
        <v>28142</v>
      </c>
      <c r="U197" s="46">
        <f>Table1[[#This Row],[FTE Annual salary rate]]/Table1[[#This Row],[Full time hours for role]]*Table1[[#This Row],[Weekly Hours ]]/52.14285*Table1[[#This Row],[EQWP/ TTO Weeks paid per year]]</f>
        <v>5881.3766516510032</v>
      </c>
      <c r="V197" s="26"/>
      <c r="W197" s="26"/>
      <c r="X197" s="26"/>
      <c r="Y197" s="31"/>
      <c r="Z197" s="26"/>
      <c r="AA197" s="11"/>
      <c r="AB197" s="11"/>
      <c r="AC197" s="11"/>
      <c r="AD197" s="11"/>
      <c r="AE197" s="11"/>
      <c r="AF197" s="26"/>
      <c r="AG197" s="26" t="s">
        <v>48</v>
      </c>
      <c r="AH197" s="11" t="b">
        <v>0</v>
      </c>
      <c r="AI197" s="26"/>
      <c r="AJ197" s="26"/>
      <c r="AK197" t="s">
        <v>54</v>
      </c>
      <c r="AL197" s="44" t="s">
        <v>1416</v>
      </c>
      <c r="AM197" s="26" t="s">
        <v>50</v>
      </c>
      <c r="AN197" s="26"/>
      <c r="AO197" s="31"/>
      <c r="AP197" s="11" t="b">
        <v>0</v>
      </c>
      <c r="AQ197" s="11" t="b">
        <v>0</v>
      </c>
    </row>
    <row r="198" spans="1:43" ht="20.100000000000001" customHeight="1">
      <c r="A198" s="26" t="s">
        <v>339</v>
      </c>
      <c r="B198" t="s">
        <v>705</v>
      </c>
      <c r="C198" t="s">
        <v>706</v>
      </c>
      <c r="D198" s="41">
        <v>41944</v>
      </c>
      <c r="E198" t="s">
        <v>822</v>
      </c>
      <c r="F198" t="s">
        <v>1017</v>
      </c>
      <c r="G198" t="s">
        <v>1147</v>
      </c>
      <c r="H198" s="26">
        <v>2630</v>
      </c>
      <c r="I198" s="26" t="s">
        <v>1511</v>
      </c>
      <c r="J198" s="26"/>
      <c r="K198" s="26">
        <v>37</v>
      </c>
      <c r="L198" s="39">
        <v>35</v>
      </c>
      <c r="M198" s="39"/>
      <c r="N198" s="44">
        <v>38.6</v>
      </c>
      <c r="O198" s="40">
        <v>45.5</v>
      </c>
      <c r="P198" s="26" t="s">
        <v>1167</v>
      </c>
      <c r="Q198" s="45">
        <v>11</v>
      </c>
      <c r="R198" s="26">
        <v>11</v>
      </c>
      <c r="S198" s="26"/>
      <c r="T198">
        <v>28142</v>
      </c>
      <c r="U198" s="46">
        <f>Table1[[#This Row],[FTE Annual salary rate]]/Table1[[#This Row],[Full time hours for role]]*Table1[[#This Row],[Weekly Hours ]]/52.14285*Table1[[#This Row],[EQWP/ TTO Weeks paid per year]]</f>
        <v>23229.395629350751</v>
      </c>
      <c r="V198" s="26"/>
      <c r="W198" s="26"/>
      <c r="X198" s="26"/>
      <c r="Y198" s="31"/>
      <c r="Z198" s="26"/>
      <c r="AA198" s="11"/>
      <c r="AB198" s="11"/>
      <c r="AC198" s="11"/>
      <c r="AD198" s="11"/>
      <c r="AE198" s="11"/>
      <c r="AF198" s="26"/>
      <c r="AG198" s="26" t="s">
        <v>48</v>
      </c>
      <c r="AH198" s="11" t="b">
        <v>0</v>
      </c>
      <c r="AI198" s="26"/>
      <c r="AJ198" s="26"/>
      <c r="AK198" t="s">
        <v>54</v>
      </c>
      <c r="AL198" s="44" t="s">
        <v>1416</v>
      </c>
      <c r="AM198" s="26" t="s">
        <v>50</v>
      </c>
      <c r="AN198" s="26"/>
      <c r="AO198" s="31"/>
      <c r="AP198" s="11" t="b">
        <v>0</v>
      </c>
      <c r="AQ198" s="11" t="b">
        <v>0</v>
      </c>
    </row>
    <row r="199" spans="1:43" ht="20.100000000000001" customHeight="1">
      <c r="A199" s="26" t="s">
        <v>340</v>
      </c>
      <c r="B199" t="s">
        <v>707</v>
      </c>
      <c r="C199" t="s">
        <v>574</v>
      </c>
      <c r="D199" s="41">
        <v>43040</v>
      </c>
      <c r="E199" t="s">
        <v>823</v>
      </c>
      <c r="F199" t="s">
        <v>1018</v>
      </c>
      <c r="G199" t="s">
        <v>1150</v>
      </c>
      <c r="H199" s="26">
        <v>2630</v>
      </c>
      <c r="I199" s="26" t="s">
        <v>1511</v>
      </c>
      <c r="J199" s="26"/>
      <c r="K199" s="26">
        <v>37</v>
      </c>
      <c r="L199" s="39">
        <v>32.5</v>
      </c>
      <c r="M199" s="39"/>
      <c r="N199" s="44">
        <v>40</v>
      </c>
      <c r="O199" s="40">
        <v>45.5</v>
      </c>
      <c r="P199" s="26" t="s">
        <v>1167</v>
      </c>
      <c r="Q199" s="45">
        <v>31</v>
      </c>
      <c r="R199" s="26">
        <v>31</v>
      </c>
      <c r="S199" s="26"/>
      <c r="T199">
        <v>41772</v>
      </c>
      <c r="U199" s="46">
        <f>Table1[[#This Row],[FTE Annual salary rate]]/Table1[[#This Row],[Full time hours for role]]*Table1[[#This Row],[Weekly Hours ]]/52.14285*Table1[[#This Row],[EQWP/ TTO Weeks paid per year]]</f>
        <v>32017.213937937486</v>
      </c>
      <c r="V199" s="26"/>
      <c r="W199" s="26"/>
      <c r="X199" s="26"/>
      <c r="Y199" s="31"/>
      <c r="Z199" s="26"/>
      <c r="AA199" s="11"/>
      <c r="AB199" s="11"/>
      <c r="AC199" s="11"/>
      <c r="AD199" s="11"/>
      <c r="AE199" s="11"/>
      <c r="AF199" s="26"/>
      <c r="AG199" s="26" t="s">
        <v>48</v>
      </c>
      <c r="AH199" s="11" t="b">
        <v>0</v>
      </c>
      <c r="AI199" s="26"/>
      <c r="AJ199" s="26"/>
      <c r="AK199" t="s">
        <v>54</v>
      </c>
      <c r="AL199" s="44" t="s">
        <v>1417</v>
      </c>
      <c r="AM199" s="26" t="s">
        <v>50</v>
      </c>
      <c r="AN199" s="26"/>
      <c r="AO199" s="31"/>
      <c r="AP199" s="11" t="b">
        <v>0</v>
      </c>
      <c r="AQ199" s="11" t="b">
        <v>0</v>
      </c>
    </row>
    <row r="200" spans="1:43" ht="20.100000000000001" customHeight="1">
      <c r="A200" s="26" t="s">
        <v>341</v>
      </c>
      <c r="B200" t="s">
        <v>708</v>
      </c>
      <c r="C200" t="s">
        <v>709</v>
      </c>
      <c r="D200" s="41">
        <v>45622</v>
      </c>
      <c r="E200" t="s">
        <v>823</v>
      </c>
      <c r="F200" t="s">
        <v>1019</v>
      </c>
      <c r="G200" t="s">
        <v>1116</v>
      </c>
      <c r="H200" s="26">
        <v>2200</v>
      </c>
      <c r="I200" s="26" t="s">
        <v>1506</v>
      </c>
      <c r="J200" s="26"/>
      <c r="K200" s="26">
        <v>37</v>
      </c>
      <c r="L200" s="39">
        <v>30.5</v>
      </c>
      <c r="M200" s="39"/>
      <c r="N200" s="44">
        <v>38</v>
      </c>
      <c r="O200" s="40">
        <v>43.3</v>
      </c>
      <c r="P200" s="26" t="s">
        <v>1167</v>
      </c>
      <c r="Q200" s="45">
        <v>13</v>
      </c>
      <c r="R200" s="26">
        <v>17</v>
      </c>
      <c r="S200" s="26"/>
      <c r="T200">
        <v>29065</v>
      </c>
      <c r="U200" s="46">
        <f>Table1[[#This Row],[FTE Annual salary rate]]/Table1[[#This Row],[Full time hours for role]]*Table1[[#This Row],[Weekly Hours ]]/52.14285*Table1[[#This Row],[EQWP/ TTO Weeks paid per year]]</f>
        <v>19895.807668066951</v>
      </c>
      <c r="V200" s="26"/>
      <c r="W200" s="26"/>
      <c r="X200" s="26"/>
      <c r="Y200" s="31"/>
      <c r="Z200" s="26"/>
      <c r="AA200" s="11"/>
      <c r="AB200" s="11"/>
      <c r="AC200" s="11"/>
      <c r="AD200" s="11"/>
      <c r="AE200" s="11"/>
      <c r="AF200" s="26"/>
      <c r="AG200" s="26" t="s">
        <v>48</v>
      </c>
      <c r="AH200" s="11" t="b">
        <v>0</v>
      </c>
      <c r="AI200" s="26"/>
      <c r="AJ200" s="26"/>
      <c r="AK200" t="s">
        <v>54</v>
      </c>
      <c r="AL200" s="44" t="s">
        <v>1418</v>
      </c>
      <c r="AM200" s="26" t="s">
        <v>50</v>
      </c>
      <c r="AN200" s="26"/>
      <c r="AO200" s="31"/>
      <c r="AP200" s="11" t="b">
        <v>0</v>
      </c>
      <c r="AQ200" s="11" t="b">
        <v>0</v>
      </c>
    </row>
    <row r="201" spans="1:43" ht="20.100000000000001" customHeight="1">
      <c r="A201" s="26" t="s">
        <v>341</v>
      </c>
      <c r="B201" t="s">
        <v>708</v>
      </c>
      <c r="C201" t="s">
        <v>709</v>
      </c>
      <c r="D201" s="41">
        <v>45622</v>
      </c>
      <c r="E201" t="s">
        <v>823</v>
      </c>
      <c r="F201" t="s">
        <v>1020</v>
      </c>
      <c r="G201" t="s">
        <v>1132</v>
      </c>
      <c r="H201" s="26">
        <v>2740</v>
      </c>
      <c r="I201" s="26" t="s">
        <v>1510</v>
      </c>
      <c r="J201" s="26"/>
      <c r="K201" s="26">
        <v>37</v>
      </c>
      <c r="L201" s="39">
        <v>1.25</v>
      </c>
      <c r="M201" s="39"/>
      <c r="N201" s="44">
        <v>38</v>
      </c>
      <c r="O201" s="40">
        <v>43.3</v>
      </c>
      <c r="P201" s="26" t="s">
        <v>1167</v>
      </c>
      <c r="Q201" s="45">
        <v>3</v>
      </c>
      <c r="R201" s="26">
        <v>4</v>
      </c>
      <c r="S201" s="26"/>
      <c r="T201">
        <v>24796</v>
      </c>
      <c r="U201" s="46">
        <f>Table1[[#This Row],[FTE Annual salary rate]]/Table1[[#This Row],[Full time hours for role]]*Table1[[#This Row],[Weekly Hours ]]/52.14285*Table1[[#This Row],[EQWP/ TTO Weeks paid per year]]</f>
        <v>695.63759992073733</v>
      </c>
      <c r="V201" s="26"/>
      <c r="W201" s="26"/>
      <c r="X201" s="26"/>
      <c r="Y201" s="31"/>
      <c r="Z201" s="26"/>
      <c r="AA201" s="11"/>
      <c r="AB201" s="11"/>
      <c r="AC201" s="11"/>
      <c r="AD201" s="11"/>
      <c r="AE201" s="11"/>
      <c r="AF201" s="26"/>
      <c r="AG201" s="26" t="s">
        <v>48</v>
      </c>
      <c r="AH201" s="11" t="b">
        <v>0</v>
      </c>
      <c r="AI201" s="26"/>
      <c r="AJ201" s="26"/>
      <c r="AK201" t="s">
        <v>54</v>
      </c>
      <c r="AL201" s="44" t="s">
        <v>1418</v>
      </c>
      <c r="AM201" s="26" t="s">
        <v>50</v>
      </c>
      <c r="AN201" s="26"/>
      <c r="AO201" s="31"/>
      <c r="AP201" s="11" t="b">
        <v>0</v>
      </c>
      <c r="AQ201" s="11" t="b">
        <v>0</v>
      </c>
    </row>
    <row r="202" spans="1:43" ht="20.100000000000001" customHeight="1">
      <c r="A202" s="26" t="s">
        <v>342</v>
      </c>
      <c r="B202" t="s">
        <v>710</v>
      </c>
      <c r="C202" t="s">
        <v>477</v>
      </c>
      <c r="D202" s="41">
        <v>46027</v>
      </c>
      <c r="E202" t="s">
        <v>820</v>
      </c>
      <c r="F202" t="s">
        <v>1021</v>
      </c>
      <c r="G202" t="s">
        <v>1127</v>
      </c>
      <c r="H202" s="26">
        <v>2300</v>
      </c>
      <c r="I202" s="26" t="s">
        <v>1512</v>
      </c>
      <c r="J202" s="26"/>
      <c r="K202" s="26">
        <v>37</v>
      </c>
      <c r="L202" s="39">
        <v>12.5</v>
      </c>
      <c r="M202" s="39"/>
      <c r="N202" s="44">
        <v>41.4</v>
      </c>
      <c r="O202" s="40">
        <v>46.4</v>
      </c>
      <c r="P202" s="26" t="s">
        <v>1162</v>
      </c>
      <c r="Q202" s="45">
        <v>1</v>
      </c>
      <c r="R202" s="26">
        <v>1</v>
      </c>
      <c r="S202" s="26"/>
      <c r="T202">
        <v>23557</v>
      </c>
      <c r="U202" s="46">
        <f>Table1[[#This Row],[FTE Annual salary rate]]/Table1[[#This Row],[Full time hours for role]]*Table1[[#This Row],[Weekly Hours ]]/52.14285*Table1[[#This Row],[EQWP/ TTO Weeks paid per year]]</f>
        <v>7081.9276639441805</v>
      </c>
      <c r="V202" s="26"/>
      <c r="W202" s="26"/>
      <c r="X202" s="26"/>
      <c r="Y202" s="31"/>
      <c r="Z202" s="26"/>
      <c r="AA202" s="11"/>
      <c r="AB202" s="11"/>
      <c r="AC202" s="11"/>
      <c r="AD202" s="11"/>
      <c r="AE202" s="11"/>
      <c r="AF202" s="26"/>
      <c r="AG202" s="26" t="s">
        <v>48</v>
      </c>
      <c r="AH202" s="11" t="b">
        <v>0</v>
      </c>
      <c r="AI202" s="26"/>
      <c r="AJ202" s="26"/>
      <c r="AK202" t="s">
        <v>54</v>
      </c>
      <c r="AL202" s="44" t="s">
        <v>1419</v>
      </c>
      <c r="AM202" s="26" t="s">
        <v>50</v>
      </c>
      <c r="AN202" s="26"/>
      <c r="AO202" s="31"/>
      <c r="AP202" s="11" t="b">
        <v>0</v>
      </c>
      <c r="AQ202" s="11" t="b">
        <v>0</v>
      </c>
    </row>
    <row r="203" spans="1:43" ht="20.100000000000001" customHeight="1">
      <c r="A203" s="26" t="s">
        <v>343</v>
      </c>
      <c r="B203" t="s">
        <v>711</v>
      </c>
      <c r="C203" t="s">
        <v>712</v>
      </c>
      <c r="D203" s="41">
        <v>45996</v>
      </c>
      <c r="E203" t="s">
        <v>823</v>
      </c>
      <c r="F203" t="s">
        <v>1022</v>
      </c>
      <c r="G203" t="s">
        <v>1119</v>
      </c>
      <c r="H203" s="26">
        <v>2820</v>
      </c>
      <c r="I203" s="26" t="s">
        <v>1509</v>
      </c>
      <c r="J203" s="26"/>
      <c r="K203" s="26">
        <v>37</v>
      </c>
      <c r="L203" s="39">
        <v>6.25</v>
      </c>
      <c r="M203" s="39"/>
      <c r="N203" s="44">
        <v>38</v>
      </c>
      <c r="O203" s="40">
        <v>43.3</v>
      </c>
      <c r="P203" s="26" t="s">
        <v>1167</v>
      </c>
      <c r="Q203" s="45">
        <v>3</v>
      </c>
      <c r="R203" s="26">
        <v>4</v>
      </c>
      <c r="S203" s="26"/>
      <c r="T203">
        <v>24796</v>
      </c>
      <c r="U203" s="46">
        <f>Table1[[#This Row],[FTE Annual salary rate]]/Table1[[#This Row],[Full time hours for role]]*Table1[[#This Row],[Weekly Hours ]]/52.14285*Table1[[#This Row],[EQWP/ TTO Weeks paid per year]]</f>
        <v>3478.1879996036873</v>
      </c>
      <c r="V203" s="26"/>
      <c r="W203" s="26"/>
      <c r="X203" s="26"/>
      <c r="Y203" s="31"/>
      <c r="Z203" s="26"/>
      <c r="AA203" s="11"/>
      <c r="AB203" s="11"/>
      <c r="AC203" s="11"/>
      <c r="AD203" s="11"/>
      <c r="AE203" s="11"/>
      <c r="AF203" s="26"/>
      <c r="AG203" s="26" t="s">
        <v>48</v>
      </c>
      <c r="AH203" s="11" t="b">
        <v>0</v>
      </c>
      <c r="AI203" s="26"/>
      <c r="AJ203" s="26"/>
      <c r="AK203" t="s">
        <v>54</v>
      </c>
      <c r="AL203" s="44" t="s">
        <v>1420</v>
      </c>
      <c r="AM203" s="26" t="s">
        <v>50</v>
      </c>
      <c r="AN203" s="26"/>
      <c r="AO203" s="31"/>
      <c r="AP203" s="11" t="b">
        <v>0</v>
      </c>
      <c r="AQ203" s="11" t="b">
        <v>0</v>
      </c>
    </row>
    <row r="204" spans="1:43" ht="20.100000000000001" customHeight="1">
      <c r="A204" s="26" t="s">
        <v>1190</v>
      </c>
      <c r="B204" s="26" t="s">
        <v>1188</v>
      </c>
      <c r="C204" s="26" t="s">
        <v>1189</v>
      </c>
      <c r="D204" s="52">
        <v>46049</v>
      </c>
      <c r="E204" s="26" t="s">
        <v>819</v>
      </c>
      <c r="F204" s="26" t="s">
        <v>1191</v>
      </c>
      <c r="G204" s="26" t="s">
        <v>1120</v>
      </c>
      <c r="H204" s="26">
        <v>2200</v>
      </c>
      <c r="I204" s="26" t="s">
        <v>1506</v>
      </c>
      <c r="J204" s="26"/>
      <c r="K204" s="26">
        <v>37</v>
      </c>
      <c r="L204" s="54">
        <v>30</v>
      </c>
      <c r="M204" s="53"/>
      <c r="N204" s="43">
        <v>38</v>
      </c>
      <c r="O204" s="54">
        <v>43.3</v>
      </c>
      <c r="P204" s="26" t="s">
        <v>1167</v>
      </c>
      <c r="Q204" s="55">
        <v>5</v>
      </c>
      <c r="R204" s="26">
        <v>6</v>
      </c>
      <c r="S204" s="26"/>
      <c r="T204" s="56">
        <v>25584</v>
      </c>
      <c r="U204" s="46">
        <f>Table1[[#This Row],[FTE Annual salary rate]]/Table1[[#This Row],[Full time hours for role]]*Table1[[#This Row],[Weekly Hours ]]/52.14285*Table1[[#This Row],[EQWP/ TTO Weeks paid per year]]</f>
        <v>17225.867742899318</v>
      </c>
      <c r="V204" s="26"/>
      <c r="W204" s="26"/>
      <c r="X204" s="26"/>
      <c r="Y204" s="31"/>
      <c r="Z204" s="26"/>
      <c r="AA204" s="11"/>
      <c r="AB204" s="11"/>
      <c r="AC204" s="11"/>
      <c r="AD204" s="11"/>
      <c r="AE204" s="11"/>
      <c r="AF204" s="26"/>
      <c r="AG204" s="26" t="s">
        <v>48</v>
      </c>
      <c r="AH204" s="11" t="b">
        <v>0</v>
      </c>
      <c r="AI204" s="26"/>
      <c r="AJ204" s="26"/>
      <c r="AK204" s="26" t="s">
        <v>54</v>
      </c>
      <c r="AL204" s="44" t="s">
        <v>1421</v>
      </c>
      <c r="AM204" s="26" t="s">
        <v>50</v>
      </c>
      <c r="AN204" s="26"/>
      <c r="AO204" s="31"/>
      <c r="AP204" s="11" t="b">
        <v>0</v>
      </c>
      <c r="AQ204" s="11" t="b">
        <v>0</v>
      </c>
    </row>
    <row r="205" spans="1:43" ht="20.100000000000001" customHeight="1">
      <c r="A205" s="26" t="s">
        <v>344</v>
      </c>
      <c r="B205" t="s">
        <v>713</v>
      </c>
      <c r="C205" t="s">
        <v>714</v>
      </c>
      <c r="D205" s="41">
        <v>43344</v>
      </c>
      <c r="E205" t="s">
        <v>823</v>
      </c>
      <c r="F205" t="s">
        <v>1023</v>
      </c>
      <c r="G205" t="s">
        <v>1151</v>
      </c>
      <c r="H205" s="26">
        <v>2630</v>
      </c>
      <c r="I205" s="26" t="s">
        <v>1511</v>
      </c>
      <c r="J205" s="26"/>
      <c r="K205" s="26">
        <v>37</v>
      </c>
      <c r="L205" s="39">
        <v>20</v>
      </c>
      <c r="M205" s="39"/>
      <c r="N205" s="44">
        <v>39</v>
      </c>
      <c r="O205" s="40">
        <v>45.4</v>
      </c>
      <c r="P205" s="26" t="s">
        <v>1167</v>
      </c>
      <c r="Q205" s="45">
        <v>24</v>
      </c>
      <c r="R205" s="26">
        <v>24</v>
      </c>
      <c r="S205" s="26"/>
      <c r="T205">
        <v>35413</v>
      </c>
      <c r="U205" s="46">
        <f>Table1[[#This Row],[FTE Annual salary rate]]/Table1[[#This Row],[Full time hours for role]]*Table1[[#This Row],[Weekly Hours ]]/52.14285*Table1[[#This Row],[EQWP/ TTO Weeks paid per year]]</f>
        <v>16666.794434177689</v>
      </c>
      <c r="V205" s="26"/>
      <c r="W205" s="26"/>
      <c r="X205" s="26"/>
      <c r="Y205" s="31"/>
      <c r="Z205" s="26"/>
      <c r="AA205" s="11"/>
      <c r="AB205" s="11"/>
      <c r="AC205" s="11"/>
      <c r="AD205" s="11"/>
      <c r="AE205" s="11"/>
      <c r="AF205" s="26"/>
      <c r="AG205" s="26" t="s">
        <v>48</v>
      </c>
      <c r="AH205" s="11" t="b">
        <v>0</v>
      </c>
      <c r="AI205" s="26"/>
      <c r="AJ205" s="26"/>
      <c r="AK205" t="s">
        <v>54</v>
      </c>
      <c r="AL205" s="44" t="s">
        <v>1422</v>
      </c>
      <c r="AM205" s="26" t="s">
        <v>50</v>
      </c>
      <c r="AN205" s="26"/>
      <c r="AO205" s="31"/>
      <c r="AP205" s="11" t="b">
        <v>0</v>
      </c>
      <c r="AQ205" s="11" t="b">
        <v>0</v>
      </c>
    </row>
    <row r="206" spans="1:43" ht="20.100000000000001" customHeight="1">
      <c r="A206" s="26" t="s">
        <v>345</v>
      </c>
      <c r="B206" t="s">
        <v>715</v>
      </c>
      <c r="C206" t="s">
        <v>716</v>
      </c>
      <c r="D206" s="41">
        <v>39692</v>
      </c>
      <c r="E206" t="s">
        <v>821</v>
      </c>
      <c r="F206" t="s">
        <v>1024</v>
      </c>
      <c r="G206" t="s">
        <v>1152</v>
      </c>
      <c r="H206" s="26">
        <v>2000</v>
      </c>
      <c r="I206" s="26" t="s">
        <v>1507</v>
      </c>
      <c r="J206" s="26"/>
      <c r="K206" s="26">
        <v>32.43</v>
      </c>
      <c r="L206" s="39">
        <v>25.94</v>
      </c>
      <c r="M206" s="39"/>
      <c r="N206" s="44" t="s">
        <v>1115</v>
      </c>
      <c r="O206" s="40" t="s">
        <v>1115</v>
      </c>
      <c r="P206" s="26" t="s">
        <v>1168</v>
      </c>
      <c r="Q206" s="45">
        <v>17</v>
      </c>
      <c r="R206" s="26">
        <v>18</v>
      </c>
      <c r="S206" s="26"/>
      <c r="T206">
        <v>76772</v>
      </c>
      <c r="U206" s="46">
        <v>61428.77</v>
      </c>
      <c r="V206" s="26"/>
      <c r="W206" s="26"/>
      <c r="X206" s="26"/>
      <c r="Y206" s="31"/>
      <c r="Z206" s="26"/>
      <c r="AA206" s="11"/>
      <c r="AB206" s="11"/>
      <c r="AC206" s="11"/>
      <c r="AD206" s="11"/>
      <c r="AE206" s="11"/>
      <c r="AF206" s="26"/>
      <c r="AG206" s="11" t="s">
        <v>53</v>
      </c>
      <c r="AH206" s="11" t="b">
        <v>0</v>
      </c>
      <c r="AI206" s="26"/>
      <c r="AJ206" s="26"/>
      <c r="AK206" t="s">
        <v>54</v>
      </c>
      <c r="AL206" s="44" t="s">
        <v>1423</v>
      </c>
      <c r="AM206" s="26" t="s">
        <v>50</v>
      </c>
      <c r="AN206" s="26"/>
      <c r="AO206" s="31"/>
      <c r="AP206" s="11" t="b">
        <v>0</v>
      </c>
      <c r="AQ206" s="11" t="b">
        <v>0</v>
      </c>
    </row>
    <row r="207" spans="1:43" ht="20.100000000000001" customHeight="1">
      <c r="A207" s="26" t="s">
        <v>346</v>
      </c>
      <c r="B207" t="s">
        <v>717</v>
      </c>
      <c r="C207" t="s">
        <v>574</v>
      </c>
      <c r="D207" s="41">
        <v>44805</v>
      </c>
      <c r="E207" t="s">
        <v>820</v>
      </c>
      <c r="F207" t="s">
        <v>1025</v>
      </c>
      <c r="G207" t="s">
        <v>1140</v>
      </c>
      <c r="H207" s="26">
        <v>2200</v>
      </c>
      <c r="I207" s="26" t="s">
        <v>1506</v>
      </c>
      <c r="J207" s="26"/>
      <c r="K207" s="26">
        <v>37</v>
      </c>
      <c r="L207" s="39">
        <v>35</v>
      </c>
      <c r="M207" s="39"/>
      <c r="N207" s="44">
        <v>38</v>
      </c>
      <c r="O207" s="40">
        <v>43.3</v>
      </c>
      <c r="P207" s="26" t="s">
        <v>1167</v>
      </c>
      <c r="Q207" s="45">
        <v>17</v>
      </c>
      <c r="R207" s="26">
        <v>17</v>
      </c>
      <c r="S207" s="26"/>
      <c r="T207">
        <v>31022</v>
      </c>
      <c r="U207" s="46">
        <f>Table1[[#This Row],[FTE Annual salary rate]]/Table1[[#This Row],[Full time hours for role]]*Table1[[#This Row],[Weekly Hours ]]/52.14285*Table1[[#This Row],[EQWP/ TTO Weeks paid per year]]</f>
        <v>24368.525144892374</v>
      </c>
      <c r="V207" s="26"/>
      <c r="W207" s="26"/>
      <c r="X207" s="26"/>
      <c r="Y207" s="31"/>
      <c r="Z207" s="26"/>
      <c r="AA207" s="11"/>
      <c r="AB207" s="11"/>
      <c r="AC207" s="11"/>
      <c r="AD207" s="11"/>
      <c r="AE207" s="11"/>
      <c r="AF207" s="26"/>
      <c r="AG207" s="26" t="s">
        <v>48</v>
      </c>
      <c r="AH207" s="11" t="b">
        <v>0</v>
      </c>
      <c r="AI207" s="26"/>
      <c r="AJ207" s="26"/>
      <c r="AK207" t="s">
        <v>54</v>
      </c>
      <c r="AL207" s="44" t="s">
        <v>1424</v>
      </c>
      <c r="AM207" s="26" t="s">
        <v>50</v>
      </c>
      <c r="AN207" s="26"/>
      <c r="AO207" s="31"/>
      <c r="AP207" s="11" t="b">
        <v>0</v>
      </c>
      <c r="AQ207" s="11" t="b">
        <v>0</v>
      </c>
    </row>
    <row r="208" spans="1:43" ht="20.100000000000001" customHeight="1">
      <c r="A208" s="26" t="s">
        <v>347</v>
      </c>
      <c r="B208" t="s">
        <v>718</v>
      </c>
      <c r="C208" t="s">
        <v>518</v>
      </c>
      <c r="D208" s="41">
        <v>43024</v>
      </c>
      <c r="E208" t="s">
        <v>819</v>
      </c>
      <c r="F208" t="s">
        <v>1026</v>
      </c>
      <c r="G208" t="s">
        <v>1147</v>
      </c>
      <c r="H208" s="26">
        <v>2630</v>
      </c>
      <c r="I208" s="26" t="s">
        <v>1511</v>
      </c>
      <c r="J208" s="26"/>
      <c r="K208" s="26">
        <v>37</v>
      </c>
      <c r="L208" s="39">
        <v>35</v>
      </c>
      <c r="M208" s="39"/>
      <c r="N208" s="44">
        <v>38.6</v>
      </c>
      <c r="O208" s="40">
        <v>44.9</v>
      </c>
      <c r="P208" s="26" t="s">
        <v>1167</v>
      </c>
      <c r="Q208" s="45">
        <v>11</v>
      </c>
      <c r="R208" s="26">
        <v>11</v>
      </c>
      <c r="S208" s="26"/>
      <c r="T208">
        <v>28142</v>
      </c>
      <c r="U208" s="46">
        <f>Table1[[#This Row],[FTE Annual salary rate]]/Table1[[#This Row],[Full time hours for role]]*Table1[[#This Row],[Weekly Hours ]]/52.14285*Table1[[#This Row],[EQWP/ TTO Weeks paid per year]]</f>
        <v>22923.073928743925</v>
      </c>
      <c r="V208" s="26"/>
      <c r="W208" s="26"/>
      <c r="X208" s="26"/>
      <c r="Y208" s="31"/>
      <c r="Z208" s="26"/>
      <c r="AA208" s="11"/>
      <c r="AB208" s="11"/>
      <c r="AC208" s="11"/>
      <c r="AD208" s="11"/>
      <c r="AE208" s="11"/>
      <c r="AF208" s="26"/>
      <c r="AG208" s="26" t="s">
        <v>48</v>
      </c>
      <c r="AH208" s="11" t="b">
        <v>0</v>
      </c>
      <c r="AI208" s="26"/>
      <c r="AJ208" s="26"/>
      <c r="AK208" t="s">
        <v>54</v>
      </c>
      <c r="AL208" s="44" t="s">
        <v>1425</v>
      </c>
      <c r="AM208" s="26" t="s">
        <v>50</v>
      </c>
      <c r="AN208" s="26"/>
      <c r="AO208" s="31"/>
      <c r="AP208" s="11" t="b">
        <v>0</v>
      </c>
      <c r="AQ208" s="11" t="b">
        <v>0</v>
      </c>
    </row>
    <row r="209" spans="1:43" ht="20.100000000000001" customHeight="1">
      <c r="A209" s="26" t="s">
        <v>348</v>
      </c>
      <c r="B209" t="s">
        <v>719</v>
      </c>
      <c r="C209" t="s">
        <v>442</v>
      </c>
      <c r="D209" s="41">
        <v>41059</v>
      </c>
      <c r="E209" t="s">
        <v>819</v>
      </c>
      <c r="F209" t="s">
        <v>1027</v>
      </c>
      <c r="G209" t="s">
        <v>1118</v>
      </c>
      <c r="H209" s="26">
        <v>2000</v>
      </c>
      <c r="I209" s="26" t="s">
        <v>1507</v>
      </c>
      <c r="J209" s="26"/>
      <c r="K209" s="26">
        <v>32.43</v>
      </c>
      <c r="L209" s="39">
        <v>32.43</v>
      </c>
      <c r="M209" s="39"/>
      <c r="N209" s="44" t="s">
        <v>1115</v>
      </c>
      <c r="O209" s="40" t="s">
        <v>1115</v>
      </c>
      <c r="P209" s="26" t="s">
        <v>1161</v>
      </c>
      <c r="Q209" s="45">
        <v>3</v>
      </c>
      <c r="R209" s="26" t="s">
        <v>52</v>
      </c>
      <c r="S209" s="26"/>
      <c r="T209">
        <v>51048</v>
      </c>
      <c r="U209" s="46">
        <v>51048</v>
      </c>
      <c r="V209" s="26"/>
      <c r="W209" s="26"/>
      <c r="X209" s="26"/>
      <c r="Y209" s="31"/>
      <c r="Z209" s="26"/>
      <c r="AA209" s="11"/>
      <c r="AB209" s="11"/>
      <c r="AC209" s="11"/>
      <c r="AD209" s="11"/>
      <c r="AE209" s="11"/>
      <c r="AF209" s="26"/>
      <c r="AG209" s="11" t="s">
        <v>53</v>
      </c>
      <c r="AH209" s="11" t="b">
        <v>0</v>
      </c>
      <c r="AI209" s="26"/>
      <c r="AJ209" s="26"/>
      <c r="AK209" t="s">
        <v>54</v>
      </c>
      <c r="AL209" s="44" t="s">
        <v>1426</v>
      </c>
      <c r="AM209" s="26" t="s">
        <v>50</v>
      </c>
      <c r="AN209" s="26"/>
      <c r="AO209" s="31"/>
      <c r="AP209" s="11" t="b">
        <v>0</v>
      </c>
      <c r="AQ209" s="11" t="b">
        <v>0</v>
      </c>
    </row>
    <row r="210" spans="1:43" ht="20.100000000000001" customHeight="1">
      <c r="A210" s="26" t="s">
        <v>349</v>
      </c>
      <c r="B210" t="s">
        <v>719</v>
      </c>
      <c r="C210" t="s">
        <v>720</v>
      </c>
      <c r="D210" s="41">
        <v>45536</v>
      </c>
      <c r="E210" t="s">
        <v>820</v>
      </c>
      <c r="F210" t="s">
        <v>1028</v>
      </c>
      <c r="G210" t="s">
        <v>1125</v>
      </c>
      <c r="H210" s="26">
        <v>2000</v>
      </c>
      <c r="I210" s="26" t="s">
        <v>1507</v>
      </c>
      <c r="J210" s="26"/>
      <c r="K210" s="26">
        <v>32.43</v>
      </c>
      <c r="L210" s="39">
        <v>32.43</v>
      </c>
      <c r="M210" s="39"/>
      <c r="N210" s="44" t="s">
        <v>1115</v>
      </c>
      <c r="O210" s="40" t="s">
        <v>1115</v>
      </c>
      <c r="P210" s="26" t="s">
        <v>1160</v>
      </c>
      <c r="Q210" s="45">
        <v>2</v>
      </c>
      <c r="R210" s="26" t="s">
        <v>51</v>
      </c>
      <c r="S210" s="26"/>
      <c r="T210">
        <v>34823</v>
      </c>
      <c r="U210" s="46">
        <v>34823</v>
      </c>
      <c r="V210" s="26"/>
      <c r="W210" s="26"/>
      <c r="X210" s="26"/>
      <c r="Y210" s="31"/>
      <c r="Z210" s="26"/>
      <c r="AA210" s="11"/>
      <c r="AB210" s="11"/>
      <c r="AC210" s="11"/>
      <c r="AD210" s="11"/>
      <c r="AE210" s="11"/>
      <c r="AF210" s="26"/>
      <c r="AG210" s="11" t="s">
        <v>53</v>
      </c>
      <c r="AH210" s="11" t="b">
        <v>0</v>
      </c>
      <c r="AI210" s="26"/>
      <c r="AJ210" s="26"/>
      <c r="AK210" t="s">
        <v>54</v>
      </c>
      <c r="AL210" s="44" t="s">
        <v>1427</v>
      </c>
      <c r="AM210" s="26" t="s">
        <v>50</v>
      </c>
      <c r="AN210" s="26"/>
      <c r="AO210" s="31"/>
      <c r="AP210" s="11" t="b">
        <v>0</v>
      </c>
      <c r="AQ210" s="11" t="b">
        <v>0</v>
      </c>
    </row>
    <row r="211" spans="1:43" ht="20.100000000000001" customHeight="1">
      <c r="A211" s="26" t="s">
        <v>350</v>
      </c>
      <c r="B211" t="s">
        <v>721</v>
      </c>
      <c r="C211" t="s">
        <v>722</v>
      </c>
      <c r="D211" s="41">
        <v>45622</v>
      </c>
      <c r="E211" t="s">
        <v>823</v>
      </c>
      <c r="F211" t="s">
        <v>1029</v>
      </c>
      <c r="G211" t="s">
        <v>1137</v>
      </c>
      <c r="H211" s="26">
        <v>2200</v>
      </c>
      <c r="I211" s="26" t="s">
        <v>1516</v>
      </c>
      <c r="J211" s="26"/>
      <c r="K211" s="26">
        <v>37</v>
      </c>
      <c r="L211" s="39">
        <v>32.5</v>
      </c>
      <c r="M211" s="39"/>
      <c r="N211" s="44">
        <v>38</v>
      </c>
      <c r="O211" s="40">
        <v>43.3</v>
      </c>
      <c r="P211" s="26" t="s">
        <v>1167</v>
      </c>
      <c r="Q211" s="45">
        <v>13</v>
      </c>
      <c r="R211" s="26">
        <v>17</v>
      </c>
      <c r="S211" s="26"/>
      <c r="T211">
        <v>29065</v>
      </c>
      <c r="U211" s="46">
        <f>Table1[[#This Row],[FTE Annual salary rate]]/Table1[[#This Row],[Full time hours for role]]*Table1[[#This Row],[Weekly Hours ]]/52.14285*Table1[[#This Row],[EQWP/ TTO Weeks paid per year]]</f>
        <v>21200.450793841832</v>
      </c>
      <c r="V211" s="26"/>
      <c r="W211" s="26"/>
      <c r="X211" s="26"/>
      <c r="Y211" s="31"/>
      <c r="Z211" s="26"/>
      <c r="AA211" s="11"/>
      <c r="AB211" s="11"/>
      <c r="AC211" s="11"/>
      <c r="AD211" s="11"/>
      <c r="AE211" s="11"/>
      <c r="AF211" s="26"/>
      <c r="AG211" s="26" t="s">
        <v>48</v>
      </c>
      <c r="AH211" s="11" t="b">
        <v>0</v>
      </c>
      <c r="AI211" s="26"/>
      <c r="AJ211" s="26"/>
      <c r="AK211" t="s">
        <v>54</v>
      </c>
      <c r="AL211" s="44" t="s">
        <v>1428</v>
      </c>
      <c r="AM211" s="26" t="s">
        <v>50</v>
      </c>
      <c r="AN211" s="26"/>
      <c r="AO211" s="31"/>
      <c r="AP211" s="11" t="b">
        <v>0</v>
      </c>
      <c r="AQ211" s="11" t="b">
        <v>0</v>
      </c>
    </row>
    <row r="212" spans="1:43" ht="20.100000000000001" customHeight="1">
      <c r="A212" s="26" t="s">
        <v>351</v>
      </c>
      <c r="B212" t="s">
        <v>723</v>
      </c>
      <c r="C212" t="s">
        <v>540</v>
      </c>
      <c r="D212" s="41">
        <v>45061</v>
      </c>
      <c r="E212" t="s">
        <v>823</v>
      </c>
      <c r="F212" t="s">
        <v>1030</v>
      </c>
      <c r="G212" t="s">
        <v>1122</v>
      </c>
      <c r="H212" s="26">
        <v>2200</v>
      </c>
      <c r="I212" s="26" t="s">
        <v>1516</v>
      </c>
      <c r="J212" s="26"/>
      <c r="K212" s="26">
        <v>37</v>
      </c>
      <c r="L212" s="39">
        <v>11</v>
      </c>
      <c r="M212" s="39"/>
      <c r="N212" s="44">
        <v>38</v>
      </c>
      <c r="O212" s="40">
        <v>43.3</v>
      </c>
      <c r="P212" s="26" t="s">
        <v>1167</v>
      </c>
      <c r="Q212" s="45">
        <v>7</v>
      </c>
      <c r="R212" s="26">
        <v>9</v>
      </c>
      <c r="S212" s="26"/>
      <c r="T212">
        <v>26403</v>
      </c>
      <c r="U212" s="46">
        <f>Table1[[#This Row],[FTE Annual salary rate]]/Table1[[#This Row],[Full time hours for role]]*Table1[[#This Row],[Weekly Hours ]]/52.14285*Table1[[#This Row],[EQWP/ TTO Weeks paid per year]]</f>
        <v>6518.3453801509768</v>
      </c>
      <c r="V212" s="26"/>
      <c r="W212" s="26"/>
      <c r="X212" s="26"/>
      <c r="Y212" s="31"/>
      <c r="Z212" s="26"/>
      <c r="AA212" s="11"/>
      <c r="AB212" s="11"/>
      <c r="AC212" s="11"/>
      <c r="AD212" s="11"/>
      <c r="AE212" s="11"/>
      <c r="AF212" s="26"/>
      <c r="AG212" s="26" t="s">
        <v>48</v>
      </c>
      <c r="AH212" s="11" t="b">
        <v>0</v>
      </c>
      <c r="AI212" s="26"/>
      <c r="AJ212" s="26"/>
      <c r="AK212" t="s">
        <v>54</v>
      </c>
      <c r="AL212" s="44" t="s">
        <v>1429</v>
      </c>
      <c r="AM212" s="26" t="s">
        <v>50</v>
      </c>
      <c r="AN212" s="26"/>
      <c r="AO212" s="31"/>
      <c r="AP212" s="11" t="b">
        <v>0</v>
      </c>
      <c r="AQ212" s="11" t="b">
        <v>0</v>
      </c>
    </row>
    <row r="213" spans="1:43" ht="20.100000000000001" customHeight="1">
      <c r="A213" s="26" t="s">
        <v>351</v>
      </c>
      <c r="B213" t="s">
        <v>723</v>
      </c>
      <c r="C213" t="s">
        <v>540</v>
      </c>
      <c r="D213" s="41">
        <v>45061</v>
      </c>
      <c r="E213" t="s">
        <v>823</v>
      </c>
      <c r="F213" t="s">
        <v>1031</v>
      </c>
      <c r="G213" t="s">
        <v>1132</v>
      </c>
      <c r="H213" s="26">
        <v>2740</v>
      </c>
      <c r="I213" s="26" t="s">
        <v>1510</v>
      </c>
      <c r="J213" s="26"/>
      <c r="K213" s="26">
        <v>37</v>
      </c>
      <c r="L213" s="39">
        <v>3</v>
      </c>
      <c r="M213" s="39"/>
      <c r="N213" s="44">
        <v>38</v>
      </c>
      <c r="O213" s="40">
        <v>43.3</v>
      </c>
      <c r="P213" s="26" t="s">
        <v>1167</v>
      </c>
      <c r="Q213" s="45">
        <v>3</v>
      </c>
      <c r="R213" s="26">
        <v>4</v>
      </c>
      <c r="S213" s="26"/>
      <c r="T213">
        <v>24796</v>
      </c>
      <c r="U213" s="46">
        <f>Table1[[#This Row],[FTE Annual salary rate]]/Table1[[#This Row],[Full time hours for role]]*Table1[[#This Row],[Weekly Hours ]]/52.14285*Table1[[#This Row],[EQWP/ TTO Weeks paid per year]]</f>
        <v>1669.5302398097701</v>
      </c>
      <c r="V213" s="26"/>
      <c r="W213" s="26"/>
      <c r="X213" s="26"/>
      <c r="Y213" s="31"/>
      <c r="Z213" s="26"/>
      <c r="AA213" s="11"/>
      <c r="AB213" s="11"/>
      <c r="AC213" s="11"/>
      <c r="AD213" s="11"/>
      <c r="AE213" s="11"/>
      <c r="AF213" s="26"/>
      <c r="AG213" s="26" t="s">
        <v>48</v>
      </c>
      <c r="AH213" s="11" t="b">
        <v>0</v>
      </c>
      <c r="AI213" s="26"/>
      <c r="AJ213" s="26"/>
      <c r="AK213" t="s">
        <v>54</v>
      </c>
      <c r="AL213" s="44" t="s">
        <v>1429</v>
      </c>
      <c r="AM213" s="26" t="s">
        <v>50</v>
      </c>
      <c r="AN213" s="26"/>
      <c r="AO213" s="31"/>
      <c r="AP213" s="11" t="b">
        <v>0</v>
      </c>
      <c r="AQ213" s="11" t="b">
        <v>0</v>
      </c>
    </row>
    <row r="214" spans="1:43" ht="20.100000000000001" customHeight="1">
      <c r="A214" s="26" t="s">
        <v>352</v>
      </c>
      <c r="B214" t="s">
        <v>724</v>
      </c>
      <c r="C214" t="s">
        <v>540</v>
      </c>
      <c r="D214" s="41">
        <v>42051</v>
      </c>
      <c r="E214" t="s">
        <v>823</v>
      </c>
      <c r="F214" t="s">
        <v>1032</v>
      </c>
      <c r="G214" t="s">
        <v>1122</v>
      </c>
      <c r="H214" s="26">
        <v>2200</v>
      </c>
      <c r="I214" s="26" t="s">
        <v>1506</v>
      </c>
      <c r="J214" s="26"/>
      <c r="K214" s="26">
        <v>37</v>
      </c>
      <c r="L214" s="39">
        <v>27.5</v>
      </c>
      <c r="M214" s="39"/>
      <c r="N214" s="44">
        <v>38</v>
      </c>
      <c r="O214" s="40">
        <v>44.8</v>
      </c>
      <c r="P214" s="26" t="s">
        <v>1167</v>
      </c>
      <c r="Q214" s="45">
        <v>8</v>
      </c>
      <c r="R214" s="26">
        <v>9</v>
      </c>
      <c r="S214" s="26"/>
      <c r="T214">
        <v>26824</v>
      </c>
      <c r="U214" s="46">
        <f>Table1[[#This Row],[FTE Annual salary rate]]/Table1[[#This Row],[Full time hours for role]]*Table1[[#This Row],[Weekly Hours ]]/52.14285*Table1[[#This Row],[EQWP/ TTO Weeks paid per year]]</f>
        <v>17129.226781863719</v>
      </c>
      <c r="V214" s="26"/>
      <c r="W214" s="26"/>
      <c r="X214" s="26"/>
      <c r="Y214" s="31"/>
      <c r="Z214" s="26"/>
      <c r="AA214" s="11"/>
      <c r="AB214" s="11"/>
      <c r="AC214" s="11"/>
      <c r="AD214" s="11"/>
      <c r="AE214" s="11"/>
      <c r="AF214" s="26"/>
      <c r="AG214" s="26" t="s">
        <v>48</v>
      </c>
      <c r="AH214" s="11" t="b">
        <v>0</v>
      </c>
      <c r="AI214" s="26"/>
      <c r="AJ214" s="26"/>
      <c r="AK214" t="s">
        <v>54</v>
      </c>
      <c r="AL214" s="44" t="s">
        <v>1430</v>
      </c>
      <c r="AM214" s="26" t="s">
        <v>50</v>
      </c>
      <c r="AN214" s="26"/>
      <c r="AO214" s="31"/>
      <c r="AP214" s="11" t="b">
        <v>0</v>
      </c>
      <c r="AQ214" s="11" t="b">
        <v>0</v>
      </c>
    </row>
    <row r="215" spans="1:43" ht="20.100000000000001" customHeight="1">
      <c r="A215" s="26" t="s">
        <v>353</v>
      </c>
      <c r="B215" t="s">
        <v>725</v>
      </c>
      <c r="C215" t="s">
        <v>574</v>
      </c>
      <c r="D215" s="41">
        <v>41153</v>
      </c>
      <c r="E215" t="s">
        <v>820</v>
      </c>
      <c r="F215" t="s">
        <v>1033</v>
      </c>
      <c r="G215" t="s">
        <v>1119</v>
      </c>
      <c r="H215" s="26">
        <v>2820</v>
      </c>
      <c r="I215" s="26" t="s">
        <v>1509</v>
      </c>
      <c r="J215" s="26"/>
      <c r="K215" s="26">
        <v>37</v>
      </c>
      <c r="L215" s="39">
        <v>6.25</v>
      </c>
      <c r="M215" s="39"/>
      <c r="N215" s="44">
        <v>38</v>
      </c>
      <c r="O215" s="40">
        <v>44.8</v>
      </c>
      <c r="P215" s="26" t="s">
        <v>1167</v>
      </c>
      <c r="Q215" s="45">
        <v>4</v>
      </c>
      <c r="R215" s="26">
        <v>4</v>
      </c>
      <c r="S215" s="26"/>
      <c r="T215">
        <v>25185</v>
      </c>
      <c r="U215" s="46">
        <f>Table1[[#This Row],[FTE Annual salary rate]]/Table1[[#This Row],[Full time hours for role]]*Table1[[#This Row],[Weekly Hours ]]/52.14285*Table1[[#This Row],[EQWP/ TTO Weeks paid per year]]</f>
        <v>3655.1356358386461</v>
      </c>
      <c r="V215" s="26"/>
      <c r="W215" s="26"/>
      <c r="X215" s="26"/>
      <c r="Y215" s="31"/>
      <c r="Z215" s="26"/>
      <c r="AA215" s="11"/>
      <c r="AB215" s="11"/>
      <c r="AC215" s="11"/>
      <c r="AD215" s="11"/>
      <c r="AE215" s="11"/>
      <c r="AF215" s="26"/>
      <c r="AG215" s="26" t="s">
        <v>48</v>
      </c>
      <c r="AH215" s="11" t="b">
        <v>0</v>
      </c>
      <c r="AI215" s="26"/>
      <c r="AJ215" s="26"/>
      <c r="AK215" t="s">
        <v>54</v>
      </c>
      <c r="AL215" s="44" t="s">
        <v>1431</v>
      </c>
      <c r="AM215" s="26" t="s">
        <v>50</v>
      </c>
      <c r="AN215" s="26"/>
      <c r="AO215" s="31"/>
      <c r="AP215" s="11" t="b">
        <v>0</v>
      </c>
      <c r="AQ215" s="11" t="b">
        <v>0</v>
      </c>
    </row>
    <row r="216" spans="1:43" ht="20.100000000000001" customHeight="1">
      <c r="A216" s="26" t="s">
        <v>354</v>
      </c>
      <c r="B216" t="s">
        <v>726</v>
      </c>
      <c r="C216" t="s">
        <v>568</v>
      </c>
      <c r="D216" s="41">
        <v>45170</v>
      </c>
      <c r="E216" t="s">
        <v>819</v>
      </c>
      <c r="F216" t="s">
        <v>1034</v>
      </c>
      <c r="G216" t="s">
        <v>1125</v>
      </c>
      <c r="H216" s="26">
        <v>2000</v>
      </c>
      <c r="I216" s="26" t="s">
        <v>1507</v>
      </c>
      <c r="J216" s="26"/>
      <c r="K216" s="26">
        <v>32.43</v>
      </c>
      <c r="L216" s="39">
        <v>32.43</v>
      </c>
      <c r="M216" s="39"/>
      <c r="N216" s="44" t="s">
        <v>1115</v>
      </c>
      <c r="O216" s="40" t="s">
        <v>1115</v>
      </c>
      <c r="P216" s="26" t="s">
        <v>1160</v>
      </c>
      <c r="Q216" s="45">
        <v>3</v>
      </c>
      <c r="R216" s="26" t="s">
        <v>51</v>
      </c>
      <c r="S216" s="26"/>
      <c r="T216">
        <v>37101</v>
      </c>
      <c r="U216" s="46">
        <v>37101</v>
      </c>
      <c r="V216" s="26"/>
      <c r="W216" s="26"/>
      <c r="X216" s="26"/>
      <c r="Y216" s="31"/>
      <c r="Z216" s="26"/>
      <c r="AA216" s="11"/>
      <c r="AB216" s="11"/>
      <c r="AC216" s="11"/>
      <c r="AD216" s="11"/>
      <c r="AE216" s="11"/>
      <c r="AF216" s="26"/>
      <c r="AG216" s="11" t="s">
        <v>53</v>
      </c>
      <c r="AH216" s="11" t="b">
        <v>0</v>
      </c>
      <c r="AI216" s="26"/>
      <c r="AJ216" s="26"/>
      <c r="AK216" t="s">
        <v>54</v>
      </c>
      <c r="AL216" s="44" t="s">
        <v>1432</v>
      </c>
      <c r="AM216" s="26" t="s">
        <v>50</v>
      </c>
      <c r="AN216" s="26"/>
      <c r="AO216" s="31"/>
      <c r="AP216" s="11" t="b">
        <v>0</v>
      </c>
      <c r="AQ216" s="11" t="b">
        <v>0</v>
      </c>
    </row>
    <row r="217" spans="1:43" ht="20.100000000000001" customHeight="1">
      <c r="A217" s="26" t="s">
        <v>376</v>
      </c>
      <c r="B217" t="s">
        <v>754</v>
      </c>
      <c r="C217" t="s">
        <v>465</v>
      </c>
      <c r="D217" s="41">
        <v>44805</v>
      </c>
      <c r="E217" t="s">
        <v>821</v>
      </c>
      <c r="F217" t="s">
        <v>1057</v>
      </c>
      <c r="G217" t="s">
        <v>1125</v>
      </c>
      <c r="H217" s="26">
        <v>2000</v>
      </c>
      <c r="I217" s="26" t="s">
        <v>1507</v>
      </c>
      <c r="J217" s="26"/>
      <c r="K217" s="26">
        <v>32.43</v>
      </c>
      <c r="L217" s="39">
        <v>32.43</v>
      </c>
      <c r="M217" s="39"/>
      <c r="N217" s="44" t="s">
        <v>1115</v>
      </c>
      <c r="O217" s="40" t="s">
        <v>1115</v>
      </c>
      <c r="P217" s="26" t="s">
        <v>1160</v>
      </c>
      <c r="Q217" s="45">
        <v>6</v>
      </c>
      <c r="R217" s="26" t="s">
        <v>51</v>
      </c>
      <c r="S217" s="26"/>
      <c r="T217">
        <v>45352</v>
      </c>
      <c r="U217" s="46">
        <v>45352</v>
      </c>
      <c r="V217" s="26" t="s">
        <v>1180</v>
      </c>
      <c r="W217" s="26">
        <v>4675</v>
      </c>
      <c r="X217" s="26"/>
      <c r="Y217" s="31"/>
      <c r="Z217" s="26"/>
      <c r="AA217" s="11"/>
      <c r="AB217" s="11"/>
      <c r="AC217" s="11"/>
      <c r="AD217" s="11"/>
      <c r="AE217" s="11"/>
      <c r="AF217" s="26"/>
      <c r="AG217" s="11" t="s">
        <v>53</v>
      </c>
      <c r="AH217" s="11" t="b">
        <v>0</v>
      </c>
      <c r="AI217" s="26"/>
      <c r="AJ217" s="26"/>
      <c r="AK217" t="s">
        <v>54</v>
      </c>
      <c r="AL217" s="44" t="s">
        <v>1454</v>
      </c>
      <c r="AM217" s="26" t="s">
        <v>50</v>
      </c>
      <c r="AN217" s="26"/>
      <c r="AO217" s="31"/>
      <c r="AP217" s="11" t="b">
        <v>0</v>
      </c>
      <c r="AQ217" s="11" t="b">
        <v>0</v>
      </c>
    </row>
    <row r="218" spans="1:43" ht="20.100000000000001" customHeight="1">
      <c r="A218" s="26" t="s">
        <v>356</v>
      </c>
      <c r="B218" t="s">
        <v>728</v>
      </c>
      <c r="C218" t="s">
        <v>632</v>
      </c>
      <c r="D218" s="41">
        <v>41646</v>
      </c>
      <c r="E218" t="s">
        <v>820</v>
      </c>
      <c r="F218" t="s">
        <v>1036</v>
      </c>
      <c r="G218" t="s">
        <v>1128</v>
      </c>
      <c r="H218" s="26">
        <v>2200</v>
      </c>
      <c r="I218" s="26" t="s">
        <v>1506</v>
      </c>
      <c r="J218" s="26"/>
      <c r="K218" s="26">
        <v>37</v>
      </c>
      <c r="L218" s="39">
        <v>27.5</v>
      </c>
      <c r="M218" s="39"/>
      <c r="N218" s="44">
        <v>38</v>
      </c>
      <c r="O218" s="40">
        <v>44.8</v>
      </c>
      <c r="P218" s="26" t="s">
        <v>1167</v>
      </c>
      <c r="Q218" s="45">
        <v>6</v>
      </c>
      <c r="R218" s="26">
        <v>6</v>
      </c>
      <c r="S218" s="26"/>
      <c r="T218">
        <v>25989</v>
      </c>
      <c r="U218" s="46">
        <f>Table1[[#This Row],[FTE Annual salary rate]]/Table1[[#This Row],[Full time hours for role]]*Table1[[#This Row],[Weekly Hours ]]/52.14285*Table1[[#This Row],[EQWP/ TTO Weeks paid per year]]</f>
        <v>16596.013824703856</v>
      </c>
      <c r="V218" s="26"/>
      <c r="W218" s="26"/>
      <c r="X218" s="26"/>
      <c r="Y218" s="31"/>
      <c r="Z218" s="26"/>
      <c r="AA218" s="11"/>
      <c r="AB218" s="11"/>
      <c r="AC218" s="11"/>
      <c r="AD218" s="11"/>
      <c r="AE218" s="11"/>
      <c r="AF218" s="26"/>
      <c r="AG218" s="26" t="s">
        <v>48</v>
      </c>
      <c r="AH218" s="26" t="b">
        <v>1</v>
      </c>
      <c r="AI218" s="26"/>
      <c r="AJ218" s="26"/>
      <c r="AK218" t="s">
        <v>54</v>
      </c>
      <c r="AL218" s="44" t="s">
        <v>1434</v>
      </c>
      <c r="AM218" s="26" t="s">
        <v>50</v>
      </c>
      <c r="AN218" s="26"/>
      <c r="AO218" s="31"/>
      <c r="AP218" s="11" t="b">
        <v>0</v>
      </c>
      <c r="AQ218" s="11" t="b">
        <v>0</v>
      </c>
    </row>
    <row r="219" spans="1:43" ht="20.100000000000001" customHeight="1">
      <c r="A219" s="26" t="s">
        <v>357</v>
      </c>
      <c r="B219" t="s">
        <v>729</v>
      </c>
      <c r="C219" t="s">
        <v>730</v>
      </c>
      <c r="D219" s="41">
        <v>41883</v>
      </c>
      <c r="E219" t="s">
        <v>821</v>
      </c>
      <c r="F219" t="s">
        <v>1037</v>
      </c>
      <c r="G219" t="s">
        <v>1125</v>
      </c>
      <c r="H219" s="26">
        <v>2000</v>
      </c>
      <c r="I219" s="26" t="s">
        <v>1507</v>
      </c>
      <c r="J219" s="26"/>
      <c r="K219" s="26">
        <v>32.43</v>
      </c>
      <c r="L219" s="39">
        <v>32.43</v>
      </c>
      <c r="M219" s="39"/>
      <c r="N219" s="44" t="s">
        <v>1115</v>
      </c>
      <c r="O219" s="40" t="s">
        <v>1115</v>
      </c>
      <c r="P219" s="26" t="s">
        <v>1160</v>
      </c>
      <c r="Q219" s="45">
        <v>6</v>
      </c>
      <c r="R219" s="26" t="s">
        <v>51</v>
      </c>
      <c r="S219" s="26"/>
      <c r="T219">
        <v>45352</v>
      </c>
      <c r="U219" s="46">
        <v>45352</v>
      </c>
      <c r="V219" s="26"/>
      <c r="W219" s="26"/>
      <c r="X219" s="26"/>
      <c r="Y219" s="31"/>
      <c r="Z219" s="26"/>
      <c r="AA219" s="11"/>
      <c r="AB219" s="11"/>
      <c r="AC219" s="11"/>
      <c r="AD219" s="11"/>
      <c r="AE219" s="11"/>
      <c r="AF219" s="26"/>
      <c r="AG219" s="11" t="s">
        <v>53</v>
      </c>
      <c r="AH219" s="11" t="b">
        <v>0</v>
      </c>
      <c r="AI219" s="26"/>
      <c r="AJ219" s="26"/>
      <c r="AK219" t="s">
        <v>54</v>
      </c>
      <c r="AL219" s="44" t="s">
        <v>1435</v>
      </c>
      <c r="AM219" s="26" t="s">
        <v>50</v>
      </c>
      <c r="AN219" s="26"/>
      <c r="AO219" s="31"/>
      <c r="AP219" s="11" t="b">
        <v>0</v>
      </c>
      <c r="AQ219" s="11" t="b">
        <v>0</v>
      </c>
    </row>
    <row r="220" spans="1:43" ht="20.100000000000001" customHeight="1">
      <c r="A220" s="26" t="s">
        <v>358</v>
      </c>
      <c r="B220" t="s">
        <v>731</v>
      </c>
      <c r="C220" t="s">
        <v>702</v>
      </c>
      <c r="D220" s="41">
        <v>45616</v>
      </c>
      <c r="E220" t="s">
        <v>821</v>
      </c>
      <c r="F220" t="s">
        <v>1038</v>
      </c>
      <c r="G220" t="s">
        <v>1125</v>
      </c>
      <c r="H220" s="26">
        <v>2000</v>
      </c>
      <c r="I220" s="26" t="s">
        <v>1507</v>
      </c>
      <c r="J220" s="26"/>
      <c r="K220" s="26">
        <v>32.43</v>
      </c>
      <c r="L220" s="39">
        <v>32.43</v>
      </c>
      <c r="M220" s="39"/>
      <c r="N220" s="44" t="s">
        <v>1115</v>
      </c>
      <c r="O220" s="40" t="s">
        <v>1115</v>
      </c>
      <c r="P220" s="26" t="s">
        <v>1160</v>
      </c>
      <c r="Q220" s="45">
        <v>6</v>
      </c>
      <c r="R220" s="26" t="s">
        <v>51</v>
      </c>
      <c r="S220" s="26"/>
      <c r="T220">
        <v>45352</v>
      </c>
      <c r="U220" s="46">
        <v>45352</v>
      </c>
      <c r="V220" s="26"/>
      <c r="W220" s="26"/>
      <c r="X220" s="26"/>
      <c r="Y220" s="31"/>
      <c r="Z220" s="26"/>
      <c r="AA220" s="11"/>
      <c r="AB220" s="11"/>
      <c r="AC220" s="11"/>
      <c r="AD220" s="11"/>
      <c r="AE220" s="11"/>
      <c r="AF220" s="26"/>
      <c r="AG220" s="11" t="s">
        <v>53</v>
      </c>
      <c r="AH220" s="11" t="b">
        <v>0</v>
      </c>
      <c r="AI220" s="26"/>
      <c r="AJ220" s="26"/>
      <c r="AK220" t="s">
        <v>54</v>
      </c>
      <c r="AL220" s="44" t="s">
        <v>1436</v>
      </c>
      <c r="AM220" s="26" t="s">
        <v>50</v>
      </c>
      <c r="AN220" s="26"/>
      <c r="AO220" s="31"/>
      <c r="AP220" s="11" t="b">
        <v>0</v>
      </c>
      <c r="AQ220" s="11" t="b">
        <v>0</v>
      </c>
    </row>
    <row r="221" spans="1:43" ht="20.100000000000001" customHeight="1">
      <c r="A221" s="26" t="s">
        <v>359</v>
      </c>
      <c r="B221" t="s">
        <v>732</v>
      </c>
      <c r="C221" t="s">
        <v>611</v>
      </c>
      <c r="D221" s="41">
        <v>41153</v>
      </c>
      <c r="E221" t="s">
        <v>819</v>
      </c>
      <c r="F221" t="s">
        <v>1039</v>
      </c>
      <c r="G221" t="s">
        <v>1120</v>
      </c>
      <c r="H221" s="26">
        <v>2200</v>
      </c>
      <c r="I221" s="26" t="s">
        <v>1506</v>
      </c>
      <c r="J221" s="26"/>
      <c r="K221" s="26">
        <v>37</v>
      </c>
      <c r="L221" s="39">
        <v>31.25</v>
      </c>
      <c r="M221" s="39"/>
      <c r="N221" s="44">
        <v>38</v>
      </c>
      <c r="O221" s="40">
        <v>44.8</v>
      </c>
      <c r="P221" s="26" t="s">
        <v>1167</v>
      </c>
      <c r="Q221" s="45">
        <v>6</v>
      </c>
      <c r="R221" s="26">
        <v>6</v>
      </c>
      <c r="S221" s="26"/>
      <c r="T221">
        <v>25989</v>
      </c>
      <c r="U221" s="46">
        <f>Table1[[#This Row],[FTE Annual salary rate]]/Table1[[#This Row],[Full time hours for role]]*Table1[[#This Row],[Weekly Hours ]]/52.14285*Table1[[#This Row],[EQWP/ TTO Weeks paid per year]]</f>
        <v>18859.106618981652</v>
      </c>
      <c r="V221" s="26"/>
      <c r="W221" s="26"/>
      <c r="X221" s="26"/>
      <c r="Y221" s="31"/>
      <c r="Z221" s="26"/>
      <c r="AA221" s="11"/>
      <c r="AB221" s="11"/>
      <c r="AC221" s="11"/>
      <c r="AD221" s="11"/>
      <c r="AE221" s="11"/>
      <c r="AF221" s="26"/>
      <c r="AG221" s="26" t="s">
        <v>48</v>
      </c>
      <c r="AH221" s="11" t="b">
        <v>0</v>
      </c>
      <c r="AI221" s="26"/>
      <c r="AJ221" s="26"/>
      <c r="AK221" t="s">
        <v>54</v>
      </c>
      <c r="AL221" s="44" t="s">
        <v>1437</v>
      </c>
      <c r="AM221" s="26" t="s">
        <v>50</v>
      </c>
      <c r="AN221" s="26"/>
      <c r="AO221" s="31"/>
      <c r="AP221" s="11" t="b">
        <v>0</v>
      </c>
      <c r="AQ221" s="11" t="b">
        <v>0</v>
      </c>
    </row>
    <row r="222" spans="1:43" ht="20.100000000000001" customHeight="1">
      <c r="A222" s="26" t="s">
        <v>360</v>
      </c>
      <c r="B222" t="s">
        <v>733</v>
      </c>
      <c r="C222" t="s">
        <v>734</v>
      </c>
      <c r="D222" s="41">
        <v>45992</v>
      </c>
      <c r="E222" t="s">
        <v>819</v>
      </c>
      <c r="F222" t="s">
        <v>1040</v>
      </c>
      <c r="G222" t="s">
        <v>1119</v>
      </c>
      <c r="H222" s="26">
        <v>2820</v>
      </c>
      <c r="I222" s="26" t="s">
        <v>1509</v>
      </c>
      <c r="J222" s="26"/>
      <c r="K222" s="26">
        <v>37</v>
      </c>
      <c r="L222" s="39">
        <v>6.25</v>
      </c>
      <c r="M222" s="39"/>
      <c r="N222" s="44">
        <v>38</v>
      </c>
      <c r="O222" s="40">
        <v>43.3</v>
      </c>
      <c r="P222" s="26" t="s">
        <v>1167</v>
      </c>
      <c r="Q222" s="45">
        <v>3</v>
      </c>
      <c r="R222" s="26">
        <v>4</v>
      </c>
      <c r="S222" s="26"/>
      <c r="T222">
        <v>24796</v>
      </c>
      <c r="U222" s="46">
        <f>Table1[[#This Row],[FTE Annual salary rate]]/Table1[[#This Row],[Full time hours for role]]*Table1[[#This Row],[Weekly Hours ]]/52.14285*Table1[[#This Row],[EQWP/ TTO Weeks paid per year]]</f>
        <v>3478.1879996036873</v>
      </c>
      <c r="V222" s="26"/>
      <c r="W222" s="26"/>
      <c r="X222" s="26"/>
      <c r="Y222" s="31"/>
      <c r="Z222" s="26"/>
      <c r="AA222" s="11"/>
      <c r="AB222" s="11"/>
      <c r="AC222" s="11"/>
      <c r="AD222" s="11"/>
      <c r="AE222" s="11"/>
      <c r="AF222" s="26"/>
      <c r="AG222" s="26" t="s">
        <v>48</v>
      </c>
      <c r="AH222" s="11" t="b">
        <v>0</v>
      </c>
      <c r="AI222" s="26"/>
      <c r="AJ222" s="26"/>
      <c r="AK222" t="s">
        <v>54</v>
      </c>
      <c r="AL222" s="44" t="s">
        <v>1438</v>
      </c>
      <c r="AM222" s="26" t="s">
        <v>50</v>
      </c>
      <c r="AN222" s="26"/>
      <c r="AO222" s="31"/>
      <c r="AP222" s="11" t="b">
        <v>0</v>
      </c>
      <c r="AQ222" s="11" t="b">
        <v>0</v>
      </c>
    </row>
    <row r="223" spans="1:43" ht="20.100000000000001" customHeight="1">
      <c r="A223" s="26" t="s">
        <v>385</v>
      </c>
      <c r="B223" t="s">
        <v>764</v>
      </c>
      <c r="C223" t="s">
        <v>503</v>
      </c>
      <c r="D223" s="41">
        <v>42979</v>
      </c>
      <c r="E223" t="s">
        <v>821</v>
      </c>
      <c r="F223" t="s">
        <v>1068</v>
      </c>
      <c r="G223" t="s">
        <v>1155</v>
      </c>
      <c r="H223" s="26">
        <v>2000</v>
      </c>
      <c r="I223" s="26" t="s">
        <v>1507</v>
      </c>
      <c r="J223" s="26"/>
      <c r="K223" s="26">
        <v>32.43</v>
      </c>
      <c r="L223" s="39">
        <v>32.43</v>
      </c>
      <c r="M223" s="39"/>
      <c r="N223" s="44" t="s">
        <v>1115</v>
      </c>
      <c r="O223" s="40" t="s">
        <v>1115</v>
      </c>
      <c r="P223" s="26" t="s">
        <v>1161</v>
      </c>
      <c r="Q223" s="45">
        <v>3</v>
      </c>
      <c r="R223" s="26" t="s">
        <v>52</v>
      </c>
      <c r="S223" s="26"/>
      <c r="T223">
        <v>51048</v>
      </c>
      <c r="U223" s="46">
        <v>50148</v>
      </c>
      <c r="V223" s="26" t="s">
        <v>1180</v>
      </c>
      <c r="W223" s="26">
        <v>4675</v>
      </c>
      <c r="X223" s="26">
        <v>4675</v>
      </c>
      <c r="Y223" s="31"/>
      <c r="Z223" s="26"/>
      <c r="AA223" s="11"/>
      <c r="AB223" s="11"/>
      <c r="AC223" s="11"/>
      <c r="AD223" s="11"/>
      <c r="AE223" s="11"/>
      <c r="AF223" s="26"/>
      <c r="AG223" s="11" t="s">
        <v>53</v>
      </c>
      <c r="AH223" s="11" t="b">
        <v>0</v>
      </c>
      <c r="AI223" s="26"/>
      <c r="AJ223" s="26"/>
      <c r="AK223" t="s">
        <v>54</v>
      </c>
      <c r="AL223" s="44" t="s">
        <v>1463</v>
      </c>
      <c r="AM223" s="26" t="s">
        <v>50</v>
      </c>
      <c r="AN223" s="26"/>
      <c r="AO223" s="31"/>
      <c r="AP223" s="11" t="b">
        <v>0</v>
      </c>
      <c r="AQ223" s="11" t="b">
        <v>0</v>
      </c>
    </row>
    <row r="224" spans="1:43" ht="20.100000000000001" customHeight="1">
      <c r="A224" s="26" t="s">
        <v>362</v>
      </c>
      <c r="B224" t="s">
        <v>737</v>
      </c>
      <c r="C224" t="s">
        <v>523</v>
      </c>
      <c r="D224" s="41">
        <v>45901</v>
      </c>
      <c r="E224" t="s">
        <v>821</v>
      </c>
      <c r="F224" t="s">
        <v>1042</v>
      </c>
      <c r="G224" t="s">
        <v>1125</v>
      </c>
      <c r="H224" s="26">
        <v>2000</v>
      </c>
      <c r="I224" s="26" t="s">
        <v>1507</v>
      </c>
      <c r="J224" s="26"/>
      <c r="K224" s="26">
        <v>32.43</v>
      </c>
      <c r="L224" s="39">
        <v>32.43</v>
      </c>
      <c r="M224" s="39"/>
      <c r="N224" s="44" t="s">
        <v>1115</v>
      </c>
      <c r="O224" s="40" t="s">
        <v>1115</v>
      </c>
      <c r="P224" s="26" t="s">
        <v>1160</v>
      </c>
      <c r="Q224" s="45">
        <v>3</v>
      </c>
      <c r="R224" s="26" t="s">
        <v>51</v>
      </c>
      <c r="S224" s="26"/>
      <c r="T224">
        <v>37101</v>
      </c>
      <c r="U224" s="46">
        <v>37101</v>
      </c>
      <c r="V224" s="26"/>
      <c r="W224" s="26"/>
      <c r="X224" s="26"/>
      <c r="Y224" s="31"/>
      <c r="Z224" s="26"/>
      <c r="AA224" s="11"/>
      <c r="AB224" s="11"/>
      <c r="AC224" s="11"/>
      <c r="AD224" s="11"/>
      <c r="AE224" s="11"/>
      <c r="AF224" s="26"/>
      <c r="AG224" s="11" t="s">
        <v>53</v>
      </c>
      <c r="AH224" s="11" t="b">
        <v>0</v>
      </c>
      <c r="AI224" s="26"/>
      <c r="AJ224" s="26"/>
      <c r="AK224" t="s">
        <v>54</v>
      </c>
      <c r="AL224" s="44" t="s">
        <v>1440</v>
      </c>
      <c r="AM224" s="26" t="s">
        <v>50</v>
      </c>
      <c r="AN224" s="26"/>
      <c r="AO224" s="31"/>
      <c r="AP224" s="11" t="b">
        <v>0</v>
      </c>
      <c r="AQ224" s="11" t="b">
        <v>0</v>
      </c>
    </row>
    <row r="225" spans="1:43" ht="20.100000000000001" customHeight="1">
      <c r="A225" s="26" t="s">
        <v>363</v>
      </c>
      <c r="B225" t="s">
        <v>738</v>
      </c>
      <c r="C225" t="s">
        <v>454</v>
      </c>
      <c r="D225" s="41">
        <v>45775</v>
      </c>
      <c r="E225" t="s">
        <v>821</v>
      </c>
      <c r="F225" t="s">
        <v>1043</v>
      </c>
      <c r="G225" t="s">
        <v>1119</v>
      </c>
      <c r="H225" s="26">
        <v>2820</v>
      </c>
      <c r="I225" s="26" t="s">
        <v>1509</v>
      </c>
      <c r="J225" s="26"/>
      <c r="K225" s="26">
        <v>37</v>
      </c>
      <c r="L225" s="39">
        <v>6.25</v>
      </c>
      <c r="M225" s="39"/>
      <c r="N225" s="44">
        <v>38</v>
      </c>
      <c r="O225" s="40">
        <v>43.3</v>
      </c>
      <c r="P225" s="26" t="s">
        <v>1167</v>
      </c>
      <c r="Q225" s="45">
        <v>3</v>
      </c>
      <c r="R225" s="26">
        <v>4</v>
      </c>
      <c r="S225" s="26"/>
      <c r="T225">
        <v>24796</v>
      </c>
      <c r="U225" s="46">
        <f>Table1[[#This Row],[FTE Annual salary rate]]/Table1[[#This Row],[Full time hours for role]]*Table1[[#This Row],[Weekly Hours ]]/52.14285*Table1[[#This Row],[EQWP/ TTO Weeks paid per year]]</f>
        <v>3478.1879996036873</v>
      </c>
      <c r="V225" s="26"/>
      <c r="W225" s="26"/>
      <c r="X225" s="26"/>
      <c r="Y225" s="31"/>
      <c r="Z225" s="26"/>
      <c r="AA225" s="11"/>
      <c r="AB225" s="11"/>
      <c r="AC225" s="11"/>
      <c r="AD225" s="11"/>
      <c r="AE225" s="11"/>
      <c r="AF225" s="26"/>
      <c r="AG225" s="26" t="s">
        <v>48</v>
      </c>
      <c r="AH225" s="11" t="b">
        <v>0</v>
      </c>
      <c r="AI225" s="26"/>
      <c r="AJ225" s="26"/>
      <c r="AK225" t="s">
        <v>54</v>
      </c>
      <c r="AL225" s="44" t="s">
        <v>1441</v>
      </c>
      <c r="AM225" s="26" t="s">
        <v>50</v>
      </c>
      <c r="AN225" s="26"/>
      <c r="AO225" s="31"/>
      <c r="AP225" s="11" t="b">
        <v>0</v>
      </c>
      <c r="AQ225" s="11" t="b">
        <v>0</v>
      </c>
    </row>
    <row r="226" spans="1:43" ht="20.100000000000001" customHeight="1">
      <c r="A226" s="26" t="s">
        <v>364</v>
      </c>
      <c r="B226" t="s">
        <v>739</v>
      </c>
      <c r="C226" t="s">
        <v>530</v>
      </c>
      <c r="D226" s="41">
        <v>45810</v>
      </c>
      <c r="E226" t="s">
        <v>821</v>
      </c>
      <c r="F226" t="s">
        <v>1044</v>
      </c>
      <c r="G226" t="s">
        <v>1119</v>
      </c>
      <c r="H226" s="26">
        <v>2820</v>
      </c>
      <c r="I226" s="26" t="s">
        <v>1509</v>
      </c>
      <c r="J226" s="26"/>
      <c r="K226" s="26">
        <v>37</v>
      </c>
      <c r="L226" s="39">
        <v>5</v>
      </c>
      <c r="M226" s="39"/>
      <c r="N226" s="44">
        <v>38</v>
      </c>
      <c r="O226" s="40">
        <v>43.3</v>
      </c>
      <c r="P226" s="26" t="s">
        <v>1167</v>
      </c>
      <c r="Q226" s="45">
        <v>3</v>
      </c>
      <c r="R226" s="26">
        <v>4</v>
      </c>
      <c r="S226" s="26"/>
      <c r="T226">
        <v>24796</v>
      </c>
      <c r="U226" s="46">
        <f>Table1[[#This Row],[FTE Annual salary rate]]/Table1[[#This Row],[Full time hours for role]]*Table1[[#This Row],[Weekly Hours ]]/52.14285*Table1[[#This Row],[EQWP/ TTO Weeks paid per year]]</f>
        <v>2782.5503996829493</v>
      </c>
      <c r="V226" s="26"/>
      <c r="W226" s="26"/>
      <c r="X226" s="26"/>
      <c r="Y226" s="31"/>
      <c r="Z226" s="26"/>
      <c r="AA226" s="11"/>
      <c r="AB226" s="11"/>
      <c r="AC226" s="11"/>
      <c r="AD226" s="11"/>
      <c r="AE226" s="11"/>
      <c r="AF226" s="26"/>
      <c r="AG226" s="26" t="s">
        <v>48</v>
      </c>
      <c r="AH226" s="11" t="b">
        <v>0</v>
      </c>
      <c r="AI226" s="26"/>
      <c r="AJ226" s="26"/>
      <c r="AK226" t="s">
        <v>54</v>
      </c>
      <c r="AL226" s="44" t="s">
        <v>1442</v>
      </c>
      <c r="AM226" s="26" t="s">
        <v>50</v>
      </c>
      <c r="AN226" s="26"/>
      <c r="AO226" s="31"/>
      <c r="AP226" s="11" t="b">
        <v>0</v>
      </c>
      <c r="AQ226" s="11" t="b">
        <v>0</v>
      </c>
    </row>
    <row r="227" spans="1:43" ht="20.100000000000001" customHeight="1">
      <c r="A227" s="26" t="s">
        <v>408</v>
      </c>
      <c r="B227" t="s">
        <v>795</v>
      </c>
      <c r="C227" t="s">
        <v>653</v>
      </c>
      <c r="D227" s="41">
        <v>41883</v>
      </c>
      <c r="E227" t="s">
        <v>820</v>
      </c>
      <c r="F227" t="s">
        <v>1093</v>
      </c>
      <c r="G227" t="s">
        <v>1118</v>
      </c>
      <c r="H227" s="26">
        <v>2000</v>
      </c>
      <c r="I227" s="26" t="s">
        <v>1507</v>
      </c>
      <c r="J227" s="26"/>
      <c r="K227" s="26">
        <v>32.43</v>
      </c>
      <c r="L227" s="39">
        <v>32.43</v>
      </c>
      <c r="M227" s="39"/>
      <c r="N227" s="44" t="s">
        <v>1115</v>
      </c>
      <c r="O227" s="40" t="s">
        <v>1115</v>
      </c>
      <c r="P227" s="26" t="s">
        <v>1161</v>
      </c>
      <c r="Q227" s="45">
        <v>3</v>
      </c>
      <c r="R227" s="26" t="s">
        <v>52</v>
      </c>
      <c r="S227" s="26"/>
      <c r="T227">
        <v>51048</v>
      </c>
      <c r="U227" s="46">
        <v>50148</v>
      </c>
      <c r="V227" s="26" t="s">
        <v>1180</v>
      </c>
      <c r="W227" s="26">
        <v>4000</v>
      </c>
      <c r="X227" s="26">
        <v>4000</v>
      </c>
      <c r="Y227" s="31"/>
      <c r="Z227" s="26"/>
      <c r="AA227" s="11"/>
      <c r="AB227" s="11"/>
      <c r="AC227" s="11"/>
      <c r="AD227" s="11"/>
      <c r="AE227" s="11"/>
      <c r="AF227" s="26"/>
      <c r="AG227" s="11" t="s">
        <v>53</v>
      </c>
      <c r="AH227" s="11" t="b">
        <v>0</v>
      </c>
      <c r="AI227" s="26"/>
      <c r="AJ227" s="26"/>
      <c r="AK227" t="s">
        <v>49</v>
      </c>
      <c r="AL227" s="44" t="s">
        <v>1486</v>
      </c>
      <c r="AM227" s="26" t="s">
        <v>50</v>
      </c>
      <c r="AN227" s="26"/>
      <c r="AO227" s="31"/>
      <c r="AP227" s="11" t="b">
        <v>0</v>
      </c>
      <c r="AQ227" s="11" t="b">
        <v>0</v>
      </c>
    </row>
    <row r="228" spans="1:43" ht="20.100000000000001" customHeight="1">
      <c r="A228" s="26" t="s">
        <v>366</v>
      </c>
      <c r="B228" t="s">
        <v>741</v>
      </c>
      <c r="C228" t="s">
        <v>742</v>
      </c>
      <c r="D228" s="41">
        <v>36958</v>
      </c>
      <c r="E228" t="s">
        <v>820</v>
      </c>
      <c r="F228" t="s">
        <v>1046</v>
      </c>
      <c r="G228" t="s">
        <v>1119</v>
      </c>
      <c r="H228" s="26">
        <v>2820</v>
      </c>
      <c r="I228" s="26" t="s">
        <v>1509</v>
      </c>
      <c r="J228" s="26"/>
      <c r="K228" s="26">
        <v>37</v>
      </c>
      <c r="L228" s="39">
        <v>6.25</v>
      </c>
      <c r="M228" s="39"/>
      <c r="N228" s="44">
        <v>38</v>
      </c>
      <c r="O228" s="40">
        <v>44.8</v>
      </c>
      <c r="P228" s="26" t="s">
        <v>1167</v>
      </c>
      <c r="Q228" s="45">
        <v>4</v>
      </c>
      <c r="R228" s="26">
        <v>4</v>
      </c>
      <c r="S228" s="26"/>
      <c r="T228">
        <v>25185</v>
      </c>
      <c r="U228" s="46">
        <f>Table1[[#This Row],[FTE Annual salary rate]]/Table1[[#This Row],[Full time hours for role]]*Table1[[#This Row],[Weekly Hours ]]/52.14285*Table1[[#This Row],[EQWP/ TTO Weeks paid per year]]</f>
        <v>3655.1356358386461</v>
      </c>
      <c r="V228" s="26"/>
      <c r="W228" s="26"/>
      <c r="X228" s="26"/>
      <c r="Y228" s="31"/>
      <c r="Z228" s="26"/>
      <c r="AA228" s="11"/>
      <c r="AB228" s="11"/>
      <c r="AC228" s="11"/>
      <c r="AD228" s="11"/>
      <c r="AE228" s="11"/>
      <c r="AF228" s="26"/>
      <c r="AG228" s="26" t="s">
        <v>48</v>
      </c>
      <c r="AH228" s="11" t="b">
        <v>0</v>
      </c>
      <c r="AI228" s="26"/>
      <c r="AJ228" s="26"/>
      <c r="AK228" t="s">
        <v>54</v>
      </c>
      <c r="AL228" s="44" t="s">
        <v>1444</v>
      </c>
      <c r="AM228" s="26" t="s">
        <v>50</v>
      </c>
      <c r="AN228" s="26"/>
      <c r="AO228" s="31"/>
      <c r="AP228" s="11" t="b">
        <v>0</v>
      </c>
      <c r="AQ228" s="11" t="b">
        <v>0</v>
      </c>
    </row>
    <row r="229" spans="1:43" ht="20.100000000000001" customHeight="1">
      <c r="A229" s="26" t="s">
        <v>367</v>
      </c>
      <c r="B229" t="s">
        <v>743</v>
      </c>
      <c r="C229" t="s">
        <v>744</v>
      </c>
      <c r="D229" s="41">
        <v>40659</v>
      </c>
      <c r="E229" t="s">
        <v>822</v>
      </c>
      <c r="F229" t="s">
        <v>1047</v>
      </c>
      <c r="G229" t="s">
        <v>1118</v>
      </c>
      <c r="H229" s="26">
        <v>2000</v>
      </c>
      <c r="I229" s="26" t="s">
        <v>1507</v>
      </c>
      <c r="J229" s="26"/>
      <c r="K229" s="26">
        <v>32.43</v>
      </c>
      <c r="L229" s="39">
        <v>32.43</v>
      </c>
      <c r="M229" s="39"/>
      <c r="N229" s="44" t="s">
        <v>1115</v>
      </c>
      <c r="O229" s="40" t="s">
        <v>1115</v>
      </c>
      <c r="P229" s="26" t="s">
        <v>1161</v>
      </c>
      <c r="Q229" s="45">
        <v>3</v>
      </c>
      <c r="R229" s="26" t="s">
        <v>52</v>
      </c>
      <c r="S229" s="26"/>
      <c r="T229">
        <v>51048</v>
      </c>
      <c r="U229" s="46">
        <v>51048</v>
      </c>
      <c r="V229" s="26"/>
      <c r="W229" s="26"/>
      <c r="X229" s="26"/>
      <c r="Y229" s="31"/>
      <c r="Z229" s="26"/>
      <c r="AA229" s="11"/>
      <c r="AB229" s="11"/>
      <c r="AC229" s="11"/>
      <c r="AD229" s="11"/>
      <c r="AE229" s="11"/>
      <c r="AF229" s="26"/>
      <c r="AG229" s="11" t="s">
        <v>53</v>
      </c>
      <c r="AH229" s="11" t="b">
        <v>0</v>
      </c>
      <c r="AI229" s="26"/>
      <c r="AJ229" s="26"/>
      <c r="AK229" t="s">
        <v>49</v>
      </c>
      <c r="AL229" s="44" t="s">
        <v>1445</v>
      </c>
      <c r="AM229" s="26" t="s">
        <v>50</v>
      </c>
      <c r="AN229" s="26"/>
      <c r="AO229" s="31"/>
      <c r="AP229" s="11" t="b">
        <v>0</v>
      </c>
      <c r="AQ229" s="11" t="b">
        <v>0</v>
      </c>
    </row>
    <row r="230" spans="1:43" ht="20.100000000000001" customHeight="1">
      <c r="A230" s="26" t="s">
        <v>368</v>
      </c>
      <c r="B230" t="s">
        <v>745</v>
      </c>
      <c r="C230" t="s">
        <v>746</v>
      </c>
      <c r="D230" s="41">
        <v>39448</v>
      </c>
      <c r="E230" t="s">
        <v>822</v>
      </c>
      <c r="F230" t="s">
        <v>1048</v>
      </c>
      <c r="G230" t="s">
        <v>1120</v>
      </c>
      <c r="H230" s="26">
        <v>2200</v>
      </c>
      <c r="I230" s="26" t="s">
        <v>1506</v>
      </c>
      <c r="J230" s="26"/>
      <c r="K230" s="26">
        <v>37</v>
      </c>
      <c r="L230" s="39">
        <v>31.25</v>
      </c>
      <c r="M230" s="39"/>
      <c r="N230" s="44">
        <v>38</v>
      </c>
      <c r="O230" s="40">
        <v>44.8</v>
      </c>
      <c r="P230" s="26" t="s">
        <v>1167</v>
      </c>
      <c r="Q230" s="45">
        <v>6</v>
      </c>
      <c r="R230" s="26">
        <v>6</v>
      </c>
      <c r="S230" s="26"/>
      <c r="T230">
        <v>25989</v>
      </c>
      <c r="U230" s="46">
        <f>Table1[[#This Row],[FTE Annual salary rate]]/Table1[[#This Row],[Full time hours for role]]*Table1[[#This Row],[Weekly Hours ]]/52.14285*Table1[[#This Row],[EQWP/ TTO Weeks paid per year]]</f>
        <v>18859.106618981652</v>
      </c>
      <c r="V230" s="26"/>
      <c r="W230" s="26"/>
      <c r="X230" s="26"/>
      <c r="Y230" s="31"/>
      <c r="Z230" s="26"/>
      <c r="AA230" s="11"/>
      <c r="AB230" s="11"/>
      <c r="AC230" s="11"/>
      <c r="AD230" s="11"/>
      <c r="AE230" s="11"/>
      <c r="AF230" s="26"/>
      <c r="AG230" s="26" t="s">
        <v>48</v>
      </c>
      <c r="AH230" s="11" t="b">
        <v>0</v>
      </c>
      <c r="AI230" s="26"/>
      <c r="AJ230" s="26"/>
      <c r="AK230" t="s">
        <v>54</v>
      </c>
      <c r="AL230" s="44" t="s">
        <v>1446</v>
      </c>
      <c r="AM230" s="26" t="s">
        <v>50</v>
      </c>
      <c r="AN230" s="26"/>
      <c r="AO230" s="31"/>
      <c r="AP230" s="11" t="b">
        <v>0</v>
      </c>
      <c r="AQ230" s="11" t="b">
        <v>0</v>
      </c>
    </row>
    <row r="231" spans="1:43" ht="20.100000000000001" customHeight="1">
      <c r="A231" s="26" t="s">
        <v>369</v>
      </c>
      <c r="B231" t="s">
        <v>747</v>
      </c>
      <c r="C231" t="s">
        <v>544</v>
      </c>
      <c r="D231" s="41">
        <v>42632</v>
      </c>
      <c r="E231" t="s">
        <v>821</v>
      </c>
      <c r="F231" t="s">
        <v>1049</v>
      </c>
      <c r="G231" t="s">
        <v>1138</v>
      </c>
      <c r="H231" s="26">
        <v>2200</v>
      </c>
      <c r="I231" s="26" t="s">
        <v>1506</v>
      </c>
      <c r="J231" s="26"/>
      <c r="K231" s="26">
        <v>37</v>
      </c>
      <c r="L231" s="39">
        <v>27.5</v>
      </c>
      <c r="M231" s="39"/>
      <c r="N231" s="44">
        <v>38</v>
      </c>
      <c r="O231" s="40">
        <v>44.2</v>
      </c>
      <c r="P231" s="26" t="s">
        <v>1167</v>
      </c>
      <c r="Q231" s="45">
        <v>6</v>
      </c>
      <c r="R231" s="26">
        <v>6</v>
      </c>
      <c r="S231" s="26"/>
      <c r="T231">
        <v>25989</v>
      </c>
      <c r="U231" s="46">
        <f>Table1[[#This Row],[FTE Annual salary rate]]/Table1[[#This Row],[Full time hours for role]]*Table1[[#This Row],[Weekly Hours ]]/52.14285*Table1[[#This Row],[EQWP/ TTO Weeks paid per year]]</f>
        <v>16373.745782408716</v>
      </c>
      <c r="V231" s="26"/>
      <c r="W231" s="26"/>
      <c r="X231" s="26"/>
      <c r="Y231" s="31"/>
      <c r="Z231" s="26"/>
      <c r="AA231" s="11"/>
      <c r="AB231" s="11"/>
      <c r="AC231" s="11"/>
      <c r="AD231" s="11"/>
      <c r="AE231" s="11"/>
      <c r="AF231" s="26"/>
      <c r="AG231" s="26" t="s">
        <v>48</v>
      </c>
      <c r="AH231" s="11" t="b">
        <v>0</v>
      </c>
      <c r="AI231" s="26"/>
      <c r="AJ231" s="26"/>
      <c r="AK231" t="s">
        <v>54</v>
      </c>
      <c r="AL231" s="44" t="s">
        <v>1447</v>
      </c>
      <c r="AM231" s="26" t="s">
        <v>50</v>
      </c>
      <c r="AN231" s="26"/>
      <c r="AO231" s="31"/>
      <c r="AP231" s="11" t="b">
        <v>0</v>
      </c>
      <c r="AQ231" s="11" t="b">
        <v>0</v>
      </c>
    </row>
    <row r="232" spans="1:43" ht="20.100000000000001" customHeight="1">
      <c r="A232" s="26" t="s">
        <v>370</v>
      </c>
      <c r="B232" t="s">
        <v>747</v>
      </c>
      <c r="C232" t="s">
        <v>518</v>
      </c>
      <c r="D232" s="41">
        <v>44830</v>
      </c>
      <c r="E232" t="s">
        <v>820</v>
      </c>
      <c r="F232" t="s">
        <v>1050</v>
      </c>
      <c r="G232" t="s">
        <v>1119</v>
      </c>
      <c r="H232" s="26">
        <v>2820</v>
      </c>
      <c r="I232" s="26" t="s">
        <v>1509</v>
      </c>
      <c r="J232" s="26"/>
      <c r="K232" s="26">
        <v>37</v>
      </c>
      <c r="L232" s="39">
        <v>6.25</v>
      </c>
      <c r="M232" s="39"/>
      <c r="N232" s="44">
        <v>38</v>
      </c>
      <c r="O232" s="40">
        <v>43.3</v>
      </c>
      <c r="P232" s="26" t="s">
        <v>1167</v>
      </c>
      <c r="Q232" s="45">
        <v>4</v>
      </c>
      <c r="R232" s="26">
        <v>4</v>
      </c>
      <c r="S232" s="26"/>
      <c r="T232">
        <v>25185</v>
      </c>
      <c r="U232" s="46">
        <f>Table1[[#This Row],[FTE Annual salary rate]]/Table1[[#This Row],[Full time hours for role]]*Table1[[#This Row],[Weekly Hours ]]/52.14285*Table1[[#This Row],[EQWP/ TTO Weeks paid per year]]</f>
        <v>3532.7538623172627</v>
      </c>
      <c r="V232" s="26"/>
      <c r="W232" s="26"/>
      <c r="X232" s="26"/>
      <c r="Y232" s="31"/>
      <c r="Z232" s="26"/>
      <c r="AA232" s="11"/>
      <c r="AB232" s="11"/>
      <c r="AC232" s="11"/>
      <c r="AD232" s="11"/>
      <c r="AE232" s="11"/>
      <c r="AF232" s="26"/>
      <c r="AG232" s="26" t="s">
        <v>48</v>
      </c>
      <c r="AH232" s="11" t="b">
        <v>0</v>
      </c>
      <c r="AI232" s="26"/>
      <c r="AJ232" s="26"/>
      <c r="AK232" t="s">
        <v>54</v>
      </c>
      <c r="AL232" s="44" t="s">
        <v>1448</v>
      </c>
      <c r="AM232" s="26" t="s">
        <v>50</v>
      </c>
      <c r="AN232" s="26"/>
      <c r="AO232" s="31"/>
      <c r="AP232" s="11" t="b">
        <v>0</v>
      </c>
      <c r="AQ232" s="11" t="b">
        <v>0</v>
      </c>
    </row>
    <row r="233" spans="1:43" ht="20.100000000000001" customHeight="1">
      <c r="A233" s="26" t="s">
        <v>371</v>
      </c>
      <c r="B233" t="s">
        <v>748</v>
      </c>
      <c r="C233" t="s">
        <v>465</v>
      </c>
      <c r="D233" s="41">
        <v>44648</v>
      </c>
      <c r="E233" t="s">
        <v>819</v>
      </c>
      <c r="F233" t="s">
        <v>1051</v>
      </c>
      <c r="G233" t="s">
        <v>1120</v>
      </c>
      <c r="H233" s="26">
        <v>2200</v>
      </c>
      <c r="I233" s="26" t="s">
        <v>1506</v>
      </c>
      <c r="J233" s="26"/>
      <c r="K233" s="26">
        <v>37</v>
      </c>
      <c r="L233" s="39">
        <v>11</v>
      </c>
      <c r="M233" s="39"/>
      <c r="N233" s="44">
        <v>38</v>
      </c>
      <c r="O233" s="40">
        <v>43.3</v>
      </c>
      <c r="P233" s="26" t="s">
        <v>1167</v>
      </c>
      <c r="Q233" s="45">
        <v>6</v>
      </c>
      <c r="R233" s="26">
        <v>6</v>
      </c>
      <c r="S233" s="26"/>
      <c r="T233">
        <v>25989</v>
      </c>
      <c r="U233" s="46">
        <f>Table1[[#This Row],[FTE Annual salary rate]]/Table1[[#This Row],[Full time hours for role]]*Table1[[#This Row],[Weekly Hours ]]/52.14285*Table1[[#This Row],[EQWP/ TTO Weeks paid per year]]</f>
        <v>6416.1374875864012</v>
      </c>
      <c r="V233" s="26"/>
      <c r="W233" s="26"/>
      <c r="X233" s="26"/>
      <c r="Y233" s="31"/>
      <c r="Z233" s="26"/>
      <c r="AA233" s="11"/>
      <c r="AB233" s="11"/>
      <c r="AC233" s="11"/>
      <c r="AD233" s="11"/>
      <c r="AE233" s="11"/>
      <c r="AF233" s="26"/>
      <c r="AG233" s="26" t="s">
        <v>48</v>
      </c>
      <c r="AH233" s="11" t="b">
        <v>1</v>
      </c>
      <c r="AI233" s="26"/>
      <c r="AJ233" s="26"/>
      <c r="AK233" t="s">
        <v>54</v>
      </c>
      <c r="AL233" s="44" t="s">
        <v>1449</v>
      </c>
      <c r="AM233" s="26" t="s">
        <v>50</v>
      </c>
      <c r="AN233" s="26"/>
      <c r="AO233" s="31"/>
      <c r="AP233" s="11" t="b">
        <v>0</v>
      </c>
      <c r="AQ233" s="11" t="b">
        <v>0</v>
      </c>
    </row>
    <row r="234" spans="1:43" ht="20.100000000000001" customHeight="1">
      <c r="A234" s="26" t="s">
        <v>372</v>
      </c>
      <c r="B234" t="s">
        <v>749</v>
      </c>
      <c r="C234" t="s">
        <v>550</v>
      </c>
      <c r="D234" s="41">
        <v>46027</v>
      </c>
      <c r="E234" t="s">
        <v>821</v>
      </c>
      <c r="F234" t="s">
        <v>1052</v>
      </c>
      <c r="G234" t="s">
        <v>1149</v>
      </c>
      <c r="H234" s="26">
        <v>2000</v>
      </c>
      <c r="I234" s="26" t="s">
        <v>1507</v>
      </c>
      <c r="J234" s="26"/>
      <c r="K234" s="26">
        <v>32.43</v>
      </c>
      <c r="L234" s="39">
        <v>32.43</v>
      </c>
      <c r="M234" s="39"/>
      <c r="N234" s="44" t="s">
        <v>1115</v>
      </c>
      <c r="O234" s="40" t="s">
        <v>1115</v>
      </c>
      <c r="P234" s="26" t="s">
        <v>1160</v>
      </c>
      <c r="Q234" s="45">
        <v>2</v>
      </c>
      <c r="R234" s="26" t="s">
        <v>51</v>
      </c>
      <c r="S234" s="26"/>
      <c r="T234">
        <v>34823</v>
      </c>
      <c r="U234" s="46">
        <v>34823</v>
      </c>
      <c r="V234" s="26"/>
      <c r="W234" s="26"/>
      <c r="X234" s="26"/>
      <c r="Y234" s="31"/>
      <c r="Z234" s="26"/>
      <c r="AA234" s="11"/>
      <c r="AB234" s="11"/>
      <c r="AC234" s="11"/>
      <c r="AD234" s="11"/>
      <c r="AE234" s="11"/>
      <c r="AF234" s="26"/>
      <c r="AG234" s="11" t="s">
        <v>53</v>
      </c>
      <c r="AH234" s="11" t="b">
        <v>0</v>
      </c>
      <c r="AI234" s="26"/>
      <c r="AJ234" s="26"/>
      <c r="AK234" t="s">
        <v>54</v>
      </c>
      <c r="AL234" s="44" t="s">
        <v>1450</v>
      </c>
      <c r="AM234" s="26" t="s">
        <v>55</v>
      </c>
      <c r="AN234" s="26"/>
      <c r="AO234" s="31"/>
      <c r="AP234" s="11" t="b">
        <v>0</v>
      </c>
      <c r="AQ234" s="11" t="b">
        <v>0</v>
      </c>
    </row>
    <row r="235" spans="1:43" ht="20.100000000000001" customHeight="1">
      <c r="A235" s="26" t="s">
        <v>373</v>
      </c>
      <c r="B235" t="s">
        <v>750</v>
      </c>
      <c r="C235" t="s">
        <v>751</v>
      </c>
      <c r="D235" s="41">
        <v>45538</v>
      </c>
      <c r="E235" t="s">
        <v>821</v>
      </c>
      <c r="F235" t="s">
        <v>1053</v>
      </c>
      <c r="G235" t="s">
        <v>1128</v>
      </c>
      <c r="H235" s="26">
        <v>2200</v>
      </c>
      <c r="I235" s="26" t="s">
        <v>1506</v>
      </c>
      <c r="J235" s="26"/>
      <c r="K235" s="26">
        <v>37</v>
      </c>
      <c r="L235" s="39">
        <v>27.5</v>
      </c>
      <c r="M235" s="39"/>
      <c r="N235" s="44">
        <v>38</v>
      </c>
      <c r="O235" s="40">
        <v>43.3</v>
      </c>
      <c r="P235" s="26" t="s">
        <v>1167</v>
      </c>
      <c r="Q235" s="45">
        <v>6</v>
      </c>
      <c r="R235" s="26">
        <v>6</v>
      </c>
      <c r="S235" s="26"/>
      <c r="T235">
        <v>25989</v>
      </c>
      <c r="U235" s="46">
        <f>Table1[[#This Row],[FTE Annual salary rate]]/Table1[[#This Row],[Full time hours for role]]*Table1[[#This Row],[Weekly Hours ]]/52.14285*Table1[[#This Row],[EQWP/ TTO Weeks paid per year]]</f>
        <v>16040.343718966004</v>
      </c>
      <c r="V235" s="26"/>
      <c r="W235" s="26"/>
      <c r="X235" s="26"/>
      <c r="Y235" s="31"/>
      <c r="Z235" s="26"/>
      <c r="AA235" s="11"/>
      <c r="AB235" s="11"/>
      <c r="AC235" s="11"/>
      <c r="AD235" s="11"/>
      <c r="AE235" s="11"/>
      <c r="AF235" s="26"/>
      <c r="AG235" s="26" t="s">
        <v>48</v>
      </c>
      <c r="AH235" s="11" t="b">
        <v>0</v>
      </c>
      <c r="AI235" s="26"/>
      <c r="AJ235" s="26"/>
      <c r="AK235" t="s">
        <v>54</v>
      </c>
      <c r="AL235" s="44" t="s">
        <v>1451</v>
      </c>
      <c r="AM235" s="26" t="s">
        <v>50</v>
      </c>
      <c r="AN235" s="26"/>
      <c r="AO235" s="31"/>
      <c r="AP235" s="11" t="b">
        <v>0</v>
      </c>
      <c r="AQ235" s="11" t="b">
        <v>0</v>
      </c>
    </row>
    <row r="236" spans="1:43" ht="20.100000000000001" customHeight="1">
      <c r="A236" s="26" t="s">
        <v>374</v>
      </c>
      <c r="B236" t="s">
        <v>752</v>
      </c>
      <c r="C236" t="s">
        <v>753</v>
      </c>
      <c r="D236" s="41">
        <v>44139</v>
      </c>
      <c r="E236" t="s">
        <v>821</v>
      </c>
      <c r="F236" t="s">
        <v>1054</v>
      </c>
      <c r="G236" t="s">
        <v>1128</v>
      </c>
      <c r="H236" s="26">
        <v>2200</v>
      </c>
      <c r="I236" s="26" t="s">
        <v>1506</v>
      </c>
      <c r="J236" s="26"/>
      <c r="K236" s="26">
        <v>37</v>
      </c>
      <c r="L236" s="39">
        <v>17.5</v>
      </c>
      <c r="M236" s="39"/>
      <c r="N236" s="44">
        <v>38</v>
      </c>
      <c r="O236" s="40">
        <v>43.3</v>
      </c>
      <c r="P236" s="26" t="s">
        <v>1167</v>
      </c>
      <c r="Q236" s="45">
        <v>6</v>
      </c>
      <c r="R236" s="26">
        <v>6</v>
      </c>
      <c r="S236" s="26"/>
      <c r="T236">
        <v>25989</v>
      </c>
      <c r="U236" s="46">
        <f>Table1[[#This Row],[FTE Annual salary rate]]/Table1[[#This Row],[Full time hours for role]]*Table1[[#This Row],[Weekly Hours ]]/52.14285*Table1[[#This Row],[EQWP/ TTO Weeks paid per year]]</f>
        <v>10207.49145752382</v>
      </c>
      <c r="V236" s="26"/>
      <c r="W236" s="26"/>
      <c r="X236" s="26"/>
      <c r="Y236" s="31"/>
      <c r="Z236" s="26"/>
      <c r="AA236" s="11"/>
      <c r="AB236" s="11"/>
      <c r="AC236" s="11"/>
      <c r="AD236" s="11"/>
      <c r="AE236" s="11"/>
      <c r="AF236" s="26"/>
      <c r="AG236" s="26" t="s">
        <v>48</v>
      </c>
      <c r="AH236" s="11" t="b">
        <v>0</v>
      </c>
      <c r="AI236" s="26"/>
      <c r="AJ236" s="26"/>
      <c r="AK236" t="s">
        <v>54</v>
      </c>
      <c r="AL236" s="44" t="s">
        <v>1452</v>
      </c>
      <c r="AM236" s="26" t="s">
        <v>50</v>
      </c>
      <c r="AN236" s="26"/>
      <c r="AO236" s="31"/>
      <c r="AP236" s="11" t="b">
        <v>0</v>
      </c>
      <c r="AQ236" s="11" t="b">
        <v>0</v>
      </c>
    </row>
    <row r="237" spans="1:43" ht="20.100000000000001" customHeight="1">
      <c r="A237" s="26" t="s">
        <v>375</v>
      </c>
      <c r="B237" t="s">
        <v>26</v>
      </c>
      <c r="C237" t="s">
        <v>461</v>
      </c>
      <c r="D237" s="41">
        <v>44634</v>
      </c>
      <c r="E237" t="s">
        <v>819</v>
      </c>
      <c r="F237" t="s">
        <v>1055</v>
      </c>
      <c r="G237" t="s">
        <v>1141</v>
      </c>
      <c r="H237" s="26">
        <v>2630</v>
      </c>
      <c r="I237" s="26" t="s">
        <v>1511</v>
      </c>
      <c r="J237" s="26"/>
      <c r="K237" s="26">
        <v>37</v>
      </c>
      <c r="L237" s="39">
        <v>32.5</v>
      </c>
      <c r="M237" s="39"/>
      <c r="N237" s="44">
        <v>38.6</v>
      </c>
      <c r="O237" s="40">
        <v>44</v>
      </c>
      <c r="P237" s="26" t="s">
        <v>1167</v>
      </c>
      <c r="Q237" s="45">
        <v>6</v>
      </c>
      <c r="R237" s="26">
        <v>6</v>
      </c>
      <c r="S237" s="26"/>
      <c r="T237">
        <v>25989</v>
      </c>
      <c r="U237" s="46">
        <f>Table1[[#This Row],[FTE Annual salary rate]]/Table1[[#This Row],[Full time hours for role]]*Table1[[#This Row],[Weekly Hours ]]/52.14285*Table1[[#This Row],[EQWP/ TTO Weeks paid per year]]</f>
        <v>19263.230332245548</v>
      </c>
      <c r="V237" s="26"/>
      <c r="W237" s="26"/>
      <c r="X237" s="26"/>
      <c r="Y237" s="31"/>
      <c r="Z237" s="26"/>
      <c r="AA237" s="11"/>
      <c r="AB237" s="11"/>
      <c r="AC237" s="11"/>
      <c r="AD237" s="11"/>
      <c r="AE237" s="11"/>
      <c r="AF237" s="26"/>
      <c r="AG237" s="26" t="s">
        <v>48</v>
      </c>
      <c r="AH237" s="11" t="b">
        <v>0</v>
      </c>
      <c r="AI237" s="26"/>
      <c r="AJ237" s="26"/>
      <c r="AK237" t="s">
        <v>54</v>
      </c>
      <c r="AL237" s="44" t="s">
        <v>1453</v>
      </c>
      <c r="AM237" s="26" t="s">
        <v>50</v>
      </c>
      <c r="AN237" s="26"/>
      <c r="AO237" s="31"/>
      <c r="AP237" s="11" t="b">
        <v>0</v>
      </c>
      <c r="AQ237" s="11" t="b">
        <v>0</v>
      </c>
    </row>
    <row r="238" spans="1:43" ht="20.100000000000001" customHeight="1">
      <c r="A238" s="26" t="s">
        <v>375</v>
      </c>
      <c r="B238" t="s">
        <v>26</v>
      </c>
      <c r="C238" t="s">
        <v>461</v>
      </c>
      <c r="D238" s="41">
        <v>44634</v>
      </c>
      <c r="E238" t="s">
        <v>819</v>
      </c>
      <c r="F238" t="s">
        <v>1056</v>
      </c>
      <c r="G238" t="s">
        <v>1132</v>
      </c>
      <c r="H238" s="26">
        <v>2740</v>
      </c>
      <c r="I238" s="26" t="s">
        <v>1514</v>
      </c>
      <c r="J238" s="26"/>
      <c r="K238" s="26">
        <v>37</v>
      </c>
      <c r="L238" s="39">
        <v>5</v>
      </c>
      <c r="M238" s="39"/>
      <c r="N238" s="44">
        <v>38</v>
      </c>
      <c r="O238" s="40">
        <v>43.3</v>
      </c>
      <c r="P238" s="26" t="s">
        <v>1167</v>
      </c>
      <c r="Q238" s="45">
        <v>4</v>
      </c>
      <c r="R238" s="26">
        <v>4</v>
      </c>
      <c r="S238" s="26"/>
      <c r="T238">
        <v>25185</v>
      </c>
      <c r="U238" s="46">
        <f>Table1[[#This Row],[FTE Annual salary rate]]/Table1[[#This Row],[Full time hours for role]]*Table1[[#This Row],[Weekly Hours ]]/52.14285*Table1[[#This Row],[EQWP/ TTO Weeks paid per year]]</f>
        <v>2826.2030898538105</v>
      </c>
      <c r="V238" s="26"/>
      <c r="W238" s="26"/>
      <c r="X238" s="26"/>
      <c r="Y238" s="31"/>
      <c r="Z238" s="26"/>
      <c r="AA238" s="11"/>
      <c r="AB238" s="11"/>
      <c r="AC238" s="11"/>
      <c r="AD238" s="11"/>
      <c r="AE238" s="11"/>
      <c r="AF238" s="26"/>
      <c r="AG238" s="26" t="s">
        <v>48</v>
      </c>
      <c r="AH238" s="11" t="b">
        <v>0</v>
      </c>
      <c r="AI238" s="26"/>
      <c r="AJ238" s="26"/>
      <c r="AK238" t="s">
        <v>54</v>
      </c>
      <c r="AL238" s="44" t="s">
        <v>1453</v>
      </c>
      <c r="AM238" s="26" t="s">
        <v>50</v>
      </c>
      <c r="AN238" s="26"/>
      <c r="AO238" s="31"/>
      <c r="AP238" s="11" t="b">
        <v>0</v>
      </c>
      <c r="AQ238" s="11" t="b">
        <v>0</v>
      </c>
    </row>
    <row r="239" spans="1:43" ht="20.100000000000001" customHeight="1">
      <c r="A239" s="26" t="s">
        <v>181</v>
      </c>
      <c r="B239" t="s">
        <v>443</v>
      </c>
      <c r="C239" t="s">
        <v>444</v>
      </c>
      <c r="D239" s="52">
        <v>44075</v>
      </c>
      <c r="E239" t="s">
        <v>819</v>
      </c>
      <c r="F239" t="s">
        <v>837</v>
      </c>
      <c r="G239" t="s">
        <v>1125</v>
      </c>
      <c r="H239" s="26">
        <v>2000</v>
      </c>
      <c r="I239" s="26" t="s">
        <v>1507</v>
      </c>
      <c r="J239" s="26"/>
      <c r="K239" s="26">
        <v>32.43</v>
      </c>
      <c r="L239" s="39">
        <v>32.43</v>
      </c>
      <c r="M239" s="39"/>
      <c r="N239" s="44" t="s">
        <v>1115</v>
      </c>
      <c r="O239" s="40" t="s">
        <v>1115</v>
      </c>
      <c r="P239" s="26" t="s">
        <v>1160</v>
      </c>
      <c r="Q239" s="45">
        <v>6</v>
      </c>
      <c r="R239" s="26" t="s">
        <v>51</v>
      </c>
      <c r="S239" s="26"/>
      <c r="T239">
        <v>45352</v>
      </c>
      <c r="U239" s="46">
        <v>45352</v>
      </c>
      <c r="V239" s="26" t="s">
        <v>1181</v>
      </c>
      <c r="W239" s="26">
        <v>3527</v>
      </c>
      <c r="X239" s="26">
        <v>3527</v>
      </c>
      <c r="Y239" s="31"/>
      <c r="Z239" s="26"/>
      <c r="AA239" s="11"/>
      <c r="AB239" s="11"/>
      <c r="AC239" s="11"/>
      <c r="AD239" s="11"/>
      <c r="AE239" s="11"/>
      <c r="AF239" s="26"/>
      <c r="AG239" s="11" t="s">
        <v>53</v>
      </c>
      <c r="AH239" s="11" t="b">
        <v>0</v>
      </c>
      <c r="AI239" s="26"/>
      <c r="AJ239" s="26"/>
      <c r="AK239" t="s">
        <v>49</v>
      </c>
      <c r="AL239" s="44" t="s">
        <v>1258</v>
      </c>
      <c r="AM239" s="26" t="s">
        <v>50</v>
      </c>
      <c r="AN239" s="26"/>
      <c r="AO239" s="31"/>
      <c r="AP239" s="11" t="b">
        <v>0</v>
      </c>
      <c r="AQ239" s="11" t="b">
        <v>0</v>
      </c>
    </row>
    <row r="240" spans="1:43" ht="20.100000000000001" customHeight="1">
      <c r="A240" s="26" t="s">
        <v>377</v>
      </c>
      <c r="B240" t="s">
        <v>755</v>
      </c>
      <c r="C240" t="s">
        <v>756</v>
      </c>
      <c r="D240" s="41">
        <v>38453</v>
      </c>
      <c r="E240" t="s">
        <v>823</v>
      </c>
      <c r="F240" t="s">
        <v>1058</v>
      </c>
      <c r="G240" t="s">
        <v>1153</v>
      </c>
      <c r="H240" s="26">
        <v>2200</v>
      </c>
      <c r="I240" s="26" t="s">
        <v>1506</v>
      </c>
      <c r="J240" s="26"/>
      <c r="K240" s="26">
        <v>37</v>
      </c>
      <c r="L240" s="39">
        <v>26</v>
      </c>
      <c r="M240" s="39"/>
      <c r="N240" s="44">
        <v>38</v>
      </c>
      <c r="O240" s="40">
        <v>44.8</v>
      </c>
      <c r="P240" s="26" t="s">
        <v>1167</v>
      </c>
      <c r="Q240" s="45">
        <v>31</v>
      </c>
      <c r="R240" s="26">
        <v>31</v>
      </c>
      <c r="S240" s="26"/>
      <c r="T240">
        <v>41772</v>
      </c>
      <c r="U240" s="46">
        <f>Table1[[#This Row],[FTE Annual salary rate]]/Table1[[#This Row],[Full time hours for role]]*Table1[[#This Row],[Weekly Hours ]]/52.14285*Table1[[#This Row],[EQWP/ TTO Weeks paid per year]]</f>
        <v>25219.713132652294</v>
      </c>
      <c r="V240" s="26"/>
      <c r="W240" s="26"/>
      <c r="X240" s="26"/>
      <c r="Y240" s="31"/>
      <c r="Z240" s="26"/>
      <c r="AA240" s="11"/>
      <c r="AB240" s="11"/>
      <c r="AC240" s="11"/>
      <c r="AD240" s="11"/>
      <c r="AE240" s="11"/>
      <c r="AF240" s="26"/>
      <c r="AG240" s="26" t="s">
        <v>48</v>
      </c>
      <c r="AH240" s="11" t="b">
        <v>0</v>
      </c>
      <c r="AI240" s="26"/>
      <c r="AJ240" s="26"/>
      <c r="AK240" t="s">
        <v>54</v>
      </c>
      <c r="AL240" s="44" t="s">
        <v>1455</v>
      </c>
      <c r="AM240" s="26" t="s">
        <v>50</v>
      </c>
      <c r="AN240" s="26"/>
      <c r="AO240" s="31"/>
      <c r="AP240" s="11" t="b">
        <v>0</v>
      </c>
      <c r="AQ240" s="11" t="b">
        <v>0</v>
      </c>
    </row>
    <row r="241" spans="1:43" ht="20.100000000000001" customHeight="1">
      <c r="A241" s="26" t="s">
        <v>378</v>
      </c>
      <c r="B241" t="s">
        <v>757</v>
      </c>
      <c r="C241" t="s">
        <v>477</v>
      </c>
      <c r="D241" s="41">
        <v>45964</v>
      </c>
      <c r="E241" t="s">
        <v>822</v>
      </c>
      <c r="F241" t="s">
        <v>1059</v>
      </c>
      <c r="G241" t="s">
        <v>1120</v>
      </c>
      <c r="H241" s="26">
        <v>2200</v>
      </c>
      <c r="I241" s="26" t="s">
        <v>1506</v>
      </c>
      <c r="J241" s="26"/>
      <c r="K241" s="26">
        <v>37</v>
      </c>
      <c r="L241" s="39">
        <v>30</v>
      </c>
      <c r="M241" s="39"/>
      <c r="N241" s="44">
        <v>38</v>
      </c>
      <c r="O241" s="40">
        <v>43.3</v>
      </c>
      <c r="P241" s="26" t="s">
        <v>1167</v>
      </c>
      <c r="Q241" s="45">
        <v>5</v>
      </c>
      <c r="R241" s="26">
        <v>6</v>
      </c>
      <c r="S241" s="26"/>
      <c r="T241">
        <v>25584</v>
      </c>
      <c r="U241" s="46">
        <f>Table1[[#This Row],[FTE Annual salary rate]]/Table1[[#This Row],[Full time hours for role]]*Table1[[#This Row],[Weekly Hours ]]/52.14285*Table1[[#This Row],[EQWP/ TTO Weeks paid per year]]</f>
        <v>17225.867742899318</v>
      </c>
      <c r="V241" s="26"/>
      <c r="W241" s="26"/>
      <c r="X241" s="26"/>
      <c r="Y241" s="31"/>
      <c r="Z241" s="26"/>
      <c r="AA241" s="11"/>
      <c r="AB241" s="11"/>
      <c r="AC241" s="11"/>
      <c r="AD241" s="11"/>
      <c r="AE241" s="11"/>
      <c r="AF241" s="26"/>
      <c r="AG241" s="26" t="s">
        <v>48</v>
      </c>
      <c r="AH241" s="11" t="b">
        <v>0</v>
      </c>
      <c r="AI241" s="26"/>
      <c r="AJ241" s="26"/>
      <c r="AK241" t="s">
        <v>54</v>
      </c>
      <c r="AL241" s="44" t="s">
        <v>1456</v>
      </c>
      <c r="AM241" s="26" t="s">
        <v>55</v>
      </c>
      <c r="AN241" s="26"/>
      <c r="AO241" s="31"/>
      <c r="AP241" s="11" t="b">
        <v>0</v>
      </c>
      <c r="AQ241" s="11" t="b">
        <v>0</v>
      </c>
    </row>
    <row r="242" spans="1:43" ht="20.100000000000001" customHeight="1">
      <c r="A242" s="26" t="s">
        <v>379</v>
      </c>
      <c r="B242" t="s">
        <v>758</v>
      </c>
      <c r="C242" t="s">
        <v>759</v>
      </c>
      <c r="D242" s="41">
        <v>36039</v>
      </c>
      <c r="E242" t="s">
        <v>823</v>
      </c>
      <c r="F242" t="s">
        <v>1060</v>
      </c>
      <c r="G242" t="s">
        <v>1182</v>
      </c>
      <c r="H242" s="26">
        <v>2000</v>
      </c>
      <c r="I242" s="26" t="s">
        <v>1507</v>
      </c>
      <c r="J242" s="26"/>
      <c r="K242" s="26">
        <v>32.43</v>
      </c>
      <c r="L242" s="39">
        <v>32.43</v>
      </c>
      <c r="M242" s="39"/>
      <c r="N242" s="44" t="s">
        <v>1115</v>
      </c>
      <c r="O242" s="40" t="s">
        <v>1115</v>
      </c>
      <c r="P242" s="26" t="s">
        <v>1168</v>
      </c>
      <c r="Q242" s="45">
        <v>15</v>
      </c>
      <c r="R242" s="26">
        <v>17</v>
      </c>
      <c r="S242" s="26"/>
      <c r="T242">
        <v>73105</v>
      </c>
      <c r="U242" s="46">
        <v>73105</v>
      </c>
      <c r="V242" s="26"/>
      <c r="W242" s="26"/>
      <c r="X242" s="26"/>
      <c r="Y242" s="31"/>
      <c r="Z242" s="26"/>
      <c r="AA242" s="11"/>
      <c r="AB242" s="11"/>
      <c r="AC242" s="11"/>
      <c r="AD242" s="11"/>
      <c r="AE242" s="11"/>
      <c r="AF242" s="26"/>
      <c r="AG242" s="11" t="s">
        <v>53</v>
      </c>
      <c r="AH242" s="11" t="b">
        <v>0</v>
      </c>
      <c r="AI242" s="26"/>
      <c r="AJ242" s="26"/>
      <c r="AK242" t="s">
        <v>54</v>
      </c>
      <c r="AL242" s="44" t="s">
        <v>1457</v>
      </c>
      <c r="AM242" s="26" t="s">
        <v>50</v>
      </c>
      <c r="AN242" s="26"/>
      <c r="AO242" s="31"/>
      <c r="AP242" s="11" t="b">
        <v>0</v>
      </c>
      <c r="AQ242" s="11" t="b">
        <v>0</v>
      </c>
    </row>
    <row r="243" spans="1:43" ht="20.100000000000001" customHeight="1">
      <c r="A243" s="26" t="s">
        <v>380</v>
      </c>
      <c r="B243" t="s">
        <v>760</v>
      </c>
      <c r="C243" t="s">
        <v>27</v>
      </c>
      <c r="D243" s="41">
        <v>42674</v>
      </c>
      <c r="E243" t="s">
        <v>819</v>
      </c>
      <c r="F243" t="s">
        <v>1061</v>
      </c>
      <c r="G243" t="s">
        <v>1138</v>
      </c>
      <c r="H243" s="26">
        <v>2200</v>
      </c>
      <c r="I243" s="26" t="s">
        <v>1506</v>
      </c>
      <c r="J243" s="26"/>
      <c r="K243" s="26">
        <v>37</v>
      </c>
      <c r="L243" s="39">
        <v>13.66</v>
      </c>
      <c r="M243" s="39"/>
      <c r="N243" s="44">
        <v>38</v>
      </c>
      <c r="O243" s="40">
        <v>44.2</v>
      </c>
      <c r="P243" s="26" t="s">
        <v>1167</v>
      </c>
      <c r="Q243" s="45">
        <v>6</v>
      </c>
      <c r="R243" s="26">
        <v>6</v>
      </c>
      <c r="S243" s="26"/>
      <c r="T243">
        <v>25989</v>
      </c>
      <c r="U243" s="46">
        <f>Table1[[#This Row],[FTE Annual salary rate]]/Table1[[#This Row],[Full time hours for role]]*Table1[[#This Row],[Weekly Hours ]]/52.14285*Table1[[#This Row],[EQWP/ TTO Weeks paid per year]]</f>
        <v>8133.2860868255657</v>
      </c>
      <c r="V243" s="26"/>
      <c r="W243" s="26"/>
      <c r="X243" s="26"/>
      <c r="Y243" s="31"/>
      <c r="Z243" s="26"/>
      <c r="AA243" s="11"/>
      <c r="AB243" s="11"/>
      <c r="AC243" s="11"/>
      <c r="AD243" s="11"/>
      <c r="AE243" s="11"/>
      <c r="AF243" s="26"/>
      <c r="AG243" s="26" t="s">
        <v>48</v>
      </c>
      <c r="AH243" s="26" t="b">
        <v>1</v>
      </c>
      <c r="AI243" s="26"/>
      <c r="AJ243" s="26"/>
      <c r="AK243" t="s">
        <v>54</v>
      </c>
      <c r="AL243" s="44" t="s">
        <v>1458</v>
      </c>
      <c r="AM243" s="26" t="s">
        <v>50</v>
      </c>
      <c r="AN243" s="26"/>
      <c r="AO243" s="31"/>
      <c r="AP243" s="11" t="b">
        <v>0</v>
      </c>
      <c r="AQ243" s="11" t="b">
        <v>0</v>
      </c>
    </row>
    <row r="244" spans="1:43" ht="20.100000000000001" customHeight="1">
      <c r="A244" s="26" t="s">
        <v>380</v>
      </c>
      <c r="B244" t="s">
        <v>760</v>
      </c>
      <c r="C244" t="s">
        <v>27</v>
      </c>
      <c r="D244" s="41">
        <v>42674</v>
      </c>
      <c r="E244" t="s">
        <v>819</v>
      </c>
      <c r="F244" t="s">
        <v>1062</v>
      </c>
      <c r="G244" t="s">
        <v>1120</v>
      </c>
      <c r="H244" s="26">
        <v>2200</v>
      </c>
      <c r="I244" s="26" t="s">
        <v>1506</v>
      </c>
      <c r="J244" s="26"/>
      <c r="K244" s="26">
        <v>37</v>
      </c>
      <c r="L244" s="39">
        <v>14.66</v>
      </c>
      <c r="M244" s="39"/>
      <c r="N244" s="44">
        <v>38</v>
      </c>
      <c r="O244" s="40">
        <v>44.2</v>
      </c>
      <c r="P244" s="26" t="s">
        <v>1167</v>
      </c>
      <c r="Q244" s="45">
        <v>6</v>
      </c>
      <c r="R244" s="26">
        <v>6</v>
      </c>
      <c r="S244" s="26"/>
      <c r="T244">
        <v>25989</v>
      </c>
      <c r="U244" s="46">
        <f>Table1[[#This Row],[FTE Annual salary rate]]/Table1[[#This Row],[Full time hours for role]]*Table1[[#This Row],[Weekly Hours ]]/52.14285*Table1[[#This Row],[EQWP/ TTO Weeks paid per year]]</f>
        <v>8728.6950243677002</v>
      </c>
      <c r="V244" s="26"/>
      <c r="W244" s="26"/>
      <c r="X244" s="26"/>
      <c r="Y244" s="31"/>
      <c r="Z244" s="26"/>
      <c r="AA244" s="11"/>
      <c r="AB244" s="11"/>
      <c r="AC244" s="11"/>
      <c r="AD244" s="11"/>
      <c r="AE244" s="11"/>
      <c r="AF244" s="26"/>
      <c r="AG244" s="26" t="s">
        <v>48</v>
      </c>
      <c r="AH244" s="11" t="b">
        <v>0</v>
      </c>
      <c r="AI244" s="26"/>
      <c r="AJ244" s="26"/>
      <c r="AK244" t="s">
        <v>54</v>
      </c>
      <c r="AL244" s="44" t="s">
        <v>1458</v>
      </c>
      <c r="AM244" s="26" t="s">
        <v>50</v>
      </c>
      <c r="AN244" s="26"/>
      <c r="AO244" s="31"/>
      <c r="AP244" s="11" t="b">
        <v>0</v>
      </c>
      <c r="AQ244" s="11" t="b">
        <v>0</v>
      </c>
    </row>
    <row r="245" spans="1:43" ht="20.100000000000001" customHeight="1">
      <c r="A245" s="26" t="s">
        <v>381</v>
      </c>
      <c r="B245" t="s">
        <v>761</v>
      </c>
      <c r="C245" t="s">
        <v>461</v>
      </c>
      <c r="D245" s="41">
        <v>40700</v>
      </c>
      <c r="E245" t="s">
        <v>819</v>
      </c>
      <c r="F245" t="s">
        <v>1063</v>
      </c>
      <c r="G245" t="s">
        <v>1125</v>
      </c>
      <c r="H245" s="26">
        <v>2000</v>
      </c>
      <c r="I245" s="26" t="s">
        <v>1507</v>
      </c>
      <c r="J245" s="26"/>
      <c r="K245" s="26">
        <v>32.43</v>
      </c>
      <c r="L245" s="39">
        <v>19.46</v>
      </c>
      <c r="M245" s="39"/>
      <c r="N245" s="44" t="s">
        <v>1115</v>
      </c>
      <c r="O245" s="40" t="s">
        <v>1115</v>
      </c>
      <c r="P245" s="26" t="s">
        <v>1160</v>
      </c>
      <c r="Q245" s="45">
        <v>6</v>
      </c>
      <c r="R245" s="26" t="s">
        <v>51</v>
      </c>
      <c r="S245" s="26"/>
      <c r="T245">
        <v>45352</v>
      </c>
      <c r="U245" s="46">
        <v>27216.15</v>
      </c>
      <c r="V245" s="26"/>
      <c r="W245" s="26"/>
      <c r="X245" s="26"/>
      <c r="Y245" s="31"/>
      <c r="Z245" s="26"/>
      <c r="AA245" s="11"/>
      <c r="AB245" s="11"/>
      <c r="AC245" s="11"/>
      <c r="AD245" s="11"/>
      <c r="AE245" s="11"/>
      <c r="AF245" s="26"/>
      <c r="AG245" s="11" t="s">
        <v>53</v>
      </c>
      <c r="AH245" s="11" t="b">
        <v>0</v>
      </c>
      <c r="AI245" s="26"/>
      <c r="AJ245" s="26"/>
      <c r="AK245" t="s">
        <v>54</v>
      </c>
      <c r="AL245" s="44" t="s">
        <v>1459</v>
      </c>
      <c r="AM245" s="26" t="s">
        <v>50</v>
      </c>
      <c r="AN245" s="26"/>
      <c r="AO245" s="31"/>
      <c r="AP245" s="11" t="b">
        <v>0</v>
      </c>
      <c r="AQ245" s="11" t="b">
        <v>0</v>
      </c>
    </row>
    <row r="246" spans="1:43" ht="20.100000000000001" customHeight="1">
      <c r="A246" s="26" t="s">
        <v>361</v>
      </c>
      <c r="B246" t="s">
        <v>735</v>
      </c>
      <c r="C246" t="s">
        <v>736</v>
      </c>
      <c r="D246" s="41">
        <v>43102</v>
      </c>
      <c r="E246" t="s">
        <v>822</v>
      </c>
      <c r="F246" t="s">
        <v>1041</v>
      </c>
      <c r="G246" t="s">
        <v>1118</v>
      </c>
      <c r="H246" s="26">
        <v>2000</v>
      </c>
      <c r="I246" s="26" t="s">
        <v>1507</v>
      </c>
      <c r="J246" s="26"/>
      <c r="K246" s="26">
        <v>32.43</v>
      </c>
      <c r="L246" s="39">
        <v>32.43</v>
      </c>
      <c r="M246" s="39"/>
      <c r="N246" s="44" t="s">
        <v>1115</v>
      </c>
      <c r="O246" s="40" t="s">
        <v>1115</v>
      </c>
      <c r="P246" s="26" t="s">
        <v>1161</v>
      </c>
      <c r="Q246" s="45">
        <v>1</v>
      </c>
      <c r="R246" s="26" t="s">
        <v>52</v>
      </c>
      <c r="S246" s="26"/>
      <c r="T246">
        <v>47472</v>
      </c>
      <c r="U246" s="46">
        <v>47472</v>
      </c>
      <c r="V246" s="26" t="s">
        <v>1181</v>
      </c>
      <c r="W246" s="26">
        <v>3527</v>
      </c>
      <c r="X246" s="26">
        <v>3527</v>
      </c>
      <c r="Y246" s="31"/>
      <c r="Z246" s="26"/>
      <c r="AA246" s="11"/>
      <c r="AB246" s="11"/>
      <c r="AC246" s="11"/>
      <c r="AD246" s="11"/>
      <c r="AE246" s="11"/>
      <c r="AF246" s="26"/>
      <c r="AG246" s="26" t="s">
        <v>53</v>
      </c>
      <c r="AH246" s="11" t="b">
        <v>0</v>
      </c>
      <c r="AI246" s="26"/>
      <c r="AJ246" s="26"/>
      <c r="AK246" t="s">
        <v>49</v>
      </c>
      <c r="AL246" s="44" t="s">
        <v>1439</v>
      </c>
      <c r="AM246" s="26" t="s">
        <v>50</v>
      </c>
      <c r="AN246" s="26"/>
      <c r="AO246" s="31"/>
      <c r="AP246" s="11" t="b">
        <v>0</v>
      </c>
      <c r="AQ246" s="11" t="b">
        <v>0</v>
      </c>
    </row>
    <row r="247" spans="1:43" ht="20.100000000000001" customHeight="1">
      <c r="A247" s="26" t="s">
        <v>383</v>
      </c>
      <c r="B247" t="s">
        <v>763</v>
      </c>
      <c r="C247" t="s">
        <v>643</v>
      </c>
      <c r="D247" s="41">
        <v>38596</v>
      </c>
      <c r="E247" t="s">
        <v>820</v>
      </c>
      <c r="F247" t="s">
        <v>1065</v>
      </c>
      <c r="G247" t="s">
        <v>1154</v>
      </c>
      <c r="H247" s="26">
        <v>2000</v>
      </c>
      <c r="I247" s="26" t="s">
        <v>1507</v>
      </c>
      <c r="J247" s="26"/>
      <c r="K247" s="26">
        <v>32.43</v>
      </c>
      <c r="L247" s="39">
        <v>32.43</v>
      </c>
      <c r="M247" s="39"/>
      <c r="N247" s="44" t="s">
        <v>1115</v>
      </c>
      <c r="O247" s="40" t="s">
        <v>1115</v>
      </c>
      <c r="P247" s="26" t="s">
        <v>1168</v>
      </c>
      <c r="Q247" s="45">
        <v>14</v>
      </c>
      <c r="R247" s="26">
        <v>16</v>
      </c>
      <c r="S247" s="26"/>
      <c r="T247">
        <v>71330</v>
      </c>
      <c r="U247" s="46">
        <v>71330</v>
      </c>
      <c r="V247" s="26"/>
      <c r="W247" s="26"/>
      <c r="X247" s="26"/>
      <c r="Y247" s="31"/>
      <c r="Z247" s="26"/>
      <c r="AA247" s="11"/>
      <c r="AB247" s="11"/>
      <c r="AC247" s="11"/>
      <c r="AD247" s="11"/>
      <c r="AE247" s="11"/>
      <c r="AF247" s="26"/>
      <c r="AG247" s="11" t="s">
        <v>53</v>
      </c>
      <c r="AH247" s="11" t="b">
        <v>0</v>
      </c>
      <c r="AI247" s="26"/>
      <c r="AJ247" s="26"/>
      <c r="AK247" t="s">
        <v>54</v>
      </c>
      <c r="AL247" s="44" t="s">
        <v>1461</v>
      </c>
      <c r="AM247" s="26" t="s">
        <v>50</v>
      </c>
      <c r="AN247" s="26"/>
      <c r="AO247" s="31"/>
      <c r="AP247" s="11" t="b">
        <v>0</v>
      </c>
      <c r="AQ247" s="11" t="b">
        <v>0</v>
      </c>
    </row>
    <row r="248" spans="1:43" ht="20.100000000000001" customHeight="1">
      <c r="A248" s="26" t="s">
        <v>221</v>
      </c>
      <c r="B248" t="s">
        <v>517</v>
      </c>
      <c r="C248" t="s">
        <v>518</v>
      </c>
      <c r="D248" s="52">
        <v>40544</v>
      </c>
      <c r="E248" t="s">
        <v>820</v>
      </c>
      <c r="F248" t="s">
        <v>882</v>
      </c>
      <c r="G248" t="s">
        <v>1118</v>
      </c>
      <c r="H248" s="26">
        <v>2000</v>
      </c>
      <c r="I248" s="26" t="s">
        <v>1507</v>
      </c>
      <c r="J248" s="26"/>
      <c r="K248" s="26">
        <v>32.43</v>
      </c>
      <c r="L248" s="39">
        <v>19.46</v>
      </c>
      <c r="M248" s="39"/>
      <c r="N248" s="44" t="s">
        <v>1115</v>
      </c>
      <c r="O248" s="40" t="s">
        <v>1115</v>
      </c>
      <c r="P248" s="26" t="s">
        <v>1161</v>
      </c>
      <c r="Q248" s="45">
        <v>3</v>
      </c>
      <c r="R248" s="26" t="s">
        <v>52</v>
      </c>
      <c r="S248" s="26"/>
      <c r="T248">
        <v>51048</v>
      </c>
      <c r="U248" s="46">
        <f>19.46153846*Table1[[#This Row],[FTE Annual salary rate]]/32.43</f>
        <v>30634.369883012027</v>
      </c>
      <c r="V248" s="26" t="s">
        <v>1177</v>
      </c>
      <c r="W248" s="26">
        <v>3371</v>
      </c>
      <c r="X248" s="26">
        <v>2022.6</v>
      </c>
      <c r="Y248" s="31"/>
      <c r="Z248" s="26"/>
      <c r="AA248" s="11"/>
      <c r="AB248" s="11"/>
      <c r="AC248" s="11"/>
      <c r="AD248" s="11"/>
      <c r="AE248" s="11"/>
      <c r="AF248" s="26"/>
      <c r="AG248" s="26" t="s">
        <v>53</v>
      </c>
      <c r="AH248" s="11" t="b">
        <v>0</v>
      </c>
      <c r="AI248" s="26"/>
      <c r="AJ248" s="26"/>
      <c r="AK248" t="s">
        <v>54</v>
      </c>
      <c r="AL248" s="44" t="s">
        <v>1298</v>
      </c>
      <c r="AM248" s="26" t="s">
        <v>50</v>
      </c>
      <c r="AN248" s="26"/>
      <c r="AO248" s="31"/>
      <c r="AP248" s="11" t="b">
        <v>0</v>
      </c>
      <c r="AQ248" s="11" t="b">
        <v>0</v>
      </c>
    </row>
    <row r="249" spans="1:43" ht="20.100000000000001" customHeight="1">
      <c r="A249" s="26" t="s">
        <v>384</v>
      </c>
      <c r="B249" t="s">
        <v>764</v>
      </c>
      <c r="C249" t="s">
        <v>765</v>
      </c>
      <c r="D249" s="41">
        <v>45250</v>
      </c>
      <c r="E249" t="s">
        <v>821</v>
      </c>
      <c r="F249" t="s">
        <v>1067</v>
      </c>
      <c r="G249" t="s">
        <v>1131</v>
      </c>
      <c r="H249" s="26">
        <v>2300</v>
      </c>
      <c r="I249" s="26" t="s">
        <v>1512</v>
      </c>
      <c r="J249" s="26"/>
      <c r="K249" s="26">
        <v>37</v>
      </c>
      <c r="L249" s="39">
        <v>12.5</v>
      </c>
      <c r="M249" s="39"/>
      <c r="N249" s="44">
        <v>38</v>
      </c>
      <c r="O249" s="40">
        <v>46.4</v>
      </c>
      <c r="P249" s="26" t="s">
        <v>1167</v>
      </c>
      <c r="Q249" s="45">
        <v>2</v>
      </c>
      <c r="R249" s="26">
        <v>2</v>
      </c>
      <c r="S249" s="26"/>
      <c r="T249">
        <v>24404</v>
      </c>
      <c r="U249" s="46">
        <f>Table1[[#This Row],[FTE Annual salary rate]]/Table1[[#This Row],[Full time hours for role]]*Table1[[#This Row],[Weekly Hours ]]/52.14285*Table1[[#This Row],[EQWP/ TTO Weeks paid per year]]</f>
        <v>7336.5607976777101</v>
      </c>
      <c r="V249" s="26"/>
      <c r="W249" s="26"/>
      <c r="X249" s="26"/>
      <c r="Y249" s="31"/>
      <c r="Z249" s="26"/>
      <c r="AA249" s="11"/>
      <c r="AB249" s="11"/>
      <c r="AC249" s="11"/>
      <c r="AD249" s="11"/>
      <c r="AE249" s="11"/>
      <c r="AF249" s="26"/>
      <c r="AG249" s="26" t="s">
        <v>48</v>
      </c>
      <c r="AH249" s="11" t="b">
        <v>0</v>
      </c>
      <c r="AI249" s="26"/>
      <c r="AJ249" s="26"/>
      <c r="AK249" t="s">
        <v>54</v>
      </c>
      <c r="AL249" s="44" t="s">
        <v>1462</v>
      </c>
      <c r="AM249" s="26" t="s">
        <v>50</v>
      </c>
      <c r="AN249" s="26"/>
      <c r="AO249" s="31"/>
      <c r="AP249" s="11" t="b">
        <v>0</v>
      </c>
      <c r="AQ249" s="11" t="b">
        <v>0</v>
      </c>
    </row>
    <row r="250" spans="1:43" ht="20.100000000000001" customHeight="1">
      <c r="A250" s="26" t="s">
        <v>288</v>
      </c>
      <c r="B250" t="s">
        <v>627</v>
      </c>
      <c r="C250" t="s">
        <v>628</v>
      </c>
      <c r="D250" s="41">
        <v>42248</v>
      </c>
      <c r="E250" t="s">
        <v>821</v>
      </c>
      <c r="F250" t="s">
        <v>959</v>
      </c>
      <c r="G250" t="s">
        <v>1118</v>
      </c>
      <c r="H250" s="26">
        <v>2000</v>
      </c>
      <c r="I250" s="26" t="s">
        <v>1507</v>
      </c>
      <c r="J250" s="26"/>
      <c r="K250" s="26">
        <v>32.43</v>
      </c>
      <c r="L250" s="39">
        <v>19.46</v>
      </c>
      <c r="M250" s="39"/>
      <c r="N250" s="44" t="s">
        <v>1115</v>
      </c>
      <c r="O250" s="40" t="s">
        <v>1115</v>
      </c>
      <c r="P250" s="26" t="s">
        <v>1161</v>
      </c>
      <c r="Q250" s="45">
        <v>2</v>
      </c>
      <c r="R250" s="26" t="s">
        <v>52</v>
      </c>
      <c r="S250" s="26"/>
      <c r="T250">
        <v>49232</v>
      </c>
      <c r="U250" s="46">
        <f>19.46153846*Table1[[#This Row],[FTE Annual salary rate]]/32.43</f>
        <v>29544.571737980881</v>
      </c>
      <c r="V250" s="26" t="s">
        <v>1177</v>
      </c>
      <c r="W250" s="26">
        <v>3371</v>
      </c>
      <c r="X250" s="26">
        <v>2022.6</v>
      </c>
      <c r="Y250" s="31"/>
      <c r="Z250" s="26"/>
      <c r="AA250" s="11"/>
      <c r="AB250" s="11"/>
      <c r="AC250" s="11"/>
      <c r="AD250" s="11"/>
      <c r="AE250" s="11"/>
      <c r="AF250" s="26"/>
      <c r="AG250" s="11" t="s">
        <v>53</v>
      </c>
      <c r="AH250" s="11" t="b">
        <v>0</v>
      </c>
      <c r="AI250" s="26"/>
      <c r="AJ250" s="26"/>
      <c r="AK250" t="s">
        <v>54</v>
      </c>
      <c r="AL250" s="44" t="s">
        <v>1365</v>
      </c>
      <c r="AM250" s="26" t="s">
        <v>50</v>
      </c>
      <c r="AN250" s="26"/>
      <c r="AO250" s="31"/>
      <c r="AP250" s="11" t="b">
        <v>0</v>
      </c>
      <c r="AQ250" s="11" t="b">
        <v>0</v>
      </c>
    </row>
    <row r="251" spans="1:43" ht="20.100000000000001" customHeight="1">
      <c r="A251" s="26" t="s">
        <v>386</v>
      </c>
      <c r="B251" t="s">
        <v>766</v>
      </c>
      <c r="C251" t="s">
        <v>611</v>
      </c>
      <c r="D251" s="41">
        <v>45538</v>
      </c>
      <c r="E251" t="s">
        <v>819</v>
      </c>
      <c r="F251" t="s">
        <v>1069</v>
      </c>
      <c r="G251" t="s">
        <v>1120</v>
      </c>
      <c r="H251" s="26">
        <v>2200</v>
      </c>
      <c r="I251" s="26" t="s">
        <v>1506</v>
      </c>
      <c r="J251" s="26"/>
      <c r="K251" s="26">
        <v>37</v>
      </c>
      <c r="L251" s="39">
        <v>30</v>
      </c>
      <c r="M251" s="39"/>
      <c r="N251" s="44">
        <v>38</v>
      </c>
      <c r="O251" s="40">
        <v>43.3</v>
      </c>
      <c r="P251" s="26" t="s">
        <v>1167</v>
      </c>
      <c r="Q251" s="45">
        <v>6</v>
      </c>
      <c r="R251" s="26">
        <v>6</v>
      </c>
      <c r="S251" s="26"/>
      <c r="T251">
        <v>25989</v>
      </c>
      <c r="U251" s="46">
        <f>Table1[[#This Row],[FTE Annual salary rate]]/Table1[[#This Row],[Full time hours for role]]*Table1[[#This Row],[Weekly Hours ]]/52.14285*Table1[[#This Row],[EQWP/ TTO Weeks paid per year]]</f>
        <v>17498.556784326549</v>
      </c>
      <c r="V251" s="26"/>
      <c r="W251" s="26"/>
      <c r="X251" s="26"/>
      <c r="Y251" s="31"/>
      <c r="Z251" s="26"/>
      <c r="AA251" s="11"/>
      <c r="AB251" s="11"/>
      <c r="AC251" s="11"/>
      <c r="AD251" s="11"/>
      <c r="AE251" s="11"/>
      <c r="AF251" s="26"/>
      <c r="AG251" s="26" t="s">
        <v>48</v>
      </c>
      <c r="AH251" s="11" t="b">
        <v>0</v>
      </c>
      <c r="AI251" s="26"/>
      <c r="AJ251" s="26"/>
      <c r="AK251" t="s">
        <v>54</v>
      </c>
      <c r="AL251" s="44" t="s">
        <v>1464</v>
      </c>
      <c r="AM251" s="26" t="s">
        <v>50</v>
      </c>
      <c r="AN251" s="26"/>
      <c r="AO251" s="31"/>
      <c r="AP251" s="11" t="b">
        <v>0</v>
      </c>
      <c r="AQ251" s="11" t="b">
        <v>0</v>
      </c>
    </row>
    <row r="252" spans="1:43" ht="20.100000000000001" customHeight="1">
      <c r="A252" s="26" t="s">
        <v>387</v>
      </c>
      <c r="B252" t="s">
        <v>767</v>
      </c>
      <c r="C252" t="s">
        <v>753</v>
      </c>
      <c r="D252" s="41">
        <v>44440</v>
      </c>
      <c r="E252" t="s">
        <v>822</v>
      </c>
      <c r="F252" t="s">
        <v>1070</v>
      </c>
      <c r="G252" t="s">
        <v>1125</v>
      </c>
      <c r="H252" s="26">
        <v>2000</v>
      </c>
      <c r="I252" s="26" t="s">
        <v>1507</v>
      </c>
      <c r="J252" s="26"/>
      <c r="K252" s="26">
        <v>32.43</v>
      </c>
      <c r="L252" s="39">
        <v>32.43</v>
      </c>
      <c r="M252" s="39"/>
      <c r="N252" s="44" t="s">
        <v>1115</v>
      </c>
      <c r="O252" s="40" t="s">
        <v>1115</v>
      </c>
      <c r="P252" s="26" t="s">
        <v>1160</v>
      </c>
      <c r="Q252" s="45">
        <v>6</v>
      </c>
      <c r="R252" s="26" t="s">
        <v>51</v>
      </c>
      <c r="S252" s="26"/>
      <c r="T252">
        <v>45352</v>
      </c>
      <c r="U252" s="46">
        <v>45352</v>
      </c>
      <c r="V252" s="26"/>
      <c r="W252" s="26"/>
      <c r="X252" s="26"/>
      <c r="Y252" s="31"/>
      <c r="Z252" s="26"/>
      <c r="AA252" s="11"/>
      <c r="AB252" s="11"/>
      <c r="AC252" s="11"/>
      <c r="AD252" s="11"/>
      <c r="AE252" s="11"/>
      <c r="AF252" s="26"/>
      <c r="AG252" s="11" t="s">
        <v>53</v>
      </c>
      <c r="AH252" s="11" t="b">
        <v>0</v>
      </c>
      <c r="AI252" s="26"/>
      <c r="AJ252" s="26"/>
      <c r="AK252" t="s">
        <v>54</v>
      </c>
      <c r="AL252" s="44" t="s">
        <v>1465</v>
      </c>
      <c r="AM252" s="26" t="s">
        <v>50</v>
      </c>
      <c r="AN252" s="26"/>
      <c r="AO252" s="31"/>
      <c r="AP252" s="11" t="b">
        <v>0</v>
      </c>
      <c r="AQ252" s="11" t="b">
        <v>0</v>
      </c>
    </row>
    <row r="253" spans="1:43" ht="20.100000000000001" customHeight="1">
      <c r="A253" s="26" t="s">
        <v>388</v>
      </c>
      <c r="B253" t="s">
        <v>768</v>
      </c>
      <c r="C253" t="s">
        <v>769</v>
      </c>
      <c r="D253" s="41">
        <v>44487</v>
      </c>
      <c r="E253" t="s">
        <v>820</v>
      </c>
      <c r="F253" t="s">
        <v>1071</v>
      </c>
      <c r="G253" t="s">
        <v>1138</v>
      </c>
      <c r="H253" s="26">
        <v>2200</v>
      </c>
      <c r="I253" s="26" t="s">
        <v>1506</v>
      </c>
      <c r="J253" s="26"/>
      <c r="K253" s="26">
        <v>37</v>
      </c>
      <c r="L253" s="39">
        <v>27.5</v>
      </c>
      <c r="M253" s="39"/>
      <c r="N253" s="44">
        <v>38</v>
      </c>
      <c r="O253" s="40">
        <v>43.3</v>
      </c>
      <c r="P253" s="26" t="s">
        <v>1167</v>
      </c>
      <c r="Q253" s="45">
        <v>6</v>
      </c>
      <c r="R253" s="26">
        <v>6</v>
      </c>
      <c r="S253" s="26"/>
      <c r="T253">
        <v>25989</v>
      </c>
      <c r="U253" s="46">
        <f>Table1[[#This Row],[FTE Annual salary rate]]/Table1[[#This Row],[Full time hours for role]]*Table1[[#This Row],[Weekly Hours ]]/52.14285*Table1[[#This Row],[EQWP/ TTO Weeks paid per year]]</f>
        <v>16040.343718966004</v>
      </c>
      <c r="V253" s="26"/>
      <c r="W253" s="26"/>
      <c r="X253" s="26"/>
      <c r="Y253" s="31"/>
      <c r="Z253" s="26"/>
      <c r="AA253" s="11"/>
      <c r="AB253" s="11"/>
      <c r="AC253" s="11"/>
      <c r="AD253" s="11"/>
      <c r="AE253" s="11"/>
      <c r="AF253" s="26"/>
      <c r="AG253" s="26" t="s">
        <v>48</v>
      </c>
      <c r="AH253" s="11" t="b">
        <v>0</v>
      </c>
      <c r="AI253" s="26"/>
      <c r="AJ253" s="26"/>
      <c r="AK253" t="s">
        <v>54</v>
      </c>
      <c r="AL253" s="44" t="s">
        <v>1466</v>
      </c>
      <c r="AM253" s="26" t="s">
        <v>50</v>
      </c>
      <c r="AN253" s="26"/>
      <c r="AO253" s="31"/>
      <c r="AP253" s="11" t="b">
        <v>0</v>
      </c>
      <c r="AQ253" s="11" t="b">
        <v>0</v>
      </c>
    </row>
    <row r="254" spans="1:43" ht="20.100000000000001" customHeight="1">
      <c r="A254" s="26" t="s">
        <v>389</v>
      </c>
      <c r="B254" t="s">
        <v>770</v>
      </c>
      <c r="C254" t="s">
        <v>771</v>
      </c>
      <c r="D254" s="41">
        <v>46027</v>
      </c>
      <c r="E254" t="s">
        <v>820</v>
      </c>
      <c r="F254" t="s">
        <v>1072</v>
      </c>
      <c r="G254" t="s">
        <v>1127</v>
      </c>
      <c r="H254" s="26">
        <v>2300</v>
      </c>
      <c r="I254" s="26" t="s">
        <v>1512</v>
      </c>
      <c r="J254" s="26"/>
      <c r="K254" s="26">
        <v>37</v>
      </c>
      <c r="L254" s="39">
        <v>12.5</v>
      </c>
      <c r="M254" s="39"/>
      <c r="N254" s="44">
        <v>41.4</v>
      </c>
      <c r="O254" s="40">
        <v>46.4</v>
      </c>
      <c r="P254" s="26" t="s">
        <v>1162</v>
      </c>
      <c r="Q254" s="45">
        <v>1</v>
      </c>
      <c r="R254" s="26">
        <v>1</v>
      </c>
      <c r="S254" s="26"/>
      <c r="T254">
        <v>23557</v>
      </c>
      <c r="U254" s="46">
        <f>Table1[[#This Row],[FTE Annual salary rate]]/Table1[[#This Row],[Full time hours for role]]*Table1[[#This Row],[Weekly Hours ]]/52.14285*Table1[[#This Row],[EQWP/ TTO Weeks paid per year]]</f>
        <v>7081.9276639441805</v>
      </c>
      <c r="V254" s="26"/>
      <c r="W254" s="26"/>
      <c r="X254" s="26"/>
      <c r="Y254" s="31"/>
      <c r="Z254" s="26"/>
      <c r="AA254" s="11"/>
      <c r="AB254" s="11"/>
      <c r="AC254" s="11"/>
      <c r="AD254" s="11"/>
      <c r="AE254" s="11"/>
      <c r="AF254" s="26"/>
      <c r="AG254" s="26" t="s">
        <v>48</v>
      </c>
      <c r="AH254" s="11" t="b">
        <v>0</v>
      </c>
      <c r="AI254" s="26"/>
      <c r="AJ254" s="26"/>
      <c r="AK254" t="s">
        <v>54</v>
      </c>
      <c r="AL254" s="44" t="s">
        <v>1467</v>
      </c>
      <c r="AM254" s="26" t="s">
        <v>50</v>
      </c>
      <c r="AN254" s="26"/>
      <c r="AO254" s="31"/>
      <c r="AP254" s="11" t="b">
        <v>0</v>
      </c>
      <c r="AQ254" s="11" t="b">
        <v>0</v>
      </c>
    </row>
    <row r="255" spans="1:43" ht="20.100000000000001" customHeight="1">
      <c r="A255" s="26" t="s">
        <v>390</v>
      </c>
      <c r="B255" t="s">
        <v>772</v>
      </c>
      <c r="C255" t="s">
        <v>461</v>
      </c>
      <c r="D255" s="41">
        <v>38800</v>
      </c>
      <c r="E255" t="s">
        <v>821</v>
      </c>
      <c r="F255" t="s">
        <v>1073</v>
      </c>
      <c r="G255" t="s">
        <v>1125</v>
      </c>
      <c r="H255" s="26">
        <v>2000</v>
      </c>
      <c r="I255" s="26" t="s">
        <v>1507</v>
      </c>
      <c r="J255" s="26"/>
      <c r="K255" s="26">
        <v>32.43</v>
      </c>
      <c r="L255" s="49">
        <v>16.215</v>
      </c>
      <c r="M255" s="39"/>
      <c r="N255" s="44" t="s">
        <v>1115</v>
      </c>
      <c r="O255" s="40" t="s">
        <v>1115</v>
      </c>
      <c r="P255" s="26" t="s">
        <v>1160</v>
      </c>
      <c r="Q255" s="45">
        <v>6</v>
      </c>
      <c r="R255" s="26" t="s">
        <v>51</v>
      </c>
      <c r="S255" s="26"/>
      <c r="T255">
        <v>45352</v>
      </c>
      <c r="U255" s="46">
        <f>Table1[[#This Row],[FTE Annual salary rate]]*16.215/32.43</f>
        <v>22676</v>
      </c>
      <c r="V255" s="26"/>
      <c r="W255" s="26"/>
      <c r="X255" s="26"/>
      <c r="Y255" s="31"/>
      <c r="Z255" s="26"/>
      <c r="AA255" s="11"/>
      <c r="AB255" s="11"/>
      <c r="AC255" s="11"/>
      <c r="AD255" s="11"/>
      <c r="AE255" s="11"/>
      <c r="AF255" s="26"/>
      <c r="AG255" s="11" t="s">
        <v>53</v>
      </c>
      <c r="AH255" s="11" t="b">
        <v>0</v>
      </c>
      <c r="AI255" s="26"/>
      <c r="AJ255" s="26"/>
      <c r="AK255" t="s">
        <v>54</v>
      </c>
      <c r="AL255" s="44" t="s">
        <v>1468</v>
      </c>
      <c r="AM255" s="26" t="s">
        <v>50</v>
      </c>
      <c r="AN255" s="26"/>
      <c r="AO255" s="31"/>
      <c r="AP255" s="11" t="b">
        <v>0</v>
      </c>
      <c r="AQ255" s="11" t="b">
        <v>0</v>
      </c>
    </row>
    <row r="256" spans="1:43" ht="20.100000000000001" customHeight="1">
      <c r="A256" s="26" t="s">
        <v>391</v>
      </c>
      <c r="B256" t="s">
        <v>773</v>
      </c>
      <c r="C256" t="s">
        <v>746</v>
      </c>
      <c r="D256" s="41">
        <v>40701</v>
      </c>
      <c r="E256" t="s">
        <v>819</v>
      </c>
      <c r="F256" t="s">
        <v>1074</v>
      </c>
      <c r="G256" t="s">
        <v>1128</v>
      </c>
      <c r="H256" s="26">
        <v>2200</v>
      </c>
      <c r="I256" s="26" t="s">
        <v>1506</v>
      </c>
      <c r="J256" s="26"/>
      <c r="K256" s="26">
        <v>37</v>
      </c>
      <c r="L256" s="39">
        <v>31.25</v>
      </c>
      <c r="M256" s="39"/>
      <c r="N256" s="44">
        <v>38</v>
      </c>
      <c r="O256" s="40">
        <v>44.8</v>
      </c>
      <c r="P256" s="26" t="s">
        <v>1167</v>
      </c>
      <c r="Q256" s="45">
        <v>6</v>
      </c>
      <c r="R256" s="26">
        <v>6</v>
      </c>
      <c r="S256" s="26"/>
      <c r="T256">
        <v>25989</v>
      </c>
      <c r="U256" s="46">
        <f>Table1[[#This Row],[FTE Annual salary rate]]/Table1[[#This Row],[Full time hours for role]]*Table1[[#This Row],[Weekly Hours ]]/52.14285*Table1[[#This Row],[EQWP/ TTO Weeks paid per year]]</f>
        <v>18859.106618981652</v>
      </c>
      <c r="V256" s="26"/>
      <c r="W256" s="26"/>
      <c r="X256" s="26"/>
      <c r="Y256" s="31"/>
      <c r="Z256" s="26"/>
      <c r="AA256" s="11"/>
      <c r="AB256" s="11"/>
      <c r="AC256" s="11"/>
      <c r="AD256" s="11"/>
      <c r="AE256" s="11"/>
      <c r="AF256" s="26"/>
      <c r="AG256" s="26" t="s">
        <v>48</v>
      </c>
      <c r="AH256" s="11" t="b">
        <v>0</v>
      </c>
      <c r="AI256" s="26"/>
      <c r="AJ256" s="26"/>
      <c r="AK256" t="s">
        <v>54</v>
      </c>
      <c r="AL256" s="44" t="s">
        <v>1469</v>
      </c>
      <c r="AM256" s="26" t="s">
        <v>50</v>
      </c>
      <c r="AN256" s="26"/>
      <c r="AO256" s="31"/>
      <c r="AP256" s="11" t="b">
        <v>0</v>
      </c>
      <c r="AQ256" s="11" t="b">
        <v>0</v>
      </c>
    </row>
    <row r="257" spans="1:43" ht="20.100000000000001" customHeight="1">
      <c r="A257" s="26" t="s">
        <v>392</v>
      </c>
      <c r="B257" t="s">
        <v>774</v>
      </c>
      <c r="C257" t="s">
        <v>775</v>
      </c>
      <c r="D257" s="41">
        <v>41883</v>
      </c>
      <c r="E257" t="s">
        <v>822</v>
      </c>
      <c r="F257" t="s">
        <v>1075</v>
      </c>
      <c r="G257" t="s">
        <v>1118</v>
      </c>
      <c r="H257" s="26">
        <v>2000</v>
      </c>
      <c r="I257" s="26" t="s">
        <v>1507</v>
      </c>
      <c r="J257" s="26"/>
      <c r="K257" s="26">
        <v>32.43</v>
      </c>
      <c r="L257" s="39">
        <v>32.43</v>
      </c>
      <c r="M257" s="39"/>
      <c r="N257" s="44" t="s">
        <v>1115</v>
      </c>
      <c r="O257" s="40" t="s">
        <v>1115</v>
      </c>
      <c r="P257" s="26" t="s">
        <v>1161</v>
      </c>
      <c r="Q257" s="45">
        <v>1</v>
      </c>
      <c r="R257" s="26" t="s">
        <v>52</v>
      </c>
      <c r="S257" s="26"/>
      <c r="T257">
        <v>47472</v>
      </c>
      <c r="U257" s="46">
        <v>47472</v>
      </c>
      <c r="V257" s="26"/>
      <c r="W257" s="26"/>
      <c r="X257" s="26"/>
      <c r="Y257" s="31"/>
      <c r="Z257" s="26"/>
      <c r="AA257" s="11"/>
      <c r="AB257" s="11"/>
      <c r="AC257" s="11"/>
      <c r="AD257" s="11"/>
      <c r="AE257" s="11"/>
      <c r="AF257" s="26"/>
      <c r="AG257" s="11" t="s">
        <v>53</v>
      </c>
      <c r="AH257" s="11" t="b">
        <v>0</v>
      </c>
      <c r="AI257" s="26"/>
      <c r="AJ257" s="26"/>
      <c r="AK257" t="s">
        <v>54</v>
      </c>
      <c r="AL257" s="44" t="s">
        <v>1470</v>
      </c>
      <c r="AM257" s="26" t="s">
        <v>50</v>
      </c>
      <c r="AN257" s="26"/>
      <c r="AO257" s="31"/>
      <c r="AP257" s="11" t="b">
        <v>0</v>
      </c>
      <c r="AQ257" s="11" t="b">
        <v>0</v>
      </c>
    </row>
    <row r="258" spans="1:43" ht="20.100000000000001" customHeight="1">
      <c r="A258" s="26" t="s">
        <v>393</v>
      </c>
      <c r="B258" t="s">
        <v>776</v>
      </c>
      <c r="C258" t="s">
        <v>777</v>
      </c>
      <c r="D258" s="41">
        <v>44440</v>
      </c>
      <c r="E258" t="s">
        <v>821</v>
      </c>
      <c r="F258" t="s">
        <v>1076</v>
      </c>
      <c r="G258" t="s">
        <v>1146</v>
      </c>
      <c r="H258" s="26">
        <v>2200</v>
      </c>
      <c r="I258" s="26" t="s">
        <v>1506</v>
      </c>
      <c r="J258" s="26"/>
      <c r="K258" s="26">
        <v>37</v>
      </c>
      <c r="L258" s="39">
        <v>20</v>
      </c>
      <c r="M258" s="39"/>
      <c r="N258" s="44">
        <v>38</v>
      </c>
      <c r="O258" s="40">
        <v>43.3</v>
      </c>
      <c r="P258" s="26" t="s">
        <v>1167</v>
      </c>
      <c r="Q258" s="45">
        <v>6</v>
      </c>
      <c r="R258" s="26">
        <v>6</v>
      </c>
      <c r="S258" s="26"/>
      <c r="T258">
        <v>25989</v>
      </c>
      <c r="U258" s="46">
        <f>Table1[[#This Row],[FTE Annual salary rate]]/Table1[[#This Row],[Full time hours for role]]*Table1[[#This Row],[Weekly Hours ]]/52.14285*Table1[[#This Row],[EQWP/ TTO Weeks paid per year]]</f>
        <v>11665.704522884367</v>
      </c>
      <c r="V258" s="26"/>
      <c r="W258" s="26"/>
      <c r="X258" s="26"/>
      <c r="Y258" s="31"/>
      <c r="Z258" s="26"/>
      <c r="AA258" s="11"/>
      <c r="AB258" s="11"/>
      <c r="AC258" s="11"/>
      <c r="AD258" s="11"/>
      <c r="AE258" s="11"/>
      <c r="AF258" s="26"/>
      <c r="AG258" s="26" t="s">
        <v>48</v>
      </c>
      <c r="AH258" s="11" t="b">
        <v>0</v>
      </c>
      <c r="AI258" s="26"/>
      <c r="AJ258" s="26"/>
      <c r="AK258" t="s">
        <v>54</v>
      </c>
      <c r="AL258" s="44" t="s">
        <v>1471</v>
      </c>
      <c r="AM258" s="26" t="s">
        <v>50</v>
      </c>
      <c r="AN258" s="26"/>
      <c r="AO258" s="31"/>
      <c r="AP258" s="11" t="b">
        <v>0</v>
      </c>
      <c r="AQ258" s="11" t="b">
        <v>0</v>
      </c>
    </row>
    <row r="259" spans="1:43" ht="20.100000000000001" customHeight="1">
      <c r="A259" s="26" t="s">
        <v>394</v>
      </c>
      <c r="B259" t="s">
        <v>778</v>
      </c>
      <c r="C259" t="s">
        <v>779</v>
      </c>
      <c r="D259" s="41">
        <v>34500</v>
      </c>
      <c r="E259" t="s">
        <v>821</v>
      </c>
      <c r="F259" t="s">
        <v>1077</v>
      </c>
      <c r="G259" t="s">
        <v>1116</v>
      </c>
      <c r="H259" s="26">
        <v>2200</v>
      </c>
      <c r="I259" s="26" t="s">
        <v>1506</v>
      </c>
      <c r="J259" s="26"/>
      <c r="K259" s="26">
        <v>37</v>
      </c>
      <c r="L259" s="39">
        <v>30.5</v>
      </c>
      <c r="M259" s="39"/>
      <c r="N259" s="44">
        <v>38</v>
      </c>
      <c r="O259" s="40">
        <v>44.8</v>
      </c>
      <c r="P259" s="26" t="s">
        <v>1167</v>
      </c>
      <c r="Q259" s="45">
        <v>17</v>
      </c>
      <c r="R259" s="26">
        <v>17</v>
      </c>
      <c r="S259" s="26"/>
      <c r="T259">
        <v>31022</v>
      </c>
      <c r="U259" s="46">
        <f>Table1[[#This Row],[FTE Annual salary rate]]/Table1[[#This Row],[Full time hours for role]]*Table1[[#This Row],[Weekly Hours ]]/52.14285*Table1[[#This Row],[EQWP/ TTO Weeks paid per year]]</f>
        <v>21971.067474748226</v>
      </c>
      <c r="V259" s="26"/>
      <c r="W259" s="26"/>
      <c r="X259" s="26"/>
      <c r="Y259" s="31"/>
      <c r="Z259" s="26"/>
      <c r="AA259" s="11"/>
      <c r="AB259" s="11"/>
      <c r="AC259" s="11"/>
      <c r="AD259" s="11"/>
      <c r="AE259" s="11"/>
      <c r="AF259" s="26"/>
      <c r="AG259" s="26" t="s">
        <v>48</v>
      </c>
      <c r="AH259" s="11" t="b">
        <v>0</v>
      </c>
      <c r="AI259" s="26"/>
      <c r="AJ259" s="26"/>
      <c r="AK259" t="s">
        <v>54</v>
      </c>
      <c r="AL259" s="44" t="s">
        <v>1472</v>
      </c>
      <c r="AM259" s="26" t="s">
        <v>50</v>
      </c>
      <c r="AN259" s="26"/>
      <c r="AO259" s="31"/>
      <c r="AP259" s="11" t="b">
        <v>0</v>
      </c>
      <c r="AQ259" s="11" t="b">
        <v>0</v>
      </c>
    </row>
    <row r="260" spans="1:43" ht="20.100000000000001" customHeight="1">
      <c r="A260" s="26" t="s">
        <v>395</v>
      </c>
      <c r="B260" t="s">
        <v>780</v>
      </c>
      <c r="C260" t="s">
        <v>448</v>
      </c>
      <c r="D260" s="41">
        <v>40931</v>
      </c>
      <c r="E260" t="s">
        <v>820</v>
      </c>
      <c r="F260" t="s">
        <v>1078</v>
      </c>
      <c r="G260" t="s">
        <v>1117</v>
      </c>
      <c r="H260" s="26">
        <v>2700</v>
      </c>
      <c r="I260" s="26" t="s">
        <v>1508</v>
      </c>
      <c r="J260" s="26"/>
      <c r="K260" s="26">
        <v>37</v>
      </c>
      <c r="L260" s="39">
        <v>6.25</v>
      </c>
      <c r="M260" s="39"/>
      <c r="N260" s="44">
        <v>38</v>
      </c>
      <c r="O260" s="40">
        <v>44.8</v>
      </c>
      <c r="P260" s="26" t="s">
        <v>1167</v>
      </c>
      <c r="Q260" s="45">
        <v>4</v>
      </c>
      <c r="R260" s="26">
        <v>4</v>
      </c>
      <c r="S260" s="26"/>
      <c r="T260">
        <v>25185</v>
      </c>
      <c r="U260" s="46">
        <f>Table1[[#This Row],[FTE Annual salary rate]]/Table1[[#This Row],[Full time hours for role]]*Table1[[#This Row],[Weekly Hours ]]/52.14285*Table1[[#This Row],[EQWP/ TTO Weeks paid per year]]</f>
        <v>3655.1356358386461</v>
      </c>
      <c r="V260" s="26"/>
      <c r="W260" s="26"/>
      <c r="X260" s="26"/>
      <c r="Y260" s="31"/>
      <c r="Z260" s="26"/>
      <c r="AA260" s="11"/>
      <c r="AB260" s="11"/>
      <c r="AC260" s="11"/>
      <c r="AD260" s="11"/>
      <c r="AE260" s="11"/>
      <c r="AF260" s="26"/>
      <c r="AG260" s="26" t="s">
        <v>48</v>
      </c>
      <c r="AH260" s="26" t="b">
        <v>1</v>
      </c>
      <c r="AI260" s="26"/>
      <c r="AJ260" s="26"/>
      <c r="AK260" t="s">
        <v>54</v>
      </c>
      <c r="AL260" s="44" t="s">
        <v>1473</v>
      </c>
      <c r="AM260" s="26" t="s">
        <v>50</v>
      </c>
      <c r="AN260" s="26"/>
      <c r="AO260" s="31"/>
      <c r="AP260" s="11" t="b">
        <v>0</v>
      </c>
      <c r="AQ260" s="11" t="b">
        <v>0</v>
      </c>
    </row>
    <row r="261" spans="1:43" ht="20.100000000000001" customHeight="1">
      <c r="A261" s="26" t="s">
        <v>395</v>
      </c>
      <c r="B261" t="s">
        <v>780</v>
      </c>
      <c r="C261" t="s">
        <v>448</v>
      </c>
      <c r="D261" s="41">
        <v>40931</v>
      </c>
      <c r="E261" t="s">
        <v>820</v>
      </c>
      <c r="F261" t="s">
        <v>1079</v>
      </c>
      <c r="G261" t="s">
        <v>1119</v>
      </c>
      <c r="H261" s="26">
        <v>2820</v>
      </c>
      <c r="I261" s="26" t="s">
        <v>1509</v>
      </c>
      <c r="J261" s="26"/>
      <c r="K261" s="26">
        <v>37</v>
      </c>
      <c r="L261" s="39">
        <v>6.25</v>
      </c>
      <c r="M261" s="39"/>
      <c r="N261" s="44">
        <v>38</v>
      </c>
      <c r="O261" s="40">
        <v>44.8</v>
      </c>
      <c r="P261" s="26" t="s">
        <v>1167</v>
      </c>
      <c r="Q261" s="45">
        <v>4</v>
      </c>
      <c r="R261" s="26">
        <v>4</v>
      </c>
      <c r="S261" s="26"/>
      <c r="T261">
        <v>25185</v>
      </c>
      <c r="U261" s="46">
        <f>Table1[[#This Row],[FTE Annual salary rate]]/Table1[[#This Row],[Full time hours for role]]*Table1[[#This Row],[Weekly Hours ]]/52.14285*Table1[[#This Row],[EQWP/ TTO Weeks paid per year]]</f>
        <v>3655.1356358386461</v>
      </c>
      <c r="V261" s="26"/>
      <c r="W261" s="26"/>
      <c r="X261" s="26"/>
      <c r="Y261" s="31"/>
      <c r="Z261" s="26"/>
      <c r="AA261" s="11"/>
      <c r="AB261" s="11"/>
      <c r="AC261" s="11"/>
      <c r="AD261" s="11"/>
      <c r="AE261" s="11"/>
      <c r="AF261" s="26"/>
      <c r="AG261" s="26" t="s">
        <v>48</v>
      </c>
      <c r="AH261" s="26" t="b">
        <v>1</v>
      </c>
      <c r="AI261" s="26"/>
      <c r="AJ261" s="26"/>
      <c r="AK261" t="s">
        <v>54</v>
      </c>
      <c r="AL261" s="44" t="s">
        <v>1473</v>
      </c>
      <c r="AM261" s="26" t="s">
        <v>50</v>
      </c>
      <c r="AN261" s="26"/>
      <c r="AO261" s="31"/>
      <c r="AP261" s="11" t="b">
        <v>0</v>
      </c>
      <c r="AQ261" s="11" t="b">
        <v>0</v>
      </c>
    </row>
    <row r="262" spans="1:43" ht="20.100000000000001" customHeight="1">
      <c r="A262" s="26" t="s">
        <v>395</v>
      </c>
      <c r="B262" t="s">
        <v>780</v>
      </c>
      <c r="C262" t="s">
        <v>448</v>
      </c>
      <c r="D262" s="41">
        <v>40931</v>
      </c>
      <c r="E262" t="s">
        <v>820</v>
      </c>
      <c r="F262" t="s">
        <v>1080</v>
      </c>
      <c r="G262" t="s">
        <v>1132</v>
      </c>
      <c r="H262" s="26">
        <v>2740</v>
      </c>
      <c r="I262" s="26" t="s">
        <v>1514</v>
      </c>
      <c r="J262" s="26"/>
      <c r="K262" s="26">
        <v>37</v>
      </c>
      <c r="L262" s="39">
        <v>15</v>
      </c>
      <c r="M262" s="39"/>
      <c r="N262" s="44">
        <v>38</v>
      </c>
      <c r="O262" s="40">
        <v>44.8</v>
      </c>
      <c r="P262" s="26" t="s">
        <v>1167</v>
      </c>
      <c r="Q262" s="45">
        <v>4</v>
      </c>
      <c r="R262" s="26">
        <v>4</v>
      </c>
      <c r="S262" s="26"/>
      <c r="T262">
        <v>25185</v>
      </c>
      <c r="U262" s="46">
        <f>Table1[[#This Row],[FTE Annual salary rate]]/Table1[[#This Row],[Full time hours for role]]*Table1[[#This Row],[Weekly Hours ]]/52.14285*Table1[[#This Row],[EQWP/ TTO Weeks paid per year]]</f>
        <v>8772.3255260127517</v>
      </c>
      <c r="V262" s="26"/>
      <c r="W262" s="26"/>
      <c r="X262" s="26"/>
      <c r="Y262" s="31"/>
      <c r="Z262" s="26"/>
      <c r="AA262" s="11"/>
      <c r="AB262" s="11"/>
      <c r="AC262" s="11"/>
      <c r="AD262" s="11"/>
      <c r="AE262" s="11"/>
      <c r="AF262" s="26"/>
      <c r="AG262" s="26" t="s">
        <v>48</v>
      </c>
      <c r="AH262" s="11" t="b">
        <v>0</v>
      </c>
      <c r="AI262" s="26"/>
      <c r="AJ262" s="26"/>
      <c r="AK262" t="s">
        <v>54</v>
      </c>
      <c r="AL262" s="44" t="s">
        <v>1473</v>
      </c>
      <c r="AM262" s="26" t="s">
        <v>50</v>
      </c>
      <c r="AN262" s="26"/>
      <c r="AO262" s="31"/>
      <c r="AP262" s="11" t="b">
        <v>0</v>
      </c>
      <c r="AQ262" s="11" t="b">
        <v>0</v>
      </c>
    </row>
    <row r="263" spans="1:43" ht="20.100000000000001" customHeight="1">
      <c r="A263" s="26" t="s">
        <v>355</v>
      </c>
      <c r="B263" t="s">
        <v>727</v>
      </c>
      <c r="C263" t="s">
        <v>516</v>
      </c>
      <c r="D263" s="41">
        <v>42979</v>
      </c>
      <c r="E263" t="s">
        <v>819</v>
      </c>
      <c r="F263" t="s">
        <v>1035</v>
      </c>
      <c r="G263" t="s">
        <v>1118</v>
      </c>
      <c r="H263" s="26">
        <v>2000</v>
      </c>
      <c r="I263" s="26" t="s">
        <v>1507</v>
      </c>
      <c r="J263" s="26"/>
      <c r="K263" s="26">
        <v>32.43</v>
      </c>
      <c r="L263" s="39">
        <v>32.43</v>
      </c>
      <c r="M263" s="39"/>
      <c r="N263" s="44" t="s">
        <v>1115</v>
      </c>
      <c r="O263" s="40" t="s">
        <v>1115</v>
      </c>
      <c r="P263" s="26" t="s">
        <v>1161</v>
      </c>
      <c r="Q263" s="45">
        <v>1</v>
      </c>
      <c r="R263" s="26" t="s">
        <v>52</v>
      </c>
      <c r="S263" s="26"/>
      <c r="T263">
        <v>47472</v>
      </c>
      <c r="U263" s="46">
        <v>47472</v>
      </c>
      <c r="V263" s="26" t="s">
        <v>1177</v>
      </c>
      <c r="W263" s="26">
        <v>3371</v>
      </c>
      <c r="X263" s="26">
        <v>3371</v>
      </c>
      <c r="Y263" s="31"/>
      <c r="Z263" s="26"/>
      <c r="AA263" s="11" t="s">
        <v>1185</v>
      </c>
      <c r="AB263" s="11">
        <v>5454.6</v>
      </c>
      <c r="AC263" s="11"/>
      <c r="AD263" s="11"/>
      <c r="AE263" s="11"/>
      <c r="AF263" s="26"/>
      <c r="AG263" s="11" t="s">
        <v>53</v>
      </c>
      <c r="AH263" s="11" t="b">
        <v>0</v>
      </c>
      <c r="AI263" s="26"/>
      <c r="AJ263" s="26"/>
      <c r="AK263" t="s">
        <v>49</v>
      </c>
      <c r="AL263" s="44" t="s">
        <v>1433</v>
      </c>
      <c r="AM263" s="26" t="s">
        <v>50</v>
      </c>
      <c r="AN263" s="26"/>
      <c r="AO263" s="31"/>
      <c r="AP263" s="11" t="b">
        <v>0</v>
      </c>
      <c r="AQ263" s="11" t="b">
        <v>0</v>
      </c>
    </row>
    <row r="264" spans="1:43" ht="20.100000000000001" customHeight="1">
      <c r="A264" s="26" t="s">
        <v>397</v>
      </c>
      <c r="B264" t="s">
        <v>781</v>
      </c>
      <c r="C264" t="s">
        <v>461</v>
      </c>
      <c r="D264" s="41">
        <v>42736</v>
      </c>
      <c r="E264" t="s">
        <v>823</v>
      </c>
      <c r="F264" t="s">
        <v>1082</v>
      </c>
      <c r="G264" t="s">
        <v>1118</v>
      </c>
      <c r="H264" s="26">
        <v>2000</v>
      </c>
      <c r="I264" s="26" t="s">
        <v>1507</v>
      </c>
      <c r="J264" s="26"/>
      <c r="K264" s="26">
        <v>32.43</v>
      </c>
      <c r="L264" s="39">
        <v>24</v>
      </c>
      <c r="M264" s="39"/>
      <c r="N264" s="44" t="s">
        <v>1115</v>
      </c>
      <c r="O264" s="40" t="s">
        <v>1115</v>
      </c>
      <c r="P264" s="26" t="s">
        <v>1161</v>
      </c>
      <c r="Q264" s="45">
        <v>3</v>
      </c>
      <c r="R264" s="26" t="s">
        <v>52</v>
      </c>
      <c r="S264" s="26"/>
      <c r="T264">
        <v>51048</v>
      </c>
      <c r="U264" s="46">
        <v>37778.35</v>
      </c>
      <c r="V264" s="26"/>
      <c r="W264" s="26"/>
      <c r="X264" s="26"/>
      <c r="Y264" s="31"/>
      <c r="Z264" s="26"/>
      <c r="AA264" s="11"/>
      <c r="AB264" s="11"/>
      <c r="AC264" s="11"/>
      <c r="AD264" s="11"/>
      <c r="AE264" s="11"/>
      <c r="AF264" s="26"/>
      <c r="AG264" s="11" t="s">
        <v>53</v>
      </c>
      <c r="AH264" s="11" t="b">
        <v>0</v>
      </c>
      <c r="AI264" s="26"/>
      <c r="AJ264" s="26"/>
      <c r="AK264" t="s">
        <v>54</v>
      </c>
      <c r="AL264" s="44" t="s">
        <v>1475</v>
      </c>
      <c r="AM264" s="26" t="s">
        <v>50</v>
      </c>
      <c r="AN264" s="26"/>
      <c r="AO264" s="31"/>
      <c r="AP264" s="11" t="b">
        <v>0</v>
      </c>
      <c r="AQ264" s="11" t="b">
        <v>0</v>
      </c>
    </row>
    <row r="265" spans="1:43" ht="20.100000000000001" customHeight="1">
      <c r="A265" s="26" t="s">
        <v>398</v>
      </c>
      <c r="B265" t="s">
        <v>782</v>
      </c>
      <c r="C265" t="s">
        <v>783</v>
      </c>
      <c r="D265" s="41">
        <v>41518</v>
      </c>
      <c r="E265" t="s">
        <v>824</v>
      </c>
      <c r="F265" t="s">
        <v>1083</v>
      </c>
      <c r="G265" t="s">
        <v>1156</v>
      </c>
      <c r="H265" s="26">
        <v>2500</v>
      </c>
      <c r="I265" s="26" t="s">
        <v>1513</v>
      </c>
      <c r="J265" s="26"/>
      <c r="K265" s="26">
        <v>37</v>
      </c>
      <c r="L265" s="39">
        <v>30</v>
      </c>
      <c r="M265" s="39"/>
      <c r="N265" s="44"/>
      <c r="O265" s="40"/>
      <c r="P265" s="26" t="s">
        <v>1166</v>
      </c>
      <c r="Q265" s="45">
        <v>21</v>
      </c>
      <c r="R265" s="26">
        <v>21</v>
      </c>
      <c r="S265" s="26"/>
      <c r="T265">
        <v>68813</v>
      </c>
      <c r="U265" s="46">
        <v>55794.32</v>
      </c>
      <c r="V265" s="26"/>
      <c r="W265" s="26"/>
      <c r="X265" s="26"/>
      <c r="Y265" s="31"/>
      <c r="Z265" s="26"/>
      <c r="AA265" s="11"/>
      <c r="AB265" s="11"/>
      <c r="AC265" s="11"/>
      <c r="AD265" s="11"/>
      <c r="AE265" s="11"/>
      <c r="AF265" s="26"/>
      <c r="AG265" s="26" t="s">
        <v>48</v>
      </c>
      <c r="AH265" s="11" t="b">
        <v>0</v>
      </c>
      <c r="AI265" s="26"/>
      <c r="AJ265" s="26"/>
      <c r="AK265" t="s">
        <v>54</v>
      </c>
      <c r="AL265" s="44" t="s">
        <v>1476</v>
      </c>
      <c r="AM265" s="26" t="s">
        <v>50</v>
      </c>
      <c r="AN265" s="26"/>
      <c r="AO265" s="31"/>
      <c r="AP265" s="11" t="b">
        <v>0</v>
      </c>
      <c r="AQ265" s="11" t="b">
        <v>0</v>
      </c>
    </row>
    <row r="266" spans="1:43" ht="20.100000000000001" customHeight="1">
      <c r="A266" s="26" t="s">
        <v>399</v>
      </c>
      <c r="B266" t="s">
        <v>784</v>
      </c>
      <c r="C266" t="s">
        <v>785</v>
      </c>
      <c r="D266" s="41">
        <v>41543</v>
      </c>
      <c r="E266" t="s">
        <v>822</v>
      </c>
      <c r="F266" t="s">
        <v>1084</v>
      </c>
      <c r="G266" t="s">
        <v>1120</v>
      </c>
      <c r="H266" s="26">
        <v>2200</v>
      </c>
      <c r="I266" s="26" t="s">
        <v>1506</v>
      </c>
      <c r="J266" s="26"/>
      <c r="K266" s="26">
        <v>37</v>
      </c>
      <c r="L266" s="39">
        <v>28.75</v>
      </c>
      <c r="M266" s="39"/>
      <c r="N266" s="44">
        <v>38</v>
      </c>
      <c r="O266" s="40">
        <v>44.8</v>
      </c>
      <c r="P266" s="26" t="s">
        <v>1167</v>
      </c>
      <c r="Q266" s="45">
        <v>6</v>
      </c>
      <c r="R266" s="26">
        <v>6</v>
      </c>
      <c r="S266" s="26"/>
      <c r="T266">
        <v>25989</v>
      </c>
      <c r="U266" s="46">
        <f>Table1[[#This Row],[FTE Annual salary rate]]/Table1[[#This Row],[Full time hours for role]]*Table1[[#This Row],[Weekly Hours ]]/52.14285*Table1[[#This Row],[EQWP/ TTO Weeks paid per year]]</f>
        <v>17350.37808946312</v>
      </c>
      <c r="V266" s="26"/>
      <c r="W266" s="26"/>
      <c r="X266" s="26"/>
      <c r="Y266" s="31"/>
      <c r="Z266" s="26"/>
      <c r="AA266" s="11"/>
      <c r="AB266" s="11"/>
      <c r="AC266" s="11"/>
      <c r="AD266" s="11"/>
      <c r="AE266" s="11"/>
      <c r="AF266" s="26"/>
      <c r="AG266" s="26" t="s">
        <v>48</v>
      </c>
      <c r="AH266" s="11" t="b">
        <v>0</v>
      </c>
      <c r="AI266" s="26"/>
      <c r="AJ266" s="26"/>
      <c r="AK266" t="s">
        <v>54</v>
      </c>
      <c r="AL266" s="44" t="s">
        <v>1477</v>
      </c>
      <c r="AM266" s="26" t="s">
        <v>50</v>
      </c>
      <c r="AN266" s="26"/>
      <c r="AO266" s="31"/>
      <c r="AP266" s="11" t="b">
        <v>0</v>
      </c>
      <c r="AQ266" s="11" t="b">
        <v>0</v>
      </c>
    </row>
    <row r="267" spans="1:43" ht="20.100000000000001" customHeight="1">
      <c r="A267" s="26" t="s">
        <v>400</v>
      </c>
      <c r="B267" t="s">
        <v>786</v>
      </c>
      <c r="C267" t="s">
        <v>787</v>
      </c>
      <c r="D267" s="41">
        <v>42248</v>
      </c>
      <c r="E267" t="s">
        <v>819</v>
      </c>
      <c r="F267" t="s">
        <v>1085</v>
      </c>
      <c r="G267" t="s">
        <v>1118</v>
      </c>
      <c r="H267" s="26">
        <v>2000</v>
      </c>
      <c r="I267" s="26" t="s">
        <v>1507</v>
      </c>
      <c r="J267" s="26"/>
      <c r="K267" s="26">
        <v>32.43</v>
      </c>
      <c r="L267" s="39">
        <v>32.43</v>
      </c>
      <c r="M267" s="39"/>
      <c r="N267" s="44" t="s">
        <v>1115</v>
      </c>
      <c r="O267" s="40" t="s">
        <v>1115</v>
      </c>
      <c r="P267" s="26" t="s">
        <v>1161</v>
      </c>
      <c r="Q267" s="45">
        <v>2</v>
      </c>
      <c r="R267" s="26" t="s">
        <v>52</v>
      </c>
      <c r="S267" s="26"/>
      <c r="T267">
        <v>49232</v>
      </c>
      <c r="U267" s="46">
        <v>49232</v>
      </c>
      <c r="V267" s="26"/>
      <c r="W267" s="26"/>
      <c r="X267" s="26"/>
      <c r="Y267" s="31"/>
      <c r="Z267" s="26"/>
      <c r="AA267" s="11"/>
      <c r="AB267" s="11"/>
      <c r="AC267" s="11"/>
      <c r="AD267" s="11"/>
      <c r="AE267" s="11"/>
      <c r="AF267" s="26"/>
      <c r="AG267" s="11" t="s">
        <v>53</v>
      </c>
      <c r="AH267" s="11" t="b">
        <v>0</v>
      </c>
      <c r="AI267" s="26"/>
      <c r="AJ267" s="26"/>
      <c r="AK267" t="s">
        <v>49</v>
      </c>
      <c r="AL267" s="44" t="s">
        <v>1478</v>
      </c>
      <c r="AM267" s="26" t="s">
        <v>50</v>
      </c>
      <c r="AN267" s="26"/>
      <c r="AO267" s="31"/>
      <c r="AP267" s="11" t="b">
        <v>0</v>
      </c>
      <c r="AQ267" s="11" t="b">
        <v>0</v>
      </c>
    </row>
    <row r="268" spans="1:43" ht="20.100000000000001" customHeight="1">
      <c r="A268" s="26" t="s">
        <v>401</v>
      </c>
      <c r="B268" t="s">
        <v>786</v>
      </c>
      <c r="C268" t="s">
        <v>568</v>
      </c>
      <c r="D268" s="41">
        <v>41518</v>
      </c>
      <c r="E268" t="s">
        <v>820</v>
      </c>
      <c r="F268" t="s">
        <v>1086</v>
      </c>
      <c r="G268" t="s">
        <v>1157</v>
      </c>
      <c r="H268" s="26">
        <v>2000</v>
      </c>
      <c r="I268" s="26" t="s">
        <v>1507</v>
      </c>
      <c r="J268" s="26"/>
      <c r="K268" s="26">
        <v>32.43</v>
      </c>
      <c r="L268" s="39">
        <v>32.43</v>
      </c>
      <c r="M268" s="39"/>
      <c r="N268" s="44" t="s">
        <v>1115</v>
      </c>
      <c r="O268" s="40" t="s">
        <v>1115</v>
      </c>
      <c r="P268" s="26" t="s">
        <v>1168</v>
      </c>
      <c r="Q268" s="45">
        <v>9</v>
      </c>
      <c r="R268" s="26">
        <v>9</v>
      </c>
      <c r="S268" s="26"/>
      <c r="T268">
        <v>63070</v>
      </c>
      <c r="U268" s="46">
        <v>63070</v>
      </c>
      <c r="V268" s="26"/>
      <c r="W268" s="26"/>
      <c r="X268" s="26"/>
      <c r="Y268" s="31"/>
      <c r="Z268" s="26"/>
      <c r="AA268" s="11"/>
      <c r="AB268" s="11"/>
      <c r="AC268" s="11"/>
      <c r="AD268" s="11"/>
      <c r="AE268" s="11"/>
      <c r="AF268" s="26"/>
      <c r="AG268" s="11" t="s">
        <v>53</v>
      </c>
      <c r="AH268" s="11" t="b">
        <v>0</v>
      </c>
      <c r="AI268" s="26"/>
      <c r="AJ268" s="26"/>
      <c r="AK268" t="s">
        <v>54</v>
      </c>
      <c r="AL268" s="44" t="s">
        <v>1479</v>
      </c>
      <c r="AM268" s="26" t="s">
        <v>50</v>
      </c>
      <c r="AN268" s="26"/>
      <c r="AO268" s="31"/>
      <c r="AP268" s="11" t="b">
        <v>0</v>
      </c>
      <c r="AQ268" s="11" t="b">
        <v>0</v>
      </c>
    </row>
    <row r="269" spans="1:43" ht="20.100000000000001" customHeight="1">
      <c r="A269" s="26" t="s">
        <v>402</v>
      </c>
      <c r="B269" t="s">
        <v>788</v>
      </c>
      <c r="C269" t="s">
        <v>789</v>
      </c>
      <c r="D269" s="41">
        <v>44749</v>
      </c>
      <c r="E269" t="s">
        <v>820</v>
      </c>
      <c r="F269" t="s">
        <v>1087</v>
      </c>
      <c r="G269" t="s">
        <v>1125</v>
      </c>
      <c r="H269" s="26">
        <v>2000</v>
      </c>
      <c r="I269" s="26" t="s">
        <v>1507</v>
      </c>
      <c r="J269" s="26"/>
      <c r="K269" s="26">
        <v>32.43</v>
      </c>
      <c r="L269" s="39">
        <v>32.43</v>
      </c>
      <c r="M269" s="39"/>
      <c r="N269" s="44" t="s">
        <v>1115</v>
      </c>
      <c r="O269" s="40" t="s">
        <v>1115</v>
      </c>
      <c r="P269" s="26" t="s">
        <v>1160</v>
      </c>
      <c r="Q269" s="45">
        <v>4</v>
      </c>
      <c r="R269" s="26" t="s">
        <v>51</v>
      </c>
      <c r="S269" s="26"/>
      <c r="T269">
        <v>39556</v>
      </c>
      <c r="U269" s="46">
        <v>39556</v>
      </c>
      <c r="V269" s="26"/>
      <c r="W269" s="26"/>
      <c r="X269" s="26"/>
      <c r="Y269" s="31"/>
      <c r="Z269" s="26"/>
      <c r="AA269" s="11"/>
      <c r="AB269" s="11"/>
      <c r="AC269" s="11"/>
      <c r="AD269" s="11"/>
      <c r="AE269" s="11"/>
      <c r="AF269" s="26"/>
      <c r="AG269" s="11" t="s">
        <v>53</v>
      </c>
      <c r="AH269" s="11" t="b">
        <v>0</v>
      </c>
      <c r="AI269" s="26"/>
      <c r="AJ269" s="26"/>
      <c r="AK269" t="s">
        <v>54</v>
      </c>
      <c r="AL269" s="44" t="s">
        <v>1480</v>
      </c>
      <c r="AM269" s="26" t="s">
        <v>50</v>
      </c>
      <c r="AN269" s="26"/>
      <c r="AO269" s="31"/>
      <c r="AP269" s="11" t="b">
        <v>0</v>
      </c>
      <c r="AQ269" s="11" t="b">
        <v>0</v>
      </c>
    </row>
    <row r="270" spans="1:43" ht="20.100000000000001" customHeight="1">
      <c r="A270" s="26" t="s">
        <v>403</v>
      </c>
      <c r="B270" t="s">
        <v>790</v>
      </c>
      <c r="C270" t="s">
        <v>791</v>
      </c>
      <c r="D270" s="41">
        <v>40272</v>
      </c>
      <c r="E270" t="s">
        <v>820</v>
      </c>
      <c r="F270" t="s">
        <v>1088</v>
      </c>
      <c r="G270" t="s">
        <v>1120</v>
      </c>
      <c r="H270" s="26">
        <v>2200</v>
      </c>
      <c r="I270" s="26" t="s">
        <v>1506</v>
      </c>
      <c r="J270" s="26"/>
      <c r="K270" s="26">
        <v>37</v>
      </c>
      <c r="L270" s="39">
        <v>30</v>
      </c>
      <c r="M270" s="39"/>
      <c r="N270" s="44">
        <v>38</v>
      </c>
      <c r="O270" s="40">
        <v>44.2</v>
      </c>
      <c r="P270" s="26" t="s">
        <v>1167</v>
      </c>
      <c r="Q270" s="45">
        <v>6</v>
      </c>
      <c r="R270" s="26">
        <v>6</v>
      </c>
      <c r="S270" s="26"/>
      <c r="T270">
        <v>25989</v>
      </c>
      <c r="U270" s="46">
        <f>Table1[[#This Row],[FTE Annual salary rate]]/Table1[[#This Row],[Full time hours for role]]*Table1[[#This Row],[Weekly Hours ]]/52.14285*Table1[[#This Row],[EQWP/ TTO Weeks paid per year]]</f>
        <v>17862.268126264054</v>
      </c>
      <c r="V270" s="26"/>
      <c r="W270" s="26"/>
      <c r="X270" s="26"/>
      <c r="Y270" s="31"/>
      <c r="Z270" s="26"/>
      <c r="AA270" s="11"/>
      <c r="AB270" s="11"/>
      <c r="AC270" s="11"/>
      <c r="AD270" s="11"/>
      <c r="AE270" s="11"/>
      <c r="AF270" s="26"/>
      <c r="AG270" s="26" t="s">
        <v>48</v>
      </c>
      <c r="AH270" s="11" t="b">
        <v>0</v>
      </c>
      <c r="AI270" s="26"/>
      <c r="AJ270" s="26"/>
      <c r="AK270" t="s">
        <v>54</v>
      </c>
      <c r="AL270" s="44" t="s">
        <v>1481</v>
      </c>
      <c r="AM270" s="26" t="s">
        <v>50</v>
      </c>
      <c r="AN270" s="26"/>
      <c r="AO270" s="31"/>
      <c r="AP270" s="11" t="b">
        <v>0</v>
      </c>
      <c r="AQ270" s="11" t="b">
        <v>0</v>
      </c>
    </row>
    <row r="271" spans="1:43" ht="20.100000000000001" customHeight="1">
      <c r="A271" s="26" t="s">
        <v>396</v>
      </c>
      <c r="B271" t="s">
        <v>781</v>
      </c>
      <c r="C271" t="s">
        <v>430</v>
      </c>
      <c r="D271" s="41">
        <v>45901</v>
      </c>
      <c r="E271" t="s">
        <v>822</v>
      </c>
      <c r="F271" t="s">
        <v>1081</v>
      </c>
      <c r="G271" t="s">
        <v>1125</v>
      </c>
      <c r="H271" s="26">
        <v>2000</v>
      </c>
      <c r="I271" s="26" t="s">
        <v>1507</v>
      </c>
      <c r="J271" s="26"/>
      <c r="K271" s="26">
        <v>32.43</v>
      </c>
      <c r="L271" s="39">
        <v>19.46</v>
      </c>
      <c r="M271" s="39"/>
      <c r="N271" s="44" t="s">
        <v>1115</v>
      </c>
      <c r="O271" s="40" t="s">
        <v>1115</v>
      </c>
      <c r="P271" s="26" t="s">
        <v>1160</v>
      </c>
      <c r="Q271" s="45">
        <v>6</v>
      </c>
      <c r="R271" s="26" t="s">
        <v>51</v>
      </c>
      <c r="S271" s="26"/>
      <c r="T271">
        <v>45352</v>
      </c>
      <c r="U271" s="46">
        <f>19.46153846*Table1[[#This Row],[FTE Annual salary rate]]/32.43</f>
        <v>27216.148388465001</v>
      </c>
      <c r="V271" s="26" t="s">
        <v>1177</v>
      </c>
      <c r="W271" s="26">
        <v>3371</v>
      </c>
      <c r="X271" s="26">
        <v>2022.6</v>
      </c>
      <c r="Y271" s="31"/>
      <c r="Z271" s="26"/>
      <c r="AA271" s="11"/>
      <c r="AB271" s="11"/>
      <c r="AC271" s="11"/>
      <c r="AD271" s="11"/>
      <c r="AE271" s="11"/>
      <c r="AF271" s="26"/>
      <c r="AG271" s="11" t="s">
        <v>53</v>
      </c>
      <c r="AH271" s="11" t="b">
        <v>0</v>
      </c>
      <c r="AI271" s="26"/>
      <c r="AJ271" s="26"/>
      <c r="AK271" t="s">
        <v>54</v>
      </c>
      <c r="AL271" s="44" t="s">
        <v>1474</v>
      </c>
      <c r="AM271" s="26" t="s">
        <v>50</v>
      </c>
      <c r="AN271" s="26"/>
      <c r="AO271" s="31"/>
      <c r="AP271" s="11" t="b">
        <v>0</v>
      </c>
      <c r="AQ271" s="11" t="b">
        <v>0</v>
      </c>
    </row>
    <row r="272" spans="1:43" ht="20.100000000000001" customHeight="1">
      <c r="A272" s="26" t="s">
        <v>405</v>
      </c>
      <c r="B272" t="s">
        <v>793</v>
      </c>
      <c r="C272" t="s">
        <v>544</v>
      </c>
      <c r="D272" s="41">
        <v>40422</v>
      </c>
      <c r="E272" t="s">
        <v>821</v>
      </c>
      <c r="F272" t="s">
        <v>1090</v>
      </c>
      <c r="G272" t="s">
        <v>1125</v>
      </c>
      <c r="H272" s="26">
        <v>2000</v>
      </c>
      <c r="I272" s="26" t="s">
        <v>1507</v>
      </c>
      <c r="J272" s="26"/>
      <c r="K272" s="26">
        <v>32.43</v>
      </c>
      <c r="L272" s="39">
        <v>32.43</v>
      </c>
      <c r="M272" s="39"/>
      <c r="N272" s="44" t="s">
        <v>1115</v>
      </c>
      <c r="O272" s="40" t="s">
        <v>1115</v>
      </c>
      <c r="P272" s="26" t="s">
        <v>1160</v>
      </c>
      <c r="Q272" s="45">
        <v>6</v>
      </c>
      <c r="R272" s="26" t="s">
        <v>51</v>
      </c>
      <c r="S272" s="26"/>
      <c r="T272">
        <v>45352</v>
      </c>
      <c r="U272" s="46">
        <v>45352</v>
      </c>
      <c r="V272" s="26"/>
      <c r="W272" s="26"/>
      <c r="X272" s="26"/>
      <c r="Y272" s="31"/>
      <c r="Z272" s="26"/>
      <c r="AA272" s="11"/>
      <c r="AB272" s="11"/>
      <c r="AC272" s="11"/>
      <c r="AD272" s="11"/>
      <c r="AE272" s="11"/>
      <c r="AF272" s="26"/>
      <c r="AG272" s="11" t="s">
        <v>53</v>
      </c>
      <c r="AH272" s="11" t="b">
        <v>0</v>
      </c>
      <c r="AI272" s="26"/>
      <c r="AJ272" s="26"/>
      <c r="AK272" t="s">
        <v>54</v>
      </c>
      <c r="AL272" s="44" t="s">
        <v>1483</v>
      </c>
      <c r="AM272" s="26" t="s">
        <v>50</v>
      </c>
      <c r="AN272" s="26"/>
      <c r="AO272" s="31"/>
      <c r="AP272" s="11" t="b">
        <v>0</v>
      </c>
      <c r="AQ272" s="11" t="b">
        <v>0</v>
      </c>
    </row>
    <row r="273" spans="1:43" ht="20.100000000000001" customHeight="1">
      <c r="A273" s="26" t="s">
        <v>406</v>
      </c>
      <c r="B273" t="s">
        <v>793</v>
      </c>
      <c r="C273" t="s">
        <v>794</v>
      </c>
      <c r="D273" s="41">
        <v>45565</v>
      </c>
      <c r="E273" t="s">
        <v>819</v>
      </c>
      <c r="F273" t="s">
        <v>1091</v>
      </c>
      <c r="G273" t="s">
        <v>1133</v>
      </c>
      <c r="H273" s="26">
        <v>2300</v>
      </c>
      <c r="I273" s="26" t="s">
        <v>1515</v>
      </c>
      <c r="J273" s="26"/>
      <c r="K273" s="26">
        <v>37</v>
      </c>
      <c r="L273" s="39">
        <v>20</v>
      </c>
      <c r="M273" s="39"/>
      <c r="N273" s="44"/>
      <c r="O273" s="40"/>
      <c r="P273" s="26" t="s">
        <v>1167</v>
      </c>
      <c r="Q273" s="45">
        <v>13</v>
      </c>
      <c r="R273" s="26">
        <v>17</v>
      </c>
      <c r="S273" s="26"/>
      <c r="T273">
        <v>29065</v>
      </c>
      <c r="U273" s="46">
        <v>15710.81</v>
      </c>
      <c r="V273" s="26"/>
      <c r="W273" s="26"/>
      <c r="X273" s="26"/>
      <c r="Y273" s="31"/>
      <c r="Z273" s="26"/>
      <c r="AA273" s="11"/>
      <c r="AB273" s="11"/>
      <c r="AC273" s="11"/>
      <c r="AD273" s="11"/>
      <c r="AE273" s="11"/>
      <c r="AF273" s="26"/>
      <c r="AG273" s="26" t="s">
        <v>48</v>
      </c>
      <c r="AH273" s="11" t="b">
        <v>0</v>
      </c>
      <c r="AI273" s="26"/>
      <c r="AJ273" s="26"/>
      <c r="AK273" t="s">
        <v>49</v>
      </c>
      <c r="AL273" s="44" t="s">
        <v>1484</v>
      </c>
      <c r="AM273" s="26" t="s">
        <v>50</v>
      </c>
      <c r="AN273" s="26"/>
      <c r="AO273" s="31"/>
      <c r="AP273" s="11" t="b">
        <v>0</v>
      </c>
      <c r="AQ273" s="11" t="b">
        <v>0</v>
      </c>
    </row>
    <row r="274" spans="1:43" ht="20.100000000000001" customHeight="1">
      <c r="A274" s="26" t="s">
        <v>407</v>
      </c>
      <c r="B274" t="s">
        <v>795</v>
      </c>
      <c r="C274" t="s">
        <v>796</v>
      </c>
      <c r="D274" s="41">
        <v>42979</v>
      </c>
      <c r="E274" t="s">
        <v>820</v>
      </c>
      <c r="F274" t="s">
        <v>1092</v>
      </c>
      <c r="G274" t="s">
        <v>1116</v>
      </c>
      <c r="H274" s="26">
        <v>2200</v>
      </c>
      <c r="I274" s="26" t="s">
        <v>1506</v>
      </c>
      <c r="J274" s="26"/>
      <c r="K274" s="26">
        <v>37</v>
      </c>
      <c r="L274" s="39">
        <v>30.5</v>
      </c>
      <c r="M274" s="39"/>
      <c r="N274" s="44">
        <v>38</v>
      </c>
      <c r="O274" s="40">
        <v>44.2</v>
      </c>
      <c r="P274" s="26" t="s">
        <v>1167</v>
      </c>
      <c r="Q274" s="45">
        <v>13</v>
      </c>
      <c r="R274" s="26">
        <v>17</v>
      </c>
      <c r="S274" s="26"/>
      <c r="T274">
        <v>29065</v>
      </c>
      <c r="U274" s="46">
        <f>Table1[[#This Row],[FTE Annual salary rate]]/Table1[[#This Row],[Full time hours for role]]*Table1[[#This Row],[Weekly Hours ]]/52.14285*Table1[[#This Row],[EQWP/ TTO Weeks paid per year]]</f>
        <v>20309.346395578737</v>
      </c>
      <c r="V274" s="26"/>
      <c r="W274" s="26"/>
      <c r="X274" s="26"/>
      <c r="Y274" s="31"/>
      <c r="Z274" s="26"/>
      <c r="AA274" s="11"/>
      <c r="AB274" s="11"/>
      <c r="AC274" s="11"/>
      <c r="AD274" s="11"/>
      <c r="AE274" s="11"/>
      <c r="AF274" s="26"/>
      <c r="AG274" s="26" t="s">
        <v>48</v>
      </c>
      <c r="AH274" s="11" t="b">
        <v>0</v>
      </c>
      <c r="AI274" s="26"/>
      <c r="AJ274" s="26"/>
      <c r="AK274" t="s">
        <v>54</v>
      </c>
      <c r="AL274" s="44" t="s">
        <v>1485</v>
      </c>
      <c r="AM274" s="26" t="s">
        <v>50</v>
      </c>
      <c r="AN274" s="26"/>
      <c r="AO274" s="31"/>
      <c r="AP274" s="11" t="b">
        <v>0</v>
      </c>
      <c r="AQ274" s="11" t="b">
        <v>0</v>
      </c>
    </row>
    <row r="275" spans="1:43" ht="20.100000000000001" customHeight="1">
      <c r="A275" s="26" t="s">
        <v>365</v>
      </c>
      <c r="B275" t="s">
        <v>740</v>
      </c>
      <c r="C275" t="s">
        <v>568</v>
      </c>
      <c r="D275" s="41">
        <v>45590</v>
      </c>
      <c r="E275" t="s">
        <v>823</v>
      </c>
      <c r="F275" t="s">
        <v>1045</v>
      </c>
      <c r="G275" t="s">
        <v>1118</v>
      </c>
      <c r="H275" s="26">
        <v>2000</v>
      </c>
      <c r="I275" s="26" t="s">
        <v>1507</v>
      </c>
      <c r="J275" s="26"/>
      <c r="K275" s="26">
        <v>32.43</v>
      </c>
      <c r="L275" s="39">
        <v>32.43</v>
      </c>
      <c r="M275" s="39"/>
      <c r="N275" s="44" t="s">
        <v>1115</v>
      </c>
      <c r="O275" s="40" t="s">
        <v>1115</v>
      </c>
      <c r="P275" s="26" t="s">
        <v>1161</v>
      </c>
      <c r="Q275" s="45">
        <v>2</v>
      </c>
      <c r="R275" s="26" t="s">
        <v>52</v>
      </c>
      <c r="S275" s="26"/>
      <c r="T275">
        <v>49232</v>
      </c>
      <c r="U275" s="46">
        <v>49232</v>
      </c>
      <c r="V275" s="26" t="s">
        <v>1517</v>
      </c>
      <c r="W275" s="26">
        <v>2787</v>
      </c>
      <c r="X275" s="26">
        <v>2787</v>
      </c>
      <c r="Y275" s="31"/>
      <c r="Z275" s="26"/>
      <c r="AA275" s="11"/>
      <c r="AB275" s="11"/>
      <c r="AC275" s="11"/>
      <c r="AD275" s="11"/>
      <c r="AE275" s="11"/>
      <c r="AF275" s="26"/>
      <c r="AG275" s="11" t="s">
        <v>53</v>
      </c>
      <c r="AH275" s="11" t="b">
        <v>0</v>
      </c>
      <c r="AI275" s="26"/>
      <c r="AJ275" s="26"/>
      <c r="AK275" t="s">
        <v>54</v>
      </c>
      <c r="AL275" s="44" t="s">
        <v>1443</v>
      </c>
      <c r="AM275" s="26" t="s">
        <v>50</v>
      </c>
      <c r="AN275" s="26"/>
      <c r="AO275" s="31"/>
      <c r="AP275" s="11" t="b">
        <v>0</v>
      </c>
      <c r="AQ275" s="11" t="b">
        <v>0</v>
      </c>
    </row>
    <row r="276" spans="1:43" ht="20.100000000000001" customHeight="1">
      <c r="A276" s="26" t="s">
        <v>409</v>
      </c>
      <c r="B276" t="s">
        <v>797</v>
      </c>
      <c r="C276" t="s">
        <v>798</v>
      </c>
      <c r="D276" s="41">
        <v>44503</v>
      </c>
      <c r="E276" t="s">
        <v>821</v>
      </c>
      <c r="F276" t="s">
        <v>1094</v>
      </c>
      <c r="G276" t="s">
        <v>1120</v>
      </c>
      <c r="H276" s="26">
        <v>2200</v>
      </c>
      <c r="I276" s="26" t="s">
        <v>1506</v>
      </c>
      <c r="J276" s="26"/>
      <c r="K276" s="26">
        <v>37</v>
      </c>
      <c r="L276" s="39">
        <v>10</v>
      </c>
      <c r="M276" s="39"/>
      <c r="N276" s="44">
        <v>38</v>
      </c>
      <c r="O276" s="40">
        <v>43.3</v>
      </c>
      <c r="P276" s="26" t="s">
        <v>1167</v>
      </c>
      <c r="Q276" s="45">
        <v>6</v>
      </c>
      <c r="R276" s="26">
        <v>6</v>
      </c>
      <c r="S276" s="26"/>
      <c r="T276">
        <v>25989</v>
      </c>
      <c r="U276" s="46">
        <f>Table1[[#This Row],[FTE Annual salary rate]]/Table1[[#This Row],[Full time hours for role]]*Table1[[#This Row],[Weekly Hours ]]/52.14285*Table1[[#This Row],[EQWP/ TTO Weeks paid per year]]</f>
        <v>5832.8522614421836</v>
      </c>
      <c r="V276" s="26"/>
      <c r="W276" s="26"/>
      <c r="X276" s="26"/>
      <c r="Y276" s="31"/>
      <c r="Z276" s="26"/>
      <c r="AA276" s="11"/>
      <c r="AB276" s="11"/>
      <c r="AC276" s="11"/>
      <c r="AD276" s="11"/>
      <c r="AE276" s="11"/>
      <c r="AF276" s="26"/>
      <c r="AG276" s="26" t="s">
        <v>48</v>
      </c>
      <c r="AH276" s="11" t="b">
        <v>0</v>
      </c>
      <c r="AI276" s="26"/>
      <c r="AJ276" s="26"/>
      <c r="AK276" t="s">
        <v>54</v>
      </c>
      <c r="AL276" s="44" t="s">
        <v>1487</v>
      </c>
      <c r="AM276" s="26" t="s">
        <v>50</v>
      </c>
      <c r="AN276" s="26"/>
      <c r="AO276" s="31"/>
      <c r="AP276" s="11" t="b">
        <v>0</v>
      </c>
      <c r="AQ276" s="11" t="b">
        <v>0</v>
      </c>
    </row>
    <row r="277" spans="1:43" ht="20.100000000000001" customHeight="1">
      <c r="A277" s="26" t="s">
        <v>409</v>
      </c>
      <c r="B277" t="s">
        <v>797</v>
      </c>
      <c r="C277" t="s">
        <v>798</v>
      </c>
      <c r="D277" s="41">
        <v>44503</v>
      </c>
      <c r="E277" t="s">
        <v>821</v>
      </c>
      <c r="F277" t="s">
        <v>1095</v>
      </c>
      <c r="G277" t="s">
        <v>1128</v>
      </c>
      <c r="H277" s="26">
        <v>2200</v>
      </c>
      <c r="I277" s="26" t="s">
        <v>1506</v>
      </c>
      <c r="J277" s="26"/>
      <c r="K277" s="26">
        <v>37</v>
      </c>
      <c r="L277" s="39">
        <v>17.5</v>
      </c>
      <c r="M277" s="39"/>
      <c r="N277" s="44">
        <v>38</v>
      </c>
      <c r="O277" s="40">
        <v>43.3</v>
      </c>
      <c r="P277" s="26" t="s">
        <v>1167</v>
      </c>
      <c r="Q277" s="45">
        <v>6</v>
      </c>
      <c r="R277" s="26">
        <v>6</v>
      </c>
      <c r="S277" s="26"/>
      <c r="T277">
        <v>25989</v>
      </c>
      <c r="U277" s="46">
        <f>Table1[[#This Row],[FTE Annual salary rate]]/Table1[[#This Row],[Full time hours for role]]*Table1[[#This Row],[Weekly Hours ]]/52.14285*Table1[[#This Row],[EQWP/ TTO Weeks paid per year]]</f>
        <v>10207.49145752382</v>
      </c>
      <c r="V277" s="26"/>
      <c r="W277" s="26"/>
      <c r="X277" s="26"/>
      <c r="Y277" s="31"/>
      <c r="Z277" s="26"/>
      <c r="AA277" s="11"/>
      <c r="AB277" s="11"/>
      <c r="AC277" s="11"/>
      <c r="AD277" s="11"/>
      <c r="AE277" s="11"/>
      <c r="AF277" s="26"/>
      <c r="AG277" s="26" t="s">
        <v>48</v>
      </c>
      <c r="AH277" s="11" t="b">
        <v>0</v>
      </c>
      <c r="AI277" s="26"/>
      <c r="AJ277" s="26"/>
      <c r="AK277" t="s">
        <v>54</v>
      </c>
      <c r="AL277" s="44" t="s">
        <v>1487</v>
      </c>
      <c r="AM277" s="26" t="s">
        <v>50</v>
      </c>
      <c r="AN277" s="26"/>
      <c r="AO277" s="31"/>
      <c r="AP277" s="11" t="b">
        <v>0</v>
      </c>
      <c r="AQ277" s="11" t="b">
        <v>0</v>
      </c>
    </row>
    <row r="278" spans="1:43" ht="20.100000000000001" customHeight="1">
      <c r="A278" s="26" t="s">
        <v>410</v>
      </c>
      <c r="B278" t="s">
        <v>799</v>
      </c>
      <c r="C278" t="s">
        <v>544</v>
      </c>
      <c r="D278" s="41">
        <v>45170</v>
      </c>
      <c r="E278" t="s">
        <v>820</v>
      </c>
      <c r="F278" t="s">
        <v>1096</v>
      </c>
      <c r="G278" t="s">
        <v>1120</v>
      </c>
      <c r="H278" s="26">
        <v>2200</v>
      </c>
      <c r="I278" s="26" t="s">
        <v>1506</v>
      </c>
      <c r="J278" s="26"/>
      <c r="K278" s="26">
        <v>37</v>
      </c>
      <c r="L278" s="39">
        <v>11.25</v>
      </c>
      <c r="M278" s="39"/>
      <c r="N278" s="44">
        <v>38</v>
      </c>
      <c r="O278" s="40">
        <v>43.3</v>
      </c>
      <c r="P278" s="26" t="s">
        <v>1167</v>
      </c>
      <c r="Q278" s="45">
        <v>6</v>
      </c>
      <c r="R278" s="26">
        <v>6</v>
      </c>
      <c r="S278" s="26"/>
      <c r="T278">
        <v>25989</v>
      </c>
      <c r="U278" s="46">
        <f>Table1[[#This Row],[FTE Annual salary rate]]/Table1[[#This Row],[Full time hours for role]]*Table1[[#This Row],[Weekly Hours ]]/52.14285*Table1[[#This Row],[EQWP/ TTO Weeks paid per year]]</f>
        <v>6561.9587941224554</v>
      </c>
      <c r="V278" s="26"/>
      <c r="W278" s="26"/>
      <c r="X278" s="26"/>
      <c r="Y278" s="31"/>
      <c r="Z278" s="26"/>
      <c r="AA278" s="11"/>
      <c r="AB278" s="11"/>
      <c r="AC278" s="11"/>
      <c r="AD278" s="11"/>
      <c r="AE278" s="11"/>
      <c r="AF278" s="26"/>
      <c r="AG278" s="26" t="s">
        <v>48</v>
      </c>
      <c r="AH278" s="11" t="b">
        <v>0</v>
      </c>
      <c r="AI278" s="26"/>
      <c r="AJ278" s="26"/>
      <c r="AK278" t="s">
        <v>54</v>
      </c>
      <c r="AL278" s="44" t="s">
        <v>1488</v>
      </c>
      <c r="AM278" s="26" t="s">
        <v>50</v>
      </c>
      <c r="AN278" s="26"/>
      <c r="AO278" s="31"/>
      <c r="AP278" s="11" t="b">
        <v>0</v>
      </c>
      <c r="AQ278" s="11" t="b">
        <v>0</v>
      </c>
    </row>
    <row r="279" spans="1:43" ht="20.100000000000001" customHeight="1">
      <c r="A279" s="26" t="s">
        <v>411</v>
      </c>
      <c r="B279" t="s">
        <v>800</v>
      </c>
      <c r="C279" t="s">
        <v>801</v>
      </c>
      <c r="D279" s="41">
        <v>43709</v>
      </c>
      <c r="E279" t="s">
        <v>823</v>
      </c>
      <c r="F279" t="s">
        <v>1097</v>
      </c>
      <c r="G279" t="s">
        <v>1125</v>
      </c>
      <c r="H279" s="26">
        <v>2000</v>
      </c>
      <c r="I279" s="26" t="s">
        <v>1507</v>
      </c>
      <c r="J279" s="26"/>
      <c r="K279" s="26">
        <v>32.43</v>
      </c>
      <c r="L279" s="39">
        <v>32.43</v>
      </c>
      <c r="M279" s="39"/>
      <c r="N279" s="44" t="s">
        <v>1115</v>
      </c>
      <c r="O279" s="40" t="s">
        <v>1115</v>
      </c>
      <c r="P279" s="26" t="s">
        <v>1160</v>
      </c>
      <c r="Q279" s="45">
        <v>6</v>
      </c>
      <c r="R279" s="26" t="s">
        <v>51</v>
      </c>
      <c r="S279" s="26"/>
      <c r="T279">
        <v>45352</v>
      </c>
      <c r="U279" s="46">
        <v>45352</v>
      </c>
      <c r="V279" s="26" t="s">
        <v>1517</v>
      </c>
      <c r="W279" s="26">
        <v>2787</v>
      </c>
      <c r="X279" s="26">
        <v>2787</v>
      </c>
      <c r="Y279" s="31"/>
      <c r="Z279" s="26"/>
      <c r="AA279" s="11"/>
      <c r="AB279" s="11"/>
      <c r="AC279" s="11"/>
      <c r="AD279" s="11"/>
      <c r="AE279" s="11"/>
      <c r="AF279" s="26"/>
      <c r="AG279" s="11" t="s">
        <v>53</v>
      </c>
      <c r="AH279" s="11" t="b">
        <v>0</v>
      </c>
      <c r="AI279" s="26"/>
      <c r="AJ279" s="26"/>
      <c r="AK279" t="s">
        <v>54</v>
      </c>
      <c r="AL279" s="44" t="s">
        <v>1489</v>
      </c>
      <c r="AM279" s="26" t="s">
        <v>50</v>
      </c>
      <c r="AN279" s="26"/>
      <c r="AO279" s="31"/>
      <c r="AP279" s="11" t="b">
        <v>0</v>
      </c>
      <c r="AQ279" s="11" t="b">
        <v>0</v>
      </c>
    </row>
    <row r="280" spans="1:43" ht="20.100000000000001" customHeight="1">
      <c r="A280" s="26" t="s">
        <v>412</v>
      </c>
      <c r="B280" t="s">
        <v>802</v>
      </c>
      <c r="C280" t="s">
        <v>461</v>
      </c>
      <c r="D280" s="41">
        <v>44109</v>
      </c>
      <c r="E280" t="s">
        <v>820</v>
      </c>
      <c r="F280" t="s">
        <v>1098</v>
      </c>
      <c r="G280" t="s">
        <v>1116</v>
      </c>
      <c r="H280" s="26">
        <v>2200</v>
      </c>
      <c r="I280" s="26" t="s">
        <v>1506</v>
      </c>
      <c r="J280" s="26"/>
      <c r="K280" s="26">
        <v>37</v>
      </c>
      <c r="L280" s="39">
        <v>30.5</v>
      </c>
      <c r="M280" s="39"/>
      <c r="N280" s="44">
        <v>38</v>
      </c>
      <c r="O280" s="40">
        <v>43.3</v>
      </c>
      <c r="P280" s="26" t="s">
        <v>1167</v>
      </c>
      <c r="Q280" s="45">
        <v>15</v>
      </c>
      <c r="R280" s="26">
        <v>17</v>
      </c>
      <c r="S280" s="26"/>
      <c r="T280">
        <v>30024</v>
      </c>
      <c r="U280" s="46">
        <f>Table1[[#This Row],[FTE Annual salary rate]]/Table1[[#This Row],[Full time hours for role]]*Table1[[#This Row],[Weekly Hours ]]/52.14285*Table1[[#This Row],[EQWP/ TTO Weeks paid per year]]</f>
        <v>20552.270064546432</v>
      </c>
      <c r="V280" s="26"/>
      <c r="W280" s="26"/>
      <c r="X280" s="26"/>
      <c r="Y280" s="31"/>
      <c r="Z280" s="26"/>
      <c r="AA280" s="11"/>
      <c r="AB280" s="11"/>
      <c r="AC280" s="11"/>
      <c r="AD280" s="11"/>
      <c r="AE280" s="11"/>
      <c r="AF280" s="26"/>
      <c r="AG280" s="26" t="s">
        <v>48</v>
      </c>
      <c r="AH280" s="11" t="b">
        <v>0</v>
      </c>
      <c r="AI280" s="26"/>
      <c r="AJ280" s="26"/>
      <c r="AK280" t="s">
        <v>54</v>
      </c>
      <c r="AL280" s="44" t="s">
        <v>1490</v>
      </c>
      <c r="AM280" s="26" t="s">
        <v>50</v>
      </c>
      <c r="AN280" s="26"/>
      <c r="AO280" s="31"/>
      <c r="AP280" s="11" t="b">
        <v>0</v>
      </c>
      <c r="AQ280" s="11" t="b">
        <v>0</v>
      </c>
    </row>
    <row r="281" spans="1:43" ht="20.100000000000001" customHeight="1">
      <c r="A281" s="26" t="s">
        <v>413</v>
      </c>
      <c r="B281" t="s">
        <v>803</v>
      </c>
      <c r="C281" t="s">
        <v>746</v>
      </c>
      <c r="D281" s="41">
        <v>42979</v>
      </c>
      <c r="E281" t="s">
        <v>822</v>
      </c>
      <c r="F281" t="s">
        <v>1099</v>
      </c>
      <c r="G281" t="s">
        <v>1128</v>
      </c>
      <c r="H281" s="26">
        <v>2200</v>
      </c>
      <c r="I281" s="26" t="s">
        <v>1506</v>
      </c>
      <c r="J281" s="26"/>
      <c r="K281" s="26">
        <v>37</v>
      </c>
      <c r="L281" s="39">
        <v>30.5</v>
      </c>
      <c r="M281" s="39"/>
      <c r="N281" s="44">
        <v>38</v>
      </c>
      <c r="O281" s="40">
        <v>44.2</v>
      </c>
      <c r="P281" s="26" t="s">
        <v>1167</v>
      </c>
      <c r="Q281" s="45">
        <v>6</v>
      </c>
      <c r="R281" s="26">
        <v>6</v>
      </c>
      <c r="S281" s="26"/>
      <c r="T281">
        <v>25989</v>
      </c>
      <c r="U281" s="46">
        <f>Table1[[#This Row],[FTE Annual salary rate]]/Table1[[#This Row],[Full time hours for role]]*Table1[[#This Row],[Weekly Hours ]]/52.14285*Table1[[#This Row],[EQWP/ TTO Weeks paid per year]]</f>
        <v>18159.972595035124</v>
      </c>
      <c r="V281" s="26"/>
      <c r="W281" s="26"/>
      <c r="X281" s="26"/>
      <c r="Y281" s="31"/>
      <c r="Z281" s="26"/>
      <c r="AA281" s="11"/>
      <c r="AB281" s="11"/>
      <c r="AC281" s="11"/>
      <c r="AD281" s="11"/>
      <c r="AE281" s="11"/>
      <c r="AF281" s="26"/>
      <c r="AG281" s="26" t="s">
        <v>48</v>
      </c>
      <c r="AH281" s="11" t="b">
        <v>0</v>
      </c>
      <c r="AI281" s="26"/>
      <c r="AJ281" s="26"/>
      <c r="AK281" t="s">
        <v>54</v>
      </c>
      <c r="AL281" s="44" t="s">
        <v>1491</v>
      </c>
      <c r="AM281" s="26" t="s">
        <v>50</v>
      </c>
      <c r="AN281" s="26"/>
      <c r="AO281" s="31"/>
      <c r="AP281" s="11" t="b">
        <v>0</v>
      </c>
      <c r="AQ281" s="11" t="b">
        <v>0</v>
      </c>
    </row>
    <row r="282" spans="1:43" ht="20.100000000000001" customHeight="1">
      <c r="A282" s="26" t="s">
        <v>414</v>
      </c>
      <c r="B282" t="s">
        <v>804</v>
      </c>
      <c r="C282" t="s">
        <v>586</v>
      </c>
      <c r="D282" s="41">
        <v>44684</v>
      </c>
      <c r="E282" t="s">
        <v>822</v>
      </c>
      <c r="F282" t="s">
        <v>1100</v>
      </c>
      <c r="G282" t="s">
        <v>1128</v>
      </c>
      <c r="H282" s="26">
        <v>2200</v>
      </c>
      <c r="I282" s="26" t="s">
        <v>1506</v>
      </c>
      <c r="J282" s="26"/>
      <c r="K282" s="26">
        <v>37</v>
      </c>
      <c r="L282" s="39">
        <v>12.16</v>
      </c>
      <c r="M282" s="39"/>
      <c r="N282" s="44">
        <v>38</v>
      </c>
      <c r="O282" s="40">
        <v>43.3</v>
      </c>
      <c r="P282" s="26" t="s">
        <v>1167</v>
      </c>
      <c r="Q282" s="45">
        <v>6</v>
      </c>
      <c r="R282" s="26">
        <v>6</v>
      </c>
      <c r="S282" s="26"/>
      <c r="T282">
        <v>25989</v>
      </c>
      <c r="U282" s="46">
        <f>Table1[[#This Row],[FTE Annual salary rate]]/Table1[[#This Row],[Full time hours for role]]*Table1[[#This Row],[Weekly Hours ]]/52.14285*Table1[[#This Row],[EQWP/ TTO Weeks paid per year]]</f>
        <v>7092.7483499136952</v>
      </c>
      <c r="V282" s="26"/>
      <c r="W282" s="26"/>
      <c r="X282" s="26"/>
      <c r="Y282" s="31"/>
      <c r="Z282" s="26"/>
      <c r="AA282" s="11"/>
      <c r="AB282" s="11"/>
      <c r="AC282" s="11"/>
      <c r="AD282" s="11"/>
      <c r="AE282" s="11"/>
      <c r="AF282" s="26"/>
      <c r="AG282" s="26" t="s">
        <v>48</v>
      </c>
      <c r="AH282" s="11" t="b">
        <v>0</v>
      </c>
      <c r="AI282" s="26"/>
      <c r="AJ282" s="26"/>
      <c r="AK282" t="s">
        <v>54</v>
      </c>
      <c r="AL282" s="44" t="s">
        <v>1492</v>
      </c>
      <c r="AM282" s="26" t="s">
        <v>50</v>
      </c>
      <c r="AN282" s="26"/>
      <c r="AO282" s="31"/>
      <c r="AP282" s="11" t="b">
        <v>0</v>
      </c>
      <c r="AQ282" s="11" t="b">
        <v>0</v>
      </c>
    </row>
    <row r="283" spans="1:43" ht="20.100000000000001" customHeight="1">
      <c r="A283" s="26" t="s">
        <v>415</v>
      </c>
      <c r="B283" t="s">
        <v>804</v>
      </c>
      <c r="C283" t="s">
        <v>615</v>
      </c>
      <c r="D283" s="41">
        <v>44805</v>
      </c>
      <c r="E283" t="s">
        <v>822</v>
      </c>
      <c r="F283" t="s">
        <v>1101</v>
      </c>
      <c r="G283" t="s">
        <v>1171</v>
      </c>
      <c r="H283" s="26">
        <v>2000</v>
      </c>
      <c r="I283" s="26" t="s">
        <v>1507</v>
      </c>
      <c r="J283" s="26"/>
      <c r="K283" s="26">
        <v>32.43</v>
      </c>
      <c r="L283" s="39">
        <v>32.43</v>
      </c>
      <c r="M283" s="39"/>
      <c r="N283" s="44" t="s">
        <v>1115</v>
      </c>
      <c r="O283" s="40" t="s">
        <v>1115</v>
      </c>
      <c r="P283" s="26" t="s">
        <v>1168</v>
      </c>
      <c r="Q283" s="45">
        <v>9</v>
      </c>
      <c r="R283" s="26">
        <v>12</v>
      </c>
      <c r="S283" s="26"/>
      <c r="T283">
        <v>63070</v>
      </c>
      <c r="U283" s="46">
        <v>63070</v>
      </c>
      <c r="V283" s="26"/>
      <c r="W283" s="26"/>
      <c r="X283" s="26"/>
      <c r="Y283" s="31"/>
      <c r="Z283" s="26"/>
      <c r="AA283" s="11"/>
      <c r="AB283" s="11"/>
      <c r="AC283" s="11"/>
      <c r="AD283" s="11"/>
      <c r="AE283" s="11"/>
      <c r="AF283" s="26"/>
      <c r="AG283" s="11" t="s">
        <v>53</v>
      </c>
      <c r="AH283" s="11" t="b">
        <v>0</v>
      </c>
      <c r="AI283" s="26"/>
      <c r="AJ283" s="26"/>
      <c r="AK283" t="s">
        <v>54</v>
      </c>
      <c r="AL283" s="44" t="s">
        <v>1493</v>
      </c>
      <c r="AM283" s="26" t="s">
        <v>50</v>
      </c>
      <c r="AN283" s="26"/>
      <c r="AO283" s="31"/>
      <c r="AP283" s="11" t="b">
        <v>0</v>
      </c>
      <c r="AQ283" s="11" t="b">
        <v>0</v>
      </c>
    </row>
    <row r="284" spans="1:43" ht="20.100000000000001" customHeight="1">
      <c r="A284" s="26" t="s">
        <v>416</v>
      </c>
      <c r="B284" t="s">
        <v>804</v>
      </c>
      <c r="C284" t="s">
        <v>619</v>
      </c>
      <c r="D284" s="41">
        <v>38657</v>
      </c>
      <c r="E284" t="s">
        <v>821</v>
      </c>
      <c r="F284" t="s">
        <v>1102</v>
      </c>
      <c r="G284" t="s">
        <v>1119</v>
      </c>
      <c r="H284" s="26">
        <v>2820</v>
      </c>
      <c r="I284" s="26" t="s">
        <v>1509</v>
      </c>
      <c r="J284" s="26"/>
      <c r="K284" s="26">
        <v>37</v>
      </c>
      <c r="L284" s="39">
        <v>8.75</v>
      </c>
      <c r="M284" s="39"/>
      <c r="N284" s="44">
        <v>38</v>
      </c>
      <c r="O284" s="40">
        <v>44.8</v>
      </c>
      <c r="P284" s="26" t="s">
        <v>1167</v>
      </c>
      <c r="Q284" s="45">
        <v>4</v>
      </c>
      <c r="R284" s="26">
        <v>4</v>
      </c>
      <c r="S284" s="26"/>
      <c r="T284">
        <v>25185</v>
      </c>
      <c r="U284" s="46">
        <f>Table1[[#This Row],[FTE Annual salary rate]]/Table1[[#This Row],[Full time hours for role]]*Table1[[#This Row],[Weekly Hours ]]/52.14285*Table1[[#This Row],[EQWP/ TTO Weeks paid per year]]</f>
        <v>5117.1898901741051</v>
      </c>
      <c r="V284" s="26"/>
      <c r="W284" s="26"/>
      <c r="X284" s="26"/>
      <c r="Y284" s="31"/>
      <c r="Z284" s="26"/>
      <c r="AA284" s="11"/>
      <c r="AB284" s="11"/>
      <c r="AC284" s="11"/>
      <c r="AD284" s="11"/>
      <c r="AE284" s="11"/>
      <c r="AF284" s="26"/>
      <c r="AG284" s="26" t="s">
        <v>48</v>
      </c>
      <c r="AH284" s="11" t="b">
        <v>0</v>
      </c>
      <c r="AI284" s="26"/>
      <c r="AJ284" s="26"/>
      <c r="AK284" t="s">
        <v>54</v>
      </c>
      <c r="AL284" s="44" t="s">
        <v>1494</v>
      </c>
      <c r="AM284" s="26" t="s">
        <v>50</v>
      </c>
      <c r="AN284" s="26"/>
      <c r="AO284" s="31"/>
      <c r="AP284" s="11" t="b">
        <v>0</v>
      </c>
      <c r="AQ284" s="11" t="b">
        <v>0</v>
      </c>
    </row>
    <row r="285" spans="1:43" ht="20.100000000000001" customHeight="1">
      <c r="A285" s="26" t="s">
        <v>416</v>
      </c>
      <c r="B285" t="s">
        <v>804</v>
      </c>
      <c r="C285" t="s">
        <v>619</v>
      </c>
      <c r="D285" s="41">
        <v>38657</v>
      </c>
      <c r="E285" t="s">
        <v>821</v>
      </c>
      <c r="F285" t="s">
        <v>1103</v>
      </c>
      <c r="G285" t="s">
        <v>1127</v>
      </c>
      <c r="H285" s="26">
        <v>2300</v>
      </c>
      <c r="I285" s="26" t="s">
        <v>1512</v>
      </c>
      <c r="J285" s="26"/>
      <c r="K285" s="26">
        <v>37</v>
      </c>
      <c r="L285" s="39">
        <v>8.75</v>
      </c>
      <c r="M285" s="39"/>
      <c r="N285" s="44">
        <v>41.4</v>
      </c>
      <c r="O285" s="40">
        <v>46.4</v>
      </c>
      <c r="P285" s="26" t="s">
        <v>1162</v>
      </c>
      <c r="Q285" s="45">
        <v>1</v>
      </c>
      <c r="R285" s="26">
        <v>1</v>
      </c>
      <c r="S285" s="26"/>
      <c r="T285">
        <v>23557</v>
      </c>
      <c r="U285" s="46">
        <f>Table1[[#This Row],[FTE Annual salary rate]]/Table1[[#This Row],[Full time hours for role]]*Table1[[#This Row],[Weekly Hours ]]/52.14285*Table1[[#This Row],[EQWP/ TTO Weeks paid per year]]</f>
        <v>4957.3493647609266</v>
      </c>
      <c r="V285" s="26"/>
      <c r="W285" s="26"/>
      <c r="X285" s="26"/>
      <c r="Y285" s="31"/>
      <c r="Z285" s="26"/>
      <c r="AA285" s="11"/>
      <c r="AB285" s="11"/>
      <c r="AC285" s="11"/>
      <c r="AD285" s="11"/>
      <c r="AE285" s="11"/>
      <c r="AF285" s="26"/>
      <c r="AG285" s="26" t="s">
        <v>48</v>
      </c>
      <c r="AH285" s="11" t="b">
        <v>0</v>
      </c>
      <c r="AI285" s="26"/>
      <c r="AJ285" s="26"/>
      <c r="AK285" t="s">
        <v>54</v>
      </c>
      <c r="AL285" s="44" t="s">
        <v>1494</v>
      </c>
      <c r="AM285" s="26" t="s">
        <v>50</v>
      </c>
      <c r="AN285" s="26"/>
      <c r="AO285" s="31"/>
      <c r="AP285" s="11" t="b">
        <v>0</v>
      </c>
      <c r="AQ285" s="11" t="b">
        <v>0</v>
      </c>
    </row>
    <row r="286" spans="1:43" ht="20.100000000000001" customHeight="1">
      <c r="A286" s="26" t="s">
        <v>417</v>
      </c>
      <c r="B286" t="s">
        <v>805</v>
      </c>
      <c r="C286" t="s">
        <v>806</v>
      </c>
      <c r="D286" s="41">
        <v>41883</v>
      </c>
      <c r="E286" t="s">
        <v>819</v>
      </c>
      <c r="F286" t="s">
        <v>1104</v>
      </c>
      <c r="G286" t="s">
        <v>1158</v>
      </c>
      <c r="H286" s="26">
        <v>2000</v>
      </c>
      <c r="I286" s="26" t="s">
        <v>1507</v>
      </c>
      <c r="J286" s="26"/>
      <c r="K286" s="26">
        <v>32.43</v>
      </c>
      <c r="L286" s="39">
        <v>32.43</v>
      </c>
      <c r="M286" s="39"/>
      <c r="N286" s="44" t="s">
        <v>1115</v>
      </c>
      <c r="O286" s="40" t="s">
        <v>1115</v>
      </c>
      <c r="P286" s="26" t="s">
        <v>1168</v>
      </c>
      <c r="Q286" s="45">
        <v>10</v>
      </c>
      <c r="R286" s="26">
        <v>10</v>
      </c>
      <c r="S286" s="26"/>
      <c r="T286">
        <v>64691</v>
      </c>
      <c r="U286" s="46">
        <v>64691</v>
      </c>
      <c r="V286" s="26"/>
      <c r="W286" s="26"/>
      <c r="X286" s="26"/>
      <c r="Y286" s="31"/>
      <c r="Z286" s="26"/>
      <c r="AA286" s="11"/>
      <c r="AB286" s="11"/>
      <c r="AC286" s="11"/>
      <c r="AD286" s="11"/>
      <c r="AE286" s="11"/>
      <c r="AF286" s="26"/>
      <c r="AG286" s="11" t="s">
        <v>53</v>
      </c>
      <c r="AH286" s="11" t="b">
        <v>0</v>
      </c>
      <c r="AI286" s="26"/>
      <c r="AJ286" s="26"/>
      <c r="AK286" t="s">
        <v>54</v>
      </c>
      <c r="AL286" s="44" t="s">
        <v>1495</v>
      </c>
      <c r="AM286" s="26" t="s">
        <v>50</v>
      </c>
      <c r="AN286" s="26"/>
      <c r="AO286" s="31"/>
      <c r="AP286" s="11" t="b">
        <v>0</v>
      </c>
      <c r="AQ286" s="11" t="b">
        <v>0</v>
      </c>
    </row>
    <row r="287" spans="1:43" ht="20.100000000000001" customHeight="1">
      <c r="A287" s="26" t="s">
        <v>418</v>
      </c>
      <c r="B287" t="s">
        <v>807</v>
      </c>
      <c r="C287" t="s">
        <v>808</v>
      </c>
      <c r="D287" s="41">
        <v>45957</v>
      </c>
      <c r="E287" t="s">
        <v>820</v>
      </c>
      <c r="F287" t="s">
        <v>1105</v>
      </c>
      <c r="G287" t="s">
        <v>1133</v>
      </c>
      <c r="H287" s="26">
        <v>2300</v>
      </c>
      <c r="I287" s="26" t="s">
        <v>1515</v>
      </c>
      <c r="J287" s="26"/>
      <c r="K287" s="26">
        <v>37</v>
      </c>
      <c r="L287" s="39">
        <v>20</v>
      </c>
      <c r="M287" s="39"/>
      <c r="N287" s="44"/>
      <c r="O287" s="40"/>
      <c r="P287" s="26" t="s">
        <v>1167</v>
      </c>
      <c r="Q287" s="45">
        <v>12</v>
      </c>
      <c r="R287" s="26">
        <v>17</v>
      </c>
      <c r="S287" s="26"/>
      <c r="T287">
        <v>28598</v>
      </c>
      <c r="U287" s="46">
        <v>15458.38</v>
      </c>
      <c r="V287" s="26"/>
      <c r="W287" s="26"/>
      <c r="X287" s="26"/>
      <c r="Y287" s="31"/>
      <c r="Z287" s="26"/>
      <c r="AA287" s="11"/>
      <c r="AB287" s="11"/>
      <c r="AC287" s="11"/>
      <c r="AD287" s="11"/>
      <c r="AE287" s="11"/>
      <c r="AF287" s="26"/>
      <c r="AG287" s="26" t="s">
        <v>48</v>
      </c>
      <c r="AH287" s="11" t="b">
        <v>0</v>
      </c>
      <c r="AI287" s="26"/>
      <c r="AJ287" s="26"/>
      <c r="AK287" t="s">
        <v>49</v>
      </c>
      <c r="AL287" s="44" t="s">
        <v>1496</v>
      </c>
      <c r="AM287" s="26" t="s">
        <v>50</v>
      </c>
      <c r="AN287" s="26"/>
      <c r="AO287" s="31"/>
      <c r="AP287" s="11" t="b">
        <v>0</v>
      </c>
      <c r="AQ287" s="11" t="b">
        <v>0</v>
      </c>
    </row>
    <row r="288" spans="1:43" ht="20.100000000000001" customHeight="1">
      <c r="A288" s="26" t="s">
        <v>419</v>
      </c>
      <c r="B288" t="s">
        <v>809</v>
      </c>
      <c r="C288" t="s">
        <v>783</v>
      </c>
      <c r="D288" s="41">
        <v>42443</v>
      </c>
      <c r="E288" t="s">
        <v>822</v>
      </c>
      <c r="F288" t="s">
        <v>1106</v>
      </c>
      <c r="G288" t="s">
        <v>1120</v>
      </c>
      <c r="H288" s="26">
        <v>2200</v>
      </c>
      <c r="I288" s="26" t="s">
        <v>1506</v>
      </c>
      <c r="J288" s="26"/>
      <c r="K288" s="26">
        <v>37</v>
      </c>
      <c r="L288" s="39">
        <v>17.5</v>
      </c>
      <c r="M288" s="39"/>
      <c r="N288" s="44">
        <v>38</v>
      </c>
      <c r="O288" s="40">
        <v>44.2</v>
      </c>
      <c r="P288" s="26" t="s">
        <v>1167</v>
      </c>
      <c r="Q288" s="45">
        <v>6</v>
      </c>
      <c r="R288" s="26">
        <v>6</v>
      </c>
      <c r="S288" s="26"/>
      <c r="T288">
        <v>25989</v>
      </c>
      <c r="U288" s="46">
        <f>Table1[[#This Row],[FTE Annual salary rate]]/Table1[[#This Row],[Full time hours for role]]*Table1[[#This Row],[Weekly Hours ]]/52.14285*Table1[[#This Row],[EQWP/ TTO Weeks paid per year]]</f>
        <v>10419.656406987366</v>
      </c>
      <c r="V288" s="26"/>
      <c r="W288" s="26"/>
      <c r="X288" s="26"/>
      <c r="Y288" s="31"/>
      <c r="Z288" s="26"/>
      <c r="AA288" s="11"/>
      <c r="AB288" s="11"/>
      <c r="AC288" s="11"/>
      <c r="AD288" s="11"/>
      <c r="AE288" s="11"/>
      <c r="AF288" s="26"/>
      <c r="AG288" s="26" t="s">
        <v>48</v>
      </c>
      <c r="AH288" s="11" t="b">
        <v>0</v>
      </c>
      <c r="AI288" s="26"/>
      <c r="AJ288" s="26"/>
      <c r="AK288" t="s">
        <v>54</v>
      </c>
      <c r="AL288" s="44" t="s">
        <v>1497</v>
      </c>
      <c r="AM288" s="26" t="s">
        <v>50</v>
      </c>
      <c r="AN288" s="26"/>
      <c r="AO288" s="31"/>
      <c r="AP288" s="11" t="b">
        <v>0</v>
      </c>
      <c r="AQ288" s="11" t="b">
        <v>0</v>
      </c>
    </row>
    <row r="289" spans="1:43" ht="20.100000000000001" customHeight="1">
      <c r="A289" s="26" t="s">
        <v>420</v>
      </c>
      <c r="B289" t="s">
        <v>810</v>
      </c>
      <c r="C289" t="s">
        <v>811</v>
      </c>
      <c r="D289" s="41">
        <v>38961</v>
      </c>
      <c r="E289" t="s">
        <v>822</v>
      </c>
      <c r="F289" t="s">
        <v>1107</v>
      </c>
      <c r="G289" t="s">
        <v>1173</v>
      </c>
      <c r="H289" s="26">
        <v>2000</v>
      </c>
      <c r="I289" s="26" t="s">
        <v>1507</v>
      </c>
      <c r="J289" s="26"/>
      <c r="K289" s="26">
        <v>32.43</v>
      </c>
      <c r="L289" s="39">
        <v>32.43</v>
      </c>
      <c r="M289" s="39"/>
      <c r="N289" s="44" t="s">
        <v>1115</v>
      </c>
      <c r="O289" s="40" t="s">
        <v>1115</v>
      </c>
      <c r="P289" s="26" t="s">
        <v>1168</v>
      </c>
      <c r="Q289" s="45">
        <v>17</v>
      </c>
      <c r="R289" s="26">
        <v>20</v>
      </c>
      <c r="S289" s="26"/>
      <c r="T289">
        <v>76772</v>
      </c>
      <c r="U289" s="46">
        <v>76772</v>
      </c>
      <c r="V289" s="26"/>
      <c r="W289" s="26"/>
      <c r="X289" s="26"/>
      <c r="Y289" s="31"/>
      <c r="Z289" s="26"/>
      <c r="AA289" s="11"/>
      <c r="AB289" s="11"/>
      <c r="AC289" s="11"/>
      <c r="AD289" s="11"/>
      <c r="AE289" s="11"/>
      <c r="AF289" s="26"/>
      <c r="AG289" s="11" t="s">
        <v>53</v>
      </c>
      <c r="AH289" s="11" t="b">
        <v>0</v>
      </c>
      <c r="AI289" s="26"/>
      <c r="AJ289" s="26"/>
      <c r="AK289" t="s">
        <v>49</v>
      </c>
      <c r="AL289" s="44" t="s">
        <v>1498</v>
      </c>
      <c r="AM289" s="26" t="s">
        <v>50</v>
      </c>
      <c r="AN289" s="26"/>
      <c r="AO289" s="31"/>
      <c r="AP289" s="11" t="b">
        <v>0</v>
      </c>
      <c r="AQ289" s="11" t="b">
        <v>0</v>
      </c>
    </row>
    <row r="290" spans="1:43" ht="20.100000000000001" customHeight="1">
      <c r="A290" s="26" t="s">
        <v>421</v>
      </c>
      <c r="B290" t="s">
        <v>810</v>
      </c>
      <c r="C290" t="s">
        <v>812</v>
      </c>
      <c r="D290" s="41">
        <v>42095</v>
      </c>
      <c r="E290" t="s">
        <v>819</v>
      </c>
      <c r="F290" t="s">
        <v>1108</v>
      </c>
      <c r="G290" t="s">
        <v>1125</v>
      </c>
      <c r="H290" s="26">
        <v>2000</v>
      </c>
      <c r="I290" s="26" t="s">
        <v>1507</v>
      </c>
      <c r="J290" s="26"/>
      <c r="K290" s="26">
        <v>32.43</v>
      </c>
      <c r="L290" s="39">
        <v>32.43</v>
      </c>
      <c r="M290" s="39"/>
      <c r="N290" s="44" t="s">
        <v>1115</v>
      </c>
      <c r="O290" s="40" t="s">
        <v>1115</v>
      </c>
      <c r="P290" s="26" t="s">
        <v>1160</v>
      </c>
      <c r="Q290" s="45">
        <v>6</v>
      </c>
      <c r="R290" s="26" t="s">
        <v>51</v>
      </c>
      <c r="S290" s="26"/>
      <c r="T290">
        <v>45352</v>
      </c>
      <c r="U290" s="46">
        <v>45352</v>
      </c>
      <c r="V290" s="26"/>
      <c r="W290" s="26"/>
      <c r="X290" s="26"/>
      <c r="Y290" s="31"/>
      <c r="Z290" s="26"/>
      <c r="AA290" s="11"/>
      <c r="AB290" s="11"/>
      <c r="AC290" s="11"/>
      <c r="AD290" s="11"/>
      <c r="AE290" s="11"/>
      <c r="AF290" s="26"/>
      <c r="AG290" s="11" t="s">
        <v>53</v>
      </c>
      <c r="AH290" s="11" t="b">
        <v>0</v>
      </c>
      <c r="AI290" s="26"/>
      <c r="AJ290" s="26"/>
      <c r="AK290" t="s">
        <v>54</v>
      </c>
      <c r="AL290" s="44" t="s">
        <v>1499</v>
      </c>
      <c r="AM290" s="26" t="s">
        <v>50</v>
      </c>
      <c r="AN290" s="26"/>
      <c r="AO290" s="31"/>
      <c r="AP290" s="11" t="b">
        <v>0</v>
      </c>
      <c r="AQ290" s="11" t="b">
        <v>0</v>
      </c>
    </row>
    <row r="291" spans="1:43" ht="20.100000000000001" customHeight="1">
      <c r="A291" s="26" t="s">
        <v>422</v>
      </c>
      <c r="B291" t="s">
        <v>810</v>
      </c>
      <c r="C291" t="s">
        <v>626</v>
      </c>
      <c r="D291" s="41">
        <v>43621</v>
      </c>
      <c r="E291" t="s">
        <v>819</v>
      </c>
      <c r="F291" t="s">
        <v>1109</v>
      </c>
      <c r="G291" t="s">
        <v>1146</v>
      </c>
      <c r="H291" s="26">
        <v>2200</v>
      </c>
      <c r="I291" s="26" t="s">
        <v>1506</v>
      </c>
      <c r="J291" s="26"/>
      <c r="K291" s="26">
        <v>37</v>
      </c>
      <c r="L291" s="39">
        <v>20</v>
      </c>
      <c r="M291" s="39"/>
      <c r="N291" s="44">
        <v>38</v>
      </c>
      <c r="O291" s="40">
        <v>44.2</v>
      </c>
      <c r="P291" s="26" t="s">
        <v>1167</v>
      </c>
      <c r="Q291" s="45">
        <v>6</v>
      </c>
      <c r="R291" s="26">
        <v>6</v>
      </c>
      <c r="S291" s="26"/>
      <c r="T291">
        <v>25989</v>
      </c>
      <c r="U291" s="46">
        <f>Table1[[#This Row],[FTE Annual salary rate]]/Table1[[#This Row],[Full time hours for role]]*Table1[[#This Row],[Weekly Hours ]]/52.14285*Table1[[#This Row],[EQWP/ TTO Weeks paid per year]]</f>
        <v>11908.178750842704</v>
      </c>
      <c r="V291" s="26"/>
      <c r="W291" s="26"/>
      <c r="X291" s="26"/>
      <c r="Y291" s="31"/>
      <c r="Z291" s="26"/>
      <c r="AA291" s="11"/>
      <c r="AB291" s="11"/>
      <c r="AC291" s="11"/>
      <c r="AD291" s="11"/>
      <c r="AE291" s="11"/>
      <c r="AF291" s="26"/>
      <c r="AG291" s="26" t="s">
        <v>48</v>
      </c>
      <c r="AH291" s="11" t="b">
        <v>0</v>
      </c>
      <c r="AI291" s="26"/>
      <c r="AJ291" s="26"/>
      <c r="AK291" t="s">
        <v>54</v>
      </c>
      <c r="AL291" s="44" t="s">
        <v>1500</v>
      </c>
      <c r="AM291" s="26" t="s">
        <v>50</v>
      </c>
      <c r="AN291" s="26"/>
      <c r="AO291" s="31"/>
      <c r="AP291" s="11" t="b">
        <v>0</v>
      </c>
      <c r="AQ291" s="11" t="b">
        <v>0</v>
      </c>
    </row>
    <row r="292" spans="1:43" ht="20.100000000000001" customHeight="1">
      <c r="A292" s="26" t="s">
        <v>423</v>
      </c>
      <c r="B292" t="s">
        <v>813</v>
      </c>
      <c r="C292" t="s">
        <v>509</v>
      </c>
      <c r="D292" s="41">
        <v>44805</v>
      </c>
      <c r="E292" t="s">
        <v>822</v>
      </c>
      <c r="F292" t="s">
        <v>1110</v>
      </c>
      <c r="G292" t="s">
        <v>1125</v>
      </c>
      <c r="H292" s="26">
        <v>2000</v>
      </c>
      <c r="I292" s="26" t="s">
        <v>1507</v>
      </c>
      <c r="J292" s="26"/>
      <c r="K292" s="26">
        <v>32.43</v>
      </c>
      <c r="L292" s="39">
        <v>32.43</v>
      </c>
      <c r="M292" s="39"/>
      <c r="N292" s="44" t="s">
        <v>1115</v>
      </c>
      <c r="O292" s="40" t="s">
        <v>1115</v>
      </c>
      <c r="P292" s="26" t="s">
        <v>1160</v>
      </c>
      <c r="Q292" s="45">
        <v>4</v>
      </c>
      <c r="R292" s="26" t="s">
        <v>51</v>
      </c>
      <c r="S292" s="26"/>
      <c r="T292">
        <v>39556</v>
      </c>
      <c r="U292" s="46">
        <v>39556</v>
      </c>
      <c r="V292" s="26"/>
      <c r="W292" s="26"/>
      <c r="X292" s="26"/>
      <c r="Y292" s="31"/>
      <c r="Z292" s="26"/>
      <c r="AA292" s="11"/>
      <c r="AB292" s="11"/>
      <c r="AC292" s="11"/>
      <c r="AD292" s="11"/>
      <c r="AE292" s="11"/>
      <c r="AF292" s="26"/>
      <c r="AG292" s="11" t="s">
        <v>53</v>
      </c>
      <c r="AH292" s="11" t="b">
        <v>0</v>
      </c>
      <c r="AI292" s="26"/>
      <c r="AJ292" s="26"/>
      <c r="AK292" t="s">
        <v>54</v>
      </c>
      <c r="AL292" s="44" t="s">
        <v>1501</v>
      </c>
      <c r="AM292" s="26" t="s">
        <v>50</v>
      </c>
      <c r="AN292" s="26"/>
      <c r="AO292" s="31"/>
      <c r="AP292" s="11" t="b">
        <v>0</v>
      </c>
      <c r="AQ292" s="11" t="b">
        <v>0</v>
      </c>
    </row>
    <row r="293" spans="1:43" ht="20.100000000000001" customHeight="1">
      <c r="A293" s="26" t="s">
        <v>424</v>
      </c>
      <c r="B293" t="s">
        <v>814</v>
      </c>
      <c r="C293" t="s">
        <v>765</v>
      </c>
      <c r="D293" s="41">
        <v>44719</v>
      </c>
      <c r="E293" t="s">
        <v>823</v>
      </c>
      <c r="F293" t="s">
        <v>1111</v>
      </c>
      <c r="G293" t="s">
        <v>1159</v>
      </c>
      <c r="H293" s="26">
        <v>2630</v>
      </c>
      <c r="I293" s="26" t="s">
        <v>1511</v>
      </c>
      <c r="J293" s="26"/>
      <c r="K293" s="26">
        <v>37</v>
      </c>
      <c r="L293" s="39">
        <v>36</v>
      </c>
      <c r="M293" s="39"/>
      <c r="N293" s="44"/>
      <c r="O293" s="40"/>
      <c r="P293" s="26" t="s">
        <v>1163</v>
      </c>
      <c r="Q293" s="44" t="s">
        <v>1164</v>
      </c>
      <c r="R293" s="26" t="s">
        <v>1176</v>
      </c>
      <c r="S293" s="26"/>
      <c r="T293">
        <v>68979</v>
      </c>
      <c r="U293" s="46">
        <v>67114.7</v>
      </c>
      <c r="V293" s="26"/>
      <c r="W293" s="26"/>
      <c r="X293" s="26"/>
      <c r="Y293" s="31"/>
      <c r="Z293" s="26"/>
      <c r="AA293" s="11"/>
      <c r="AB293" s="11"/>
      <c r="AC293" s="11"/>
      <c r="AD293" s="11"/>
      <c r="AE293" s="11"/>
      <c r="AF293" s="26"/>
      <c r="AG293" s="26" t="s">
        <v>48</v>
      </c>
      <c r="AH293" s="11" t="b">
        <v>0</v>
      </c>
      <c r="AI293" s="26"/>
      <c r="AJ293" s="26"/>
      <c r="AK293" t="s">
        <v>54</v>
      </c>
      <c r="AL293" s="44" t="s">
        <v>1502</v>
      </c>
      <c r="AM293" s="26" t="s">
        <v>50</v>
      </c>
      <c r="AN293" s="26"/>
      <c r="AO293" s="31"/>
      <c r="AP293" s="11" t="b">
        <v>0</v>
      </c>
      <c r="AQ293" s="11" t="b">
        <v>0</v>
      </c>
    </row>
    <row r="294" spans="1:43" ht="20.100000000000001" customHeight="1">
      <c r="A294" s="26" t="s">
        <v>425</v>
      </c>
      <c r="B294" t="s">
        <v>815</v>
      </c>
      <c r="C294" t="s">
        <v>816</v>
      </c>
      <c r="D294" s="41">
        <v>44565</v>
      </c>
      <c r="E294" t="s">
        <v>821</v>
      </c>
      <c r="F294" t="s">
        <v>1112</v>
      </c>
      <c r="G294" t="s">
        <v>1125</v>
      </c>
      <c r="H294" s="26">
        <v>2000</v>
      </c>
      <c r="I294" s="26" t="s">
        <v>1507</v>
      </c>
      <c r="J294" s="26"/>
      <c r="K294" s="26">
        <v>32.43</v>
      </c>
      <c r="L294" s="39">
        <v>32.43</v>
      </c>
      <c r="M294" s="39"/>
      <c r="N294" s="44" t="s">
        <v>1115</v>
      </c>
      <c r="O294" s="40" t="s">
        <v>1115</v>
      </c>
      <c r="P294" s="26" t="s">
        <v>1160</v>
      </c>
      <c r="Q294" s="45">
        <v>4</v>
      </c>
      <c r="R294" s="26" t="s">
        <v>51</v>
      </c>
      <c r="S294" s="26"/>
      <c r="T294">
        <v>39556</v>
      </c>
      <c r="U294" s="46">
        <v>39556</v>
      </c>
      <c r="V294" s="26"/>
      <c r="W294" s="26"/>
      <c r="X294" s="26"/>
      <c r="Y294" s="31"/>
      <c r="Z294" s="26"/>
      <c r="AA294" s="11"/>
      <c r="AB294" s="11"/>
      <c r="AC294" s="11"/>
      <c r="AD294" s="11"/>
      <c r="AE294" s="11"/>
      <c r="AF294" s="26"/>
      <c r="AG294" s="11" t="s">
        <v>53</v>
      </c>
      <c r="AH294" s="11" t="b">
        <v>0</v>
      </c>
      <c r="AI294" s="26"/>
      <c r="AJ294" s="26"/>
      <c r="AK294" t="s">
        <v>54</v>
      </c>
      <c r="AL294" s="44" t="s">
        <v>1503</v>
      </c>
      <c r="AM294" s="26" t="s">
        <v>50</v>
      </c>
      <c r="AN294" s="26"/>
      <c r="AO294" s="31"/>
      <c r="AP294" s="11" t="b">
        <v>0</v>
      </c>
      <c r="AQ294" s="11" t="b">
        <v>0</v>
      </c>
    </row>
    <row r="295" spans="1:43" ht="20.100000000000001" customHeight="1">
      <c r="A295" s="26" t="s">
        <v>426</v>
      </c>
      <c r="B295" t="s">
        <v>817</v>
      </c>
      <c r="C295" t="s">
        <v>818</v>
      </c>
      <c r="D295" s="41">
        <v>44440</v>
      </c>
      <c r="E295" t="s">
        <v>822</v>
      </c>
      <c r="F295" t="s">
        <v>1113</v>
      </c>
      <c r="G295" t="s">
        <v>1118</v>
      </c>
      <c r="H295" s="26">
        <v>2000</v>
      </c>
      <c r="I295" s="26" t="s">
        <v>1507</v>
      </c>
      <c r="J295" s="26"/>
      <c r="K295" s="26">
        <v>32.43</v>
      </c>
      <c r="L295" s="49">
        <v>16.215</v>
      </c>
      <c r="M295" s="39"/>
      <c r="N295" s="44" t="s">
        <v>1115</v>
      </c>
      <c r="O295" s="40" t="s">
        <v>1115</v>
      </c>
      <c r="P295" s="26" t="s">
        <v>1161</v>
      </c>
      <c r="Q295" s="45">
        <v>3</v>
      </c>
      <c r="R295" s="26" t="s">
        <v>52</v>
      </c>
      <c r="S295" s="26"/>
      <c r="T295">
        <v>51048</v>
      </c>
      <c r="U295" s="46">
        <f>Table1[[#This Row],[FTE Annual salary rate]]*16.215/32.43</f>
        <v>25524</v>
      </c>
      <c r="V295" s="26"/>
      <c r="W295" s="26"/>
      <c r="X295" s="26"/>
      <c r="Y295" s="31"/>
      <c r="Z295" s="26"/>
      <c r="AA295" s="11"/>
      <c r="AB295" s="11"/>
      <c r="AC295" s="11"/>
      <c r="AD295" s="11"/>
      <c r="AE295" s="11"/>
      <c r="AF295" s="26"/>
      <c r="AG295" s="11" t="s">
        <v>53</v>
      </c>
      <c r="AH295" s="11" t="b">
        <v>0</v>
      </c>
      <c r="AI295" s="26"/>
      <c r="AJ295" s="26"/>
      <c r="AK295" t="s">
        <v>54</v>
      </c>
      <c r="AL295" s="44" t="s">
        <v>1504</v>
      </c>
      <c r="AM295" s="26" t="s">
        <v>50</v>
      </c>
      <c r="AN295" s="26"/>
      <c r="AO295" s="31"/>
      <c r="AP295" s="11" t="b">
        <v>0</v>
      </c>
      <c r="AQ295" s="11" t="b">
        <v>0</v>
      </c>
    </row>
    <row r="296" spans="1:43" ht="20.100000000000001" customHeight="1">
      <c r="A296" s="26" t="s">
        <v>427</v>
      </c>
      <c r="B296" t="s">
        <v>817</v>
      </c>
      <c r="C296" t="s">
        <v>540</v>
      </c>
      <c r="D296" s="42">
        <v>36969</v>
      </c>
      <c r="E296" t="s">
        <v>821</v>
      </c>
      <c r="F296" t="s">
        <v>1114</v>
      </c>
      <c r="G296" t="s">
        <v>1116</v>
      </c>
      <c r="H296" s="26">
        <v>2200</v>
      </c>
      <c r="I296" s="26" t="s">
        <v>1506</v>
      </c>
      <c r="J296" s="26"/>
      <c r="K296" s="26">
        <v>37</v>
      </c>
      <c r="L296" s="39">
        <v>30.5</v>
      </c>
      <c r="M296" s="39"/>
      <c r="N296" s="44">
        <v>38</v>
      </c>
      <c r="O296" s="40">
        <v>44.8</v>
      </c>
      <c r="P296" s="26" t="s">
        <v>1167</v>
      </c>
      <c r="Q296" s="45">
        <v>17</v>
      </c>
      <c r="R296" s="26">
        <v>17</v>
      </c>
      <c r="S296" s="26"/>
      <c r="T296">
        <v>31022</v>
      </c>
      <c r="U296" s="47">
        <f>Table1[[#This Row],[FTE Annual salary rate]]/Table1[[#This Row],[Full time hours for role]]*Table1[[#This Row],[Weekly Hours ]]/52.14285*Table1[[#This Row],[EQWP/ TTO Weeks paid per year]]</f>
        <v>21971.067474748226</v>
      </c>
      <c r="V296" s="26"/>
      <c r="W296" s="26"/>
      <c r="X296" s="26"/>
      <c r="Y296" s="31"/>
      <c r="Z296" s="26"/>
      <c r="AA296" s="38"/>
      <c r="AB296" s="38"/>
      <c r="AC296" s="38"/>
      <c r="AD296" s="38"/>
      <c r="AE296" s="38"/>
      <c r="AF296" s="26"/>
      <c r="AG296" s="26" t="s">
        <v>48</v>
      </c>
      <c r="AH296" s="11" t="b">
        <v>0</v>
      </c>
      <c r="AI296" s="26"/>
      <c r="AJ296" s="26"/>
      <c r="AK296" t="s">
        <v>54</v>
      </c>
      <c r="AL296" s="44" t="s">
        <v>1505</v>
      </c>
      <c r="AM296" s="26" t="s">
        <v>50</v>
      </c>
      <c r="AN296" s="26"/>
      <c r="AO296" s="31"/>
      <c r="AP296" s="11" t="b">
        <v>0</v>
      </c>
      <c r="AQ296" s="11" t="b">
        <v>0</v>
      </c>
    </row>
  </sheetData>
  <mergeCells count="14">
    <mergeCell ref="AB4:AC4"/>
    <mergeCell ref="W4:X4"/>
    <mergeCell ref="N4:O4"/>
    <mergeCell ref="A1:AQ1"/>
    <mergeCell ref="V3:AF3"/>
    <mergeCell ref="AG3:AJ3"/>
    <mergeCell ref="AK3:AQ3"/>
    <mergeCell ref="P3:S3"/>
    <mergeCell ref="A2:S2"/>
    <mergeCell ref="A3:E3"/>
    <mergeCell ref="F3:K3"/>
    <mergeCell ref="L3:O3"/>
    <mergeCell ref="T3:U3"/>
    <mergeCell ref="T2:AQ2"/>
  </mergeCells>
  <phoneticPr fontId="1" type="noConversion"/>
  <pageMargins left="0.7" right="0.7" top="0.75" bottom="0.75"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A19E-1A76-40FC-B8E9-C35021A1A67A}">
  <sheetPr>
    <tabColor theme="3"/>
  </sheetPr>
  <dimension ref="A1:F25"/>
  <sheetViews>
    <sheetView showGridLines="0" workbookViewId="0">
      <selection activeCell="D22" sqref="D22"/>
    </sheetView>
  </sheetViews>
  <sheetFormatPr defaultRowHeight="14.4"/>
  <cols>
    <col min="1" max="1" width="14" customWidth="1"/>
    <col min="2" max="2" width="15" customWidth="1"/>
    <col min="3" max="3" width="18.88671875" customWidth="1"/>
    <col min="4" max="4" width="16.33203125" customWidth="1"/>
    <col min="5" max="5" width="20.88671875" customWidth="1"/>
    <col min="6" max="6" width="26.109375" bestFit="1" customWidth="1"/>
  </cols>
  <sheetData>
    <row r="1" spans="1:6" s="10" customFormat="1" ht="28.8">
      <c r="A1" s="8" t="s">
        <v>120</v>
      </c>
      <c r="B1" s="8" t="s">
        <v>121</v>
      </c>
      <c r="C1" s="8" t="s">
        <v>122</v>
      </c>
      <c r="D1" s="8" t="s">
        <v>123</v>
      </c>
      <c r="E1" s="8" t="s">
        <v>124</v>
      </c>
    </row>
    <row r="2" spans="1:6" ht="15" customHeight="1">
      <c r="A2" s="1" t="s">
        <v>1179</v>
      </c>
      <c r="B2" s="1" t="s">
        <v>1178</v>
      </c>
      <c r="C2" s="29">
        <v>45748</v>
      </c>
      <c r="D2" s="29">
        <v>46112</v>
      </c>
      <c r="E2" s="1">
        <v>23.6</v>
      </c>
      <c r="F2" s="110" t="s">
        <v>3</v>
      </c>
    </row>
    <row r="3" spans="1:6">
      <c r="A3" s="1" t="s">
        <v>1179</v>
      </c>
      <c r="B3" s="1" t="s">
        <v>48</v>
      </c>
      <c r="C3" s="29">
        <v>46113</v>
      </c>
      <c r="D3" s="29">
        <v>46477</v>
      </c>
      <c r="E3" s="1">
        <v>22.6</v>
      </c>
      <c r="F3" s="110"/>
    </row>
    <row r="4" spans="1:6">
      <c r="A4" s="1" t="s">
        <v>1179</v>
      </c>
      <c r="B4" s="25" t="s">
        <v>48</v>
      </c>
      <c r="C4" s="30">
        <v>46478</v>
      </c>
      <c r="D4" s="30">
        <v>46843</v>
      </c>
      <c r="E4" s="25">
        <v>21.6</v>
      </c>
      <c r="F4" s="110"/>
    </row>
    <row r="5" spans="1:6">
      <c r="A5" s="1" t="s">
        <v>1179</v>
      </c>
      <c r="B5" s="50" t="s">
        <v>48</v>
      </c>
      <c r="C5" s="51">
        <v>46844</v>
      </c>
      <c r="D5" s="51"/>
      <c r="E5" s="50">
        <v>20.6</v>
      </c>
      <c r="F5" s="2"/>
    </row>
    <row r="6" spans="1:6">
      <c r="A6" s="50" t="s">
        <v>1179</v>
      </c>
      <c r="B6" s="50" t="s">
        <v>53</v>
      </c>
      <c r="C6" s="51">
        <v>45748</v>
      </c>
      <c r="D6" s="51"/>
      <c r="E6" s="50">
        <v>28.68</v>
      </c>
      <c r="F6" s="2"/>
    </row>
    <row r="7" spans="1:6">
      <c r="F7" s="2"/>
    </row>
    <row r="8" spans="1:6">
      <c r="F8" s="2"/>
    </row>
    <row r="9" spans="1:6">
      <c r="F9" s="2"/>
    </row>
    <row r="10" spans="1:6">
      <c r="F10" s="2"/>
    </row>
    <row r="11" spans="1:6">
      <c r="F11" s="2"/>
    </row>
    <row r="12" spans="1:6">
      <c r="F12" s="2"/>
    </row>
    <row r="13" spans="1:6">
      <c r="F13" s="2"/>
    </row>
    <row r="14" spans="1:6">
      <c r="F14" s="2"/>
    </row>
    <row r="15" spans="1:6">
      <c r="F15" s="2"/>
    </row>
    <row r="16" spans="1:6">
      <c r="F16" s="2"/>
    </row>
    <row r="17" spans="6:6">
      <c r="F17" s="2"/>
    </row>
    <row r="18" spans="6:6">
      <c r="F18" s="2"/>
    </row>
    <row r="19" spans="6:6">
      <c r="F19" s="2"/>
    </row>
    <row r="20" spans="6:6">
      <c r="F20" s="2"/>
    </row>
    <row r="21" spans="6:6">
      <c r="F21" s="2"/>
    </row>
    <row r="22" spans="6:6">
      <c r="F22" s="2"/>
    </row>
    <row r="23" spans="6:6">
      <c r="F23" s="2"/>
    </row>
    <row r="24" spans="6:6">
      <c r="F24" s="2"/>
    </row>
    <row r="25" spans="6:6">
      <c r="F25" s="2"/>
    </row>
  </sheetData>
  <mergeCells count="1">
    <mergeCell ref="F2:F4"/>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9C04A-4358-4622-AFC5-294D6F9EA9D8}">
  <sheetPr>
    <tabColor theme="3"/>
  </sheetPr>
  <dimension ref="A1:G22"/>
  <sheetViews>
    <sheetView showGridLines="0" tabSelected="1" topLeftCell="A3" workbookViewId="0">
      <selection activeCell="E31" sqref="E31"/>
    </sheetView>
  </sheetViews>
  <sheetFormatPr defaultRowHeight="14.4"/>
  <cols>
    <col min="1" max="1" width="14" customWidth="1"/>
    <col min="2" max="2" width="18.5546875" bestFit="1" customWidth="1"/>
    <col min="3" max="3" width="14.44140625" customWidth="1"/>
    <col min="4" max="4" width="14.6640625" customWidth="1"/>
    <col min="5" max="5" width="14.109375" customWidth="1"/>
    <col min="6" max="6" width="16.44140625" customWidth="1"/>
    <col min="7" max="7" width="116" customWidth="1"/>
  </cols>
  <sheetData>
    <row r="1" spans="1:7" ht="24" customHeight="1" thickBot="1">
      <c r="A1" s="34" t="s">
        <v>125</v>
      </c>
      <c r="B1" s="34"/>
      <c r="C1" s="34"/>
      <c r="D1" s="34"/>
      <c r="E1" s="34"/>
      <c r="F1" s="34"/>
    </row>
    <row r="2" spans="1:7" ht="18.600000000000001" thickBot="1">
      <c r="A2" s="114" t="s">
        <v>1</v>
      </c>
      <c r="B2" s="115"/>
      <c r="C2" s="115"/>
      <c r="D2" s="115"/>
      <c r="E2" s="116"/>
      <c r="F2" s="36" t="s">
        <v>170</v>
      </c>
    </row>
    <row r="3" spans="1:7" ht="15.6">
      <c r="A3" s="111" t="s">
        <v>76</v>
      </c>
      <c r="B3" s="112"/>
      <c r="C3" s="113"/>
      <c r="D3" s="117" t="s">
        <v>126</v>
      </c>
      <c r="E3" s="118"/>
      <c r="F3" s="35" t="s">
        <v>171</v>
      </c>
    </row>
    <row r="4" spans="1:7" s="10" customFormat="1" ht="43.2">
      <c r="A4" s="8" t="s">
        <v>127</v>
      </c>
      <c r="B4" s="8" t="s">
        <v>128</v>
      </c>
      <c r="C4" s="8" t="s">
        <v>129</v>
      </c>
      <c r="D4" s="8" t="s">
        <v>130</v>
      </c>
      <c r="E4" s="8" t="s">
        <v>131</v>
      </c>
      <c r="F4" s="8" t="s">
        <v>132</v>
      </c>
      <c r="G4" s="8" t="s">
        <v>1187</v>
      </c>
    </row>
    <row r="5" spans="1:7" s="28" customFormat="1" ht="15" customHeight="1">
      <c r="A5" s="26">
        <v>12345</v>
      </c>
      <c r="B5" s="26" t="s">
        <v>133</v>
      </c>
      <c r="C5" s="26" t="s">
        <v>134</v>
      </c>
      <c r="D5" s="26" t="s">
        <v>135</v>
      </c>
      <c r="E5" s="31">
        <v>45222</v>
      </c>
      <c r="F5" s="31">
        <v>45587</v>
      </c>
      <c r="G5" s="62"/>
    </row>
    <row r="6" spans="1:7" s="28" customFormat="1" ht="18.75" customHeight="1">
      <c r="A6" s="26">
        <v>67890</v>
      </c>
      <c r="B6" s="26" t="s">
        <v>136</v>
      </c>
      <c r="C6" s="26" t="s">
        <v>137</v>
      </c>
      <c r="D6" s="26" t="s">
        <v>138</v>
      </c>
      <c r="E6" s="31">
        <v>45123</v>
      </c>
      <c r="F6" s="31">
        <v>45488</v>
      </c>
      <c r="G6" s="61"/>
    </row>
    <row r="7" spans="1:7" ht="14.4" customHeight="1">
      <c r="A7" s="59" t="s">
        <v>297</v>
      </c>
      <c r="B7" s="59" t="s">
        <v>1192</v>
      </c>
      <c r="C7" s="59" t="s">
        <v>134</v>
      </c>
      <c r="D7" s="59" t="s">
        <v>135</v>
      </c>
      <c r="E7" s="60">
        <v>45964</v>
      </c>
      <c r="F7" s="60">
        <v>46110</v>
      </c>
      <c r="G7" s="63" t="s">
        <v>1193</v>
      </c>
    </row>
    <row r="8" spans="1:7">
      <c r="A8" s="59" t="s">
        <v>268</v>
      </c>
      <c r="B8" s="59" t="s">
        <v>1194</v>
      </c>
      <c r="C8" s="59" t="s">
        <v>134</v>
      </c>
      <c r="D8" s="59" t="s">
        <v>135</v>
      </c>
      <c r="E8" s="60">
        <v>45733</v>
      </c>
      <c r="F8" s="60">
        <v>46097</v>
      </c>
      <c r="G8" s="63"/>
    </row>
    <row r="9" spans="1:7">
      <c r="A9" s="59" t="s">
        <v>195</v>
      </c>
      <c r="B9" s="59" t="s">
        <v>1195</v>
      </c>
      <c r="C9" s="59" t="s">
        <v>134</v>
      </c>
      <c r="D9" s="59" t="s">
        <v>135</v>
      </c>
      <c r="E9" s="60">
        <v>45811</v>
      </c>
      <c r="F9" s="60">
        <v>46175</v>
      </c>
      <c r="G9" s="63"/>
    </row>
    <row r="10" spans="1:7">
      <c r="A10" s="59" t="s">
        <v>279</v>
      </c>
      <c r="B10" s="59" t="s">
        <v>1196</v>
      </c>
      <c r="C10" s="59" t="s">
        <v>134</v>
      </c>
      <c r="D10" s="59" t="s">
        <v>135</v>
      </c>
      <c r="E10" s="60">
        <v>45916</v>
      </c>
      <c r="F10" s="60">
        <v>46069</v>
      </c>
      <c r="G10" s="63" t="s">
        <v>1197</v>
      </c>
    </row>
    <row r="11" spans="1:7">
      <c r="A11" s="59" t="s">
        <v>357</v>
      </c>
      <c r="B11" s="59" t="s">
        <v>1198</v>
      </c>
      <c r="C11" s="59" t="s">
        <v>134</v>
      </c>
      <c r="D11" s="59" t="s">
        <v>135</v>
      </c>
      <c r="E11" s="60">
        <v>45973</v>
      </c>
      <c r="F11" s="60">
        <v>46337</v>
      </c>
      <c r="G11" s="63"/>
    </row>
    <row r="12" spans="1:7">
      <c r="A12" s="59" t="s">
        <v>264</v>
      </c>
      <c r="B12" s="59" t="s">
        <v>1199</v>
      </c>
      <c r="C12" s="59" t="s">
        <v>134</v>
      </c>
      <c r="D12" s="59" t="s">
        <v>135</v>
      </c>
      <c r="E12" s="60">
        <v>46022</v>
      </c>
      <c r="F12" s="60">
        <v>46224</v>
      </c>
      <c r="G12" s="63"/>
    </row>
    <row r="13" spans="1:7">
      <c r="A13" s="59" t="s">
        <v>269</v>
      </c>
      <c r="B13" s="59" t="s">
        <v>1202</v>
      </c>
      <c r="C13" s="59" t="s">
        <v>134</v>
      </c>
      <c r="D13" s="59" t="s">
        <v>135</v>
      </c>
      <c r="E13" s="60">
        <v>46143</v>
      </c>
      <c r="F13" s="60">
        <v>46507</v>
      </c>
      <c r="G13" s="63"/>
    </row>
    <row r="14" spans="1:7">
      <c r="A14" s="57" t="s">
        <v>252</v>
      </c>
      <c r="B14" s="57" t="s">
        <v>1204</v>
      </c>
      <c r="C14" s="57" t="s">
        <v>134</v>
      </c>
      <c r="D14" s="57" t="s">
        <v>135</v>
      </c>
      <c r="E14" s="58">
        <v>46174</v>
      </c>
      <c r="F14" s="58">
        <v>46537</v>
      </c>
      <c r="G14" s="61"/>
    </row>
    <row r="15" spans="1:7">
      <c r="A15" s="59" t="s">
        <v>375</v>
      </c>
      <c r="B15" s="59" t="s">
        <v>1203</v>
      </c>
      <c r="C15" s="59" t="s">
        <v>137</v>
      </c>
      <c r="D15" s="59" t="s">
        <v>135</v>
      </c>
      <c r="E15" s="60">
        <v>46090</v>
      </c>
      <c r="F15" s="60">
        <v>46454</v>
      </c>
      <c r="G15" s="63"/>
    </row>
    <row r="16" spans="1:7">
      <c r="A16" s="59" t="s">
        <v>373</v>
      </c>
      <c r="B16" s="59" t="s">
        <v>1200</v>
      </c>
      <c r="C16" s="59" t="s">
        <v>137</v>
      </c>
      <c r="D16" s="59" t="s">
        <v>135</v>
      </c>
      <c r="E16" s="60"/>
      <c r="F16" s="60"/>
      <c r="G16" s="63" t="s">
        <v>1201</v>
      </c>
    </row>
    <row r="17" spans="1:7">
      <c r="A17" s="64" t="s">
        <v>392</v>
      </c>
      <c r="B17" s="64" t="s">
        <v>1205</v>
      </c>
      <c r="C17" s="64" t="s">
        <v>134</v>
      </c>
      <c r="D17" s="64" t="s">
        <v>1211</v>
      </c>
      <c r="E17" s="64"/>
      <c r="F17" s="64"/>
      <c r="G17" s="64" t="s">
        <v>1212</v>
      </c>
    </row>
    <row r="18" spans="1:7">
      <c r="A18" s="64" t="s">
        <v>335</v>
      </c>
      <c r="B18" s="64" t="s">
        <v>1206</v>
      </c>
      <c r="C18" s="64" t="s">
        <v>134</v>
      </c>
      <c r="D18" s="64" t="s">
        <v>1211</v>
      </c>
      <c r="E18" s="64"/>
      <c r="F18" s="64"/>
      <c r="G18" s="64" t="s">
        <v>1212</v>
      </c>
    </row>
    <row r="19" spans="1:7">
      <c r="A19" s="64" t="s">
        <v>407</v>
      </c>
      <c r="B19" s="64" t="s">
        <v>1207</v>
      </c>
      <c r="C19" s="64" t="s">
        <v>137</v>
      </c>
      <c r="D19" s="64" t="s">
        <v>1211</v>
      </c>
      <c r="E19" s="64"/>
      <c r="F19" s="64"/>
      <c r="G19" s="64" t="s">
        <v>1213</v>
      </c>
    </row>
    <row r="20" spans="1:7">
      <c r="A20" s="64" t="s">
        <v>173</v>
      </c>
      <c r="B20" s="64" t="s">
        <v>1208</v>
      </c>
      <c r="C20" s="64" t="s">
        <v>134</v>
      </c>
      <c r="D20" s="64" t="s">
        <v>1211</v>
      </c>
      <c r="E20" s="64"/>
      <c r="F20" s="64"/>
      <c r="G20" s="64" t="s">
        <v>1214</v>
      </c>
    </row>
    <row r="21" spans="1:7">
      <c r="A21" s="64" t="s">
        <v>348</v>
      </c>
      <c r="B21" s="64" t="s">
        <v>1209</v>
      </c>
      <c r="C21" s="64" t="s">
        <v>134</v>
      </c>
      <c r="D21" s="64" t="s">
        <v>1211</v>
      </c>
      <c r="E21" s="64"/>
      <c r="F21" s="64"/>
      <c r="G21" s="64" t="s">
        <v>1215</v>
      </c>
    </row>
    <row r="22" spans="1:7">
      <c r="A22" s="64" t="s">
        <v>316</v>
      </c>
      <c r="B22" s="64" t="s">
        <v>1210</v>
      </c>
      <c r="C22" s="64" t="s">
        <v>134</v>
      </c>
      <c r="D22" s="64" t="s">
        <v>1211</v>
      </c>
      <c r="E22" s="64"/>
      <c r="F22" s="64"/>
      <c r="G22" s="64" t="s">
        <v>1216</v>
      </c>
    </row>
  </sheetData>
  <mergeCells count="3">
    <mergeCell ref="A3:C3"/>
    <mergeCell ref="A2:E2"/>
    <mergeCell ref="D3:E3"/>
  </mergeCells>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39B2B-DC19-4DC2-A360-7BEF33872410}">
  <sheetPr>
    <tabColor theme="3"/>
  </sheetPr>
  <dimension ref="A1:J33"/>
  <sheetViews>
    <sheetView showGridLines="0" topLeftCell="A8" workbookViewId="0">
      <selection activeCell="B19" sqref="B19"/>
    </sheetView>
  </sheetViews>
  <sheetFormatPr defaultColWidth="8.88671875" defaultRowHeight="14.4"/>
  <cols>
    <col min="1" max="1" width="48.5546875" style="7" customWidth="1"/>
    <col min="2" max="2" width="14.88671875" style="7" bestFit="1" customWidth="1"/>
    <col min="3" max="3" width="15.5546875" style="7" customWidth="1"/>
    <col min="4" max="5" width="8.88671875" style="7"/>
    <col min="6" max="6" width="20.88671875" style="7" customWidth="1"/>
    <col min="7" max="8" width="8.88671875" style="7"/>
    <col min="9" max="9" width="0.33203125" style="7" customWidth="1"/>
    <col min="10" max="10" width="8.88671875" style="7" hidden="1" customWidth="1"/>
    <col min="11" max="11" width="6.109375" style="7" customWidth="1"/>
    <col min="12" max="16384" width="8.88671875" style="7"/>
  </cols>
  <sheetData>
    <row r="1" spans="1:2" ht="26.4">
      <c r="A1" s="81" t="s">
        <v>1235</v>
      </c>
      <c r="B1" s="82" t="s">
        <v>1219</v>
      </c>
    </row>
    <row r="2" spans="1:2" ht="18" customHeight="1">
      <c r="A2" s="83" t="s">
        <v>1236</v>
      </c>
      <c r="B2" s="84">
        <v>38</v>
      </c>
    </row>
    <row r="3" spans="1:2" ht="18.75" customHeight="1">
      <c r="A3" s="83" t="s">
        <v>1237</v>
      </c>
      <c r="B3" s="84">
        <v>38.200000000000003</v>
      </c>
    </row>
    <row r="4" spans="1:2">
      <c r="A4" s="70" t="s">
        <v>1238</v>
      </c>
      <c r="B4" s="85">
        <v>38.6</v>
      </c>
    </row>
    <row r="5" spans="1:2" ht="15" customHeight="1">
      <c r="A5" s="70" t="s">
        <v>1239</v>
      </c>
      <c r="B5" s="85">
        <v>39</v>
      </c>
    </row>
    <row r="6" spans="1:2" ht="14.4" customHeight="1">
      <c r="A6" s="70" t="s">
        <v>1240</v>
      </c>
      <c r="B6" s="85">
        <v>39.200000000000003</v>
      </c>
    </row>
    <row r="7" spans="1:2" ht="14.4" customHeight="1">
      <c r="A7" s="70" t="s">
        <v>1241</v>
      </c>
      <c r="B7" s="85">
        <v>39.4</v>
      </c>
    </row>
    <row r="8" spans="1:2" ht="14.4" customHeight="1">
      <c r="A8" s="70" t="s">
        <v>1242</v>
      </c>
      <c r="B8" s="85">
        <v>39.6</v>
      </c>
    </row>
    <row r="9" spans="1:2">
      <c r="A9" s="70" t="s">
        <v>1243</v>
      </c>
      <c r="B9" s="85">
        <v>39.799999999999997</v>
      </c>
    </row>
    <row r="10" spans="1:2">
      <c r="A10" s="70" t="s">
        <v>1244</v>
      </c>
      <c r="B10" s="85">
        <v>40</v>
      </c>
    </row>
    <row r="11" spans="1:2">
      <c r="A11" s="70" t="s">
        <v>1245</v>
      </c>
      <c r="B11" s="85">
        <v>40.200000000000003</v>
      </c>
    </row>
    <row r="12" spans="1:2">
      <c r="A12" s="70" t="s">
        <v>1246</v>
      </c>
      <c r="B12" s="85">
        <v>40.6</v>
      </c>
    </row>
    <row r="13" spans="1:2">
      <c r="A13" s="70" t="s">
        <v>1247</v>
      </c>
      <c r="B13" s="85">
        <v>41</v>
      </c>
    </row>
    <row r="14" spans="1:2">
      <c r="A14" s="70" t="s">
        <v>1248</v>
      </c>
      <c r="B14" s="85">
        <v>41.4</v>
      </c>
    </row>
    <row r="15" spans="1:2">
      <c r="A15" s="70" t="s">
        <v>1249</v>
      </c>
      <c r="B15" s="85">
        <v>42</v>
      </c>
    </row>
    <row r="17" spans="1:10" ht="15" thickBot="1"/>
    <row r="18" spans="1:10">
      <c r="A18" s="66" t="s">
        <v>1217</v>
      </c>
      <c r="B18" s="67" t="s">
        <v>1218</v>
      </c>
      <c r="C18" s="68" t="s">
        <v>1219</v>
      </c>
      <c r="D18"/>
      <c r="E18"/>
      <c r="F18"/>
      <c r="G18"/>
      <c r="H18"/>
    </row>
    <row r="19" spans="1:10">
      <c r="A19" s="69">
        <v>52.14</v>
      </c>
      <c r="B19" s="70">
        <v>6.4</v>
      </c>
      <c r="C19" s="71">
        <f>52.14-B19</f>
        <v>45.74</v>
      </c>
      <c r="D19"/>
      <c r="E19" t="s">
        <v>1220</v>
      </c>
      <c r="F19"/>
      <c r="G19" t="s">
        <v>1221</v>
      </c>
      <c r="H19"/>
    </row>
    <row r="20" spans="1:10">
      <c r="A20" s="69">
        <v>52.14</v>
      </c>
      <c r="B20" s="70">
        <v>7.3</v>
      </c>
      <c r="C20" s="71">
        <f>52.14-B20</f>
        <v>44.84</v>
      </c>
      <c r="D20"/>
      <c r="E20" t="s">
        <v>1222</v>
      </c>
      <c r="F20"/>
      <c r="G20" t="s">
        <v>1223</v>
      </c>
      <c r="H20"/>
    </row>
    <row r="21" spans="1:10" ht="15" thickBot="1">
      <c r="A21" s="72">
        <v>52.14</v>
      </c>
      <c r="B21" s="73">
        <v>7.9</v>
      </c>
      <c r="C21" s="71">
        <f>52.14-B21</f>
        <v>44.24</v>
      </c>
      <c r="D21"/>
      <c r="E21" t="s">
        <v>1224</v>
      </c>
      <c r="F21"/>
      <c r="G21" t="s">
        <v>1225</v>
      </c>
      <c r="H21"/>
    </row>
    <row r="22" spans="1:10" ht="17.399999999999999">
      <c r="A22" s="74" t="s">
        <v>1226</v>
      </c>
      <c r="B22" s="75"/>
      <c r="C22" s="75"/>
      <c r="D22"/>
      <c r="E22"/>
      <c r="F22"/>
      <c r="G22"/>
      <c r="H22"/>
    </row>
    <row r="23" spans="1:10" ht="17.399999999999999">
      <c r="A23" s="76" t="s">
        <v>1227</v>
      </c>
      <c r="B23" s="75"/>
      <c r="C23" s="75"/>
      <c r="D23"/>
      <c r="E23"/>
      <c r="F23"/>
      <c r="G23"/>
      <c r="H23"/>
    </row>
    <row r="24" spans="1:10" ht="17.399999999999999">
      <c r="A24" s="76" t="s">
        <v>1228</v>
      </c>
      <c r="B24" s="75"/>
      <c r="C24" s="75"/>
      <c r="D24"/>
      <c r="E24"/>
      <c r="F24"/>
      <c r="G24"/>
      <c r="H24"/>
    </row>
    <row r="25" spans="1:10" ht="17.399999999999999">
      <c r="A25" s="76" t="s">
        <v>1229</v>
      </c>
      <c r="B25" s="75"/>
      <c r="C25" s="75"/>
      <c r="D25"/>
      <c r="E25"/>
      <c r="F25"/>
      <c r="G25"/>
      <c r="H25"/>
    </row>
    <row r="26" spans="1:10">
      <c r="A26"/>
      <c r="B26"/>
      <c r="C26"/>
      <c r="D26"/>
      <c r="E26"/>
      <c r="F26"/>
      <c r="G26"/>
      <c r="H26"/>
    </row>
    <row r="27" spans="1:10" ht="17.399999999999999">
      <c r="A27" s="77" t="s">
        <v>1230</v>
      </c>
      <c r="B27"/>
      <c r="C27"/>
      <c r="D27"/>
      <c r="E27"/>
      <c r="F27"/>
      <c r="G27"/>
      <c r="H27"/>
    </row>
    <row r="28" spans="1:10">
      <c r="A28">
        <f>38/45.74</f>
        <v>0.83078268473983385</v>
      </c>
      <c r="B28">
        <v>6.4</v>
      </c>
      <c r="C28">
        <v>38</v>
      </c>
      <c r="D28" s="78">
        <f>A28*B28+C28</f>
        <v>43.317009182334935</v>
      </c>
      <c r="E28"/>
      <c r="F28"/>
      <c r="G28"/>
      <c r="H28"/>
    </row>
    <row r="30" spans="1:10" ht="17.399999999999999">
      <c r="A30" s="79" t="s">
        <v>1231</v>
      </c>
      <c r="B30" s="75"/>
      <c r="C30" s="75"/>
      <c r="D30"/>
      <c r="E30"/>
      <c r="F30" s="80"/>
      <c r="G30"/>
      <c r="H30" s="65"/>
      <c r="I30" s="65"/>
      <c r="J30" s="65"/>
    </row>
    <row r="31" spans="1:10" ht="17.399999999999999">
      <c r="A31" s="76" t="s">
        <v>1232</v>
      </c>
      <c r="B31" s="75"/>
      <c r="C31" s="75"/>
      <c r="D31"/>
      <c r="E31"/>
      <c r="F31" s="80"/>
      <c r="G31"/>
      <c r="H31" s="65"/>
      <c r="I31" s="65"/>
      <c r="J31" s="65"/>
    </row>
    <row r="32" spans="1:10" ht="17.399999999999999">
      <c r="A32" s="76" t="s">
        <v>1233</v>
      </c>
      <c r="B32" s="75"/>
      <c r="C32" s="75"/>
      <c r="D32"/>
      <c r="E32"/>
      <c r="F32" s="80"/>
      <c r="G32"/>
      <c r="H32" s="65"/>
      <c r="I32" s="65"/>
      <c r="J32" s="65"/>
    </row>
    <row r="33" spans="1:10" ht="17.399999999999999">
      <c r="A33" s="76" t="s">
        <v>1234</v>
      </c>
      <c r="B33" s="75"/>
      <c r="C33" s="75"/>
      <c r="D33"/>
      <c r="E33"/>
      <c r="F33" s="80"/>
      <c r="G33"/>
      <c r="H33"/>
      <c r="I33" s="65"/>
      <c r="J33" s="6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4A92E-DBB8-416D-A0BF-E5CBECCF985E}">
  <sheetPr>
    <tabColor rgb="FF7030A0"/>
  </sheetPr>
  <dimension ref="A2:D6"/>
  <sheetViews>
    <sheetView workbookViewId="0">
      <selection activeCell="D3" sqref="D3"/>
    </sheetView>
  </sheetViews>
  <sheetFormatPr defaultRowHeight="14.4"/>
  <cols>
    <col min="1" max="1" width="13.44140625" style="3" bestFit="1" customWidth="1"/>
    <col min="2" max="2" width="121.109375" bestFit="1" customWidth="1"/>
    <col min="3" max="3" width="23" bestFit="1" customWidth="1"/>
    <col min="4" max="4" width="41" bestFit="1" customWidth="1"/>
  </cols>
  <sheetData>
    <row r="2" spans="1:4">
      <c r="A2" s="3" t="s">
        <v>13</v>
      </c>
      <c r="B2" t="s">
        <v>0</v>
      </c>
      <c r="C2" t="s">
        <v>4</v>
      </c>
      <c r="D2" t="s">
        <v>14</v>
      </c>
    </row>
    <row r="3" spans="1:4">
      <c r="A3" s="3" t="s">
        <v>5</v>
      </c>
      <c r="B3" t="s">
        <v>6</v>
      </c>
      <c r="C3" t="s">
        <v>15</v>
      </c>
      <c r="D3" t="s">
        <v>18</v>
      </c>
    </row>
    <row r="4" spans="1:4">
      <c r="A4" s="3" t="s">
        <v>7</v>
      </c>
      <c r="B4" t="s">
        <v>10</v>
      </c>
      <c r="C4" t="s">
        <v>17</v>
      </c>
      <c r="D4" t="s">
        <v>18</v>
      </c>
    </row>
    <row r="5" spans="1:4">
      <c r="A5" s="3" t="s">
        <v>8</v>
      </c>
      <c r="B5" t="s">
        <v>9</v>
      </c>
      <c r="C5" t="s">
        <v>16</v>
      </c>
      <c r="D5" t="s">
        <v>18</v>
      </c>
    </row>
    <row r="6" spans="1:4">
      <c r="A6" s="3" t="s">
        <v>11</v>
      </c>
      <c r="B6" t="s">
        <v>12</v>
      </c>
      <c r="C6" t="s">
        <v>17</v>
      </c>
      <c r="D6" t="s">
        <v>18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A0EDB4919DEF46A3F9004875D57D86" ma:contentTypeVersion="17" ma:contentTypeDescription="Create a new document." ma:contentTypeScope="" ma:versionID="df779710d3984a72ef90d6987b1ced28">
  <xsd:schema xmlns:xsd="http://www.w3.org/2001/XMLSchema" xmlns:xs="http://www.w3.org/2001/XMLSchema" xmlns:p="http://schemas.microsoft.com/office/2006/metadata/properties" xmlns:ns2="05c74e94-00cb-4960-9681-9403ecb617b0" xmlns:ns3="9f2f73ca-e186-41ca-9b39-17400bef97b2" targetNamespace="http://schemas.microsoft.com/office/2006/metadata/properties" ma:root="true" ma:fieldsID="145e04b88160d965f24fa293422ed3b2" ns2:_="" ns3:_="">
    <xsd:import namespace="05c74e94-00cb-4960-9681-9403ecb617b0"/>
    <xsd:import namespace="9f2f73ca-e186-41ca-9b39-17400bef97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c74e94-00cb-4960-9681-9403ecb617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642ee81-b0db-44ae-be3d-cd622bfef65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f2f73ca-e186-41ca-9b39-17400bef97b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102cf62-306d-4988-945c-4383bcab73be}" ma:internalName="TaxCatchAll" ma:showField="CatchAllData" ma:web="9f2f73ca-e186-41ca-9b39-17400bef97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9f2f73ca-e186-41ca-9b39-17400bef97b2" xsi:nil="true"/>
    <lcf76f155ced4ddcb4097134ff3c332f xmlns="05c74e94-00cb-4960-9681-9403ecb617b0">
      <Terms xmlns="http://schemas.microsoft.com/office/infopath/2007/PartnerControls"/>
    </lcf76f155ced4ddcb4097134ff3c332f>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06470E-E241-4D54-936A-4DB90624DC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c74e94-00cb-4960-9681-9403ecb617b0"/>
    <ds:schemaRef ds:uri="9f2f73ca-e186-41ca-9b39-17400bef97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5718B2-6F64-4184-B562-C6F2047FA226}">
  <ds:schemaRefs>
    <ds:schemaRef ds:uri="http://schemas.openxmlformats.org/package/2006/metadata/core-properties"/>
    <ds:schemaRef ds:uri="http://schemas.microsoft.com/office/2006/documentManagement/types"/>
    <ds:schemaRef ds:uri="http://purl.org/dc/terms/"/>
    <ds:schemaRef ds:uri="9f2f73ca-e186-41ca-9b39-17400bef97b2"/>
    <ds:schemaRef ds:uri="http://schemas.microsoft.com/office/2006/metadata/properties"/>
    <ds:schemaRef ds:uri="http://schemas.microsoft.com/office/infopath/2007/PartnerControls"/>
    <ds:schemaRef ds:uri="http://www.w3.org/XML/1998/namespace"/>
    <ds:schemaRef ds:uri="http://purl.org/dc/elements/1.1/"/>
    <ds:schemaRef ds:uri="05c74e94-00cb-4960-9681-9403ecb617b0"/>
    <ds:schemaRef ds:uri="http://purl.org/dc/dcmitype/"/>
  </ds:schemaRefs>
</ds:datastoreItem>
</file>

<file path=customXml/itemProps3.xml><?xml version="1.0" encoding="utf-8"?>
<ds:datastoreItem xmlns:ds="http://schemas.openxmlformats.org/officeDocument/2006/customXml" ds:itemID="{759965CD-617D-4302-ABA5-F899A828797E}">
  <ds:schemaRefs>
    <ds:schemaRef ds:uri="http://schemas.microsoft.com/DataMashup"/>
  </ds:schemaRefs>
</ds:datastoreItem>
</file>

<file path=customXml/itemProps4.xml><?xml version="1.0" encoding="utf-8"?>
<ds:datastoreItem xmlns:ds="http://schemas.openxmlformats.org/officeDocument/2006/customXml" ds:itemID="{1C66E4C3-3FBF-466E-93CF-FC359C7EF2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Guidance Notes</vt:lpstr>
      <vt:lpstr>Staff Contract Checklist</vt:lpstr>
      <vt:lpstr>Staff Contract Information</vt:lpstr>
      <vt:lpstr>LGPS Information</vt:lpstr>
      <vt:lpstr>Statutory Leave</vt:lpstr>
      <vt:lpstr>Equated Weeks Example</vt:lpstr>
      <vt:lpstr>CENCHG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John Dunridge</dc:creator>
  <cp:lastModifiedBy>Alex Cane</cp:lastModifiedBy>
  <dcterms:created xsi:type="dcterms:W3CDTF">2022-02-15T11:01:45Z</dcterms:created>
  <dcterms:modified xsi:type="dcterms:W3CDTF">2026-02-09T16:58:48Z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0x0101006FA0EDB4919DEF46A3F9004875D57D86</vt:lpwstr>
  </property>
  <property fmtid="{D5CDD505-2E9C-101B-9397-08002B2CF9AE}" pid="3" name="xd_Signature">
    <vt:bool>false</vt:bool>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MediaServiceImageTags">
    <vt:lpwstr/>
  </property>
</Properties>
</file>