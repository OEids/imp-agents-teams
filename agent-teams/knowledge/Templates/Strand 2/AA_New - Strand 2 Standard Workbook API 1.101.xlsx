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tables/table7.xml" ContentType="application/vnd.openxmlformats-officedocument.spreadsheetml.table+xml"/>
  <Override PartName="/xl/queryTables/queryTable3.xml" ContentType="application/vnd.openxmlformats-officedocument.spreadsheetml.query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queryTables/queryTable5.xml" ContentType="application/vnd.openxmlformats-officedocument.spreadsheetml.queryTable+xml"/>
  <Override PartName="/xl/tables/table10.xml" ContentType="application/vnd.openxmlformats-officedocument.spreadsheetml.table+xml"/>
  <Override PartName="/xl/queryTables/queryTable6.xml" ContentType="application/vnd.openxmlformats-officedocument.spreadsheetml.queryTable+xml"/>
  <Override PartName="/xl/tables/table11.xml" ContentType="application/vnd.openxmlformats-officedocument.spreadsheetml.table+xml"/>
  <Override PartName="/xl/queryTables/queryTable7.xml" ContentType="application/vnd.openxmlformats-officedocument.spreadsheetml.queryTable+xml"/>
  <Override PartName="/xl/tables/table12.xml" ContentType="application/vnd.openxmlformats-officedocument.spreadsheetml.table+xml"/>
  <Override PartName="/xl/queryTables/queryTable8.xml" ContentType="application/vnd.openxmlformats-officedocument.spreadsheetml.queryTable+xml"/>
  <Override PartName="/xl/tables/table13.xml" ContentType="application/vnd.openxmlformats-officedocument.spreadsheetml.table+xml"/>
  <Override PartName="/xl/queryTables/queryTable9.xml" ContentType="application/vnd.openxmlformats-officedocument.spreadsheetml.queryTable+xml"/>
  <Override PartName="/xl/tables/table14.xml" ContentType="application/vnd.openxmlformats-officedocument.spreadsheetml.table+xml"/>
  <Override PartName="/xl/queryTables/queryTable10.xml" ContentType="application/vnd.openxmlformats-officedocument.spreadsheetml.queryTable+xml"/>
  <Override PartName="/xl/tables/table15.xml" ContentType="application/vnd.openxmlformats-officedocument.spreadsheetml.table+xml"/>
  <Override PartName="/xl/tables/table16.xml" ContentType="application/vnd.openxmlformats-officedocument.spreadsheetml.table+xml"/>
  <Override PartName="/xl/queryTables/queryTable11.xml" ContentType="application/vnd.openxmlformats-officedocument.spreadsheetml.queryTable+xml"/>
  <Override PartName="/xl/tables/table17.xml" ContentType="application/vnd.openxmlformats-officedocument.spreadsheetml.table+xml"/>
  <Override PartName="/xl/queryTables/queryTable12.xml" ContentType="application/vnd.openxmlformats-officedocument.spreadsheetml.queryTable+xml"/>
  <Override PartName="/xl/tables/table18.xml" ContentType="application/vnd.openxmlformats-officedocument.spreadsheetml.table+xml"/>
  <Override PartName="/xl/comments1.xml" ContentType="application/vnd.openxmlformats-officedocument.spreadsheetml.comments+xml"/>
  <Override PartName="/xl/tables/table19.xml" ContentType="application/vnd.openxmlformats-officedocument.spreadsheetml.table+xml"/>
  <Override PartName="/xl/comments2.xml" ContentType="application/vnd.openxmlformats-officedocument.spreadsheetml.comments+xml"/>
  <Override PartName="/xl/tables/table20.xml" ContentType="application/vnd.openxmlformats-officedocument.spreadsheetml.table+xml"/>
  <Override PartName="/xl/comments3.xml" ContentType="application/vnd.openxmlformats-officedocument.spreadsheetml.comments+xml"/>
  <Override PartName="/xl/tables/table21.xml" ContentType="application/vnd.openxmlformats-officedocument.spreadsheetml.table+xml"/>
  <Override PartName="/xl/comments4.xml" ContentType="application/vnd.openxmlformats-officedocument.spreadsheetml.comments+xml"/>
  <Override PartName="/xl/tables/table22.xml" ContentType="application/vnd.openxmlformats-officedocument.spreadsheetml.table+xml"/>
  <Override PartName="/xl/comments5.xml" ContentType="application/vnd.openxmlformats-officedocument.spreadsheetml.comments+xml"/>
  <Override PartName="/xl/tables/table23.xml" ContentType="application/vnd.openxmlformats-officedocument.spreadsheetml.table+xml"/>
  <Override PartName="/xl/comments6.xml" ContentType="application/vnd.openxmlformats-officedocument.spreadsheetml.comments+xml"/>
  <Override PartName="/xl/tables/table24.xml" ContentType="application/vnd.openxmlformats-officedocument.spreadsheetml.table+xml"/>
  <Override PartName="/xl/comments7.xml" ContentType="application/vnd.openxmlformats-officedocument.spreadsheetml.comments+xml"/>
  <Override PartName="/xl/tables/table25.xml" ContentType="application/vnd.openxmlformats-officedocument.spreadsheetml.table+xml"/>
  <Override PartName="/xl/comments8.xml" ContentType="application/vnd.openxmlformats-officedocument.spreadsheetml.comments+xml"/>
  <Override PartName="/xl/tables/table26.xml" ContentType="application/vnd.openxmlformats-officedocument.spreadsheetml.table+xml"/>
  <Override PartName="/xl/comments9.xml" ContentType="application/vnd.openxmlformats-officedocument.spreadsheetml.comments+xml"/>
  <Override PartName="/xl/tables/table27.xml" ContentType="application/vnd.openxmlformats-officedocument.spreadsheetml.table+xml"/>
  <Override PartName="/xl/comments10.xml" ContentType="application/vnd.openxmlformats-officedocument.spreadsheetml.comments+xml"/>
  <Override PartName="/xl/tables/table28.xml" ContentType="application/vnd.openxmlformats-officedocument.spreadsheetml.table+xml"/>
  <Override PartName="/xl/comments11.xml" ContentType="application/vnd.openxmlformats-officedocument.spreadsheetml.comments+xml"/>
  <Override PartName="/xl/tables/table29.xml" ContentType="application/vnd.openxmlformats-officedocument.spreadsheetml.table+xml"/>
  <Override PartName="/xl/comments12.xml" ContentType="application/vnd.openxmlformats-officedocument.spreadsheetml.comments+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comments13.xml" ContentType="application/vnd.openxmlformats-officedocument.spreadsheetml.comments+xml"/>
  <Override PartName="/xl/tables/table33.xml" ContentType="application/vnd.openxmlformats-officedocument.spreadsheetml.table+xml"/>
  <Override PartName="/xl/comments14.xml" ContentType="application/vnd.openxmlformats-officedocument.spreadsheetml.comments+xml"/>
  <Override PartName="/xl/tables/table34.xml" ContentType="application/vnd.openxmlformats-officedocument.spreadsheetml.table+xml"/>
  <Override PartName="/xl/comments15.xml" ContentType="application/vnd.openxmlformats-officedocument.spreadsheetml.comments+xml"/>
  <Override PartName="/xl/tables/table35.xml" ContentType="application/vnd.openxmlformats-officedocument.spreadsheetml.table+xml"/>
  <Override PartName="/xl/comments16.xml" ContentType="application/vnd.openxmlformats-officedocument.spreadsheetml.comments+xml"/>
  <Override PartName="/xl/tables/table36.xml" ContentType="application/vnd.openxmlformats-officedocument.spreadsheetml.table+xml"/>
  <Override PartName="/xl/comments17.xml" ContentType="application/vnd.openxmlformats-officedocument.spreadsheetml.comments+xml"/>
  <Override PartName="/xl/tables/table37.xml" ContentType="application/vnd.openxmlformats-officedocument.spreadsheetml.table+xml"/>
  <Override PartName="/xl/comments18.xml" ContentType="application/vnd.openxmlformats-officedocument.spreadsheetml.comments+xml"/>
  <Override PartName="/xl/tables/table38.xml" ContentType="application/vnd.openxmlformats-officedocument.spreadsheetml.table+xml"/>
  <Override PartName="/xl/comments19.xml" ContentType="application/vnd.openxmlformats-officedocument.spreadsheetml.comments+xml"/>
  <Override PartName="/xl/tables/table39.xml" ContentType="application/vnd.openxmlformats-officedocument.spreadsheetml.table+xml"/>
  <Override PartName="/xl/tables/table40.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hidePivotFieldList="1" defaultThemeVersion="166925"/>
  <mc:AlternateContent xmlns:mc="http://schemas.openxmlformats.org/markup-compatibility/2006">
    <mc:Choice Requires="x15">
      <x15ac:absPath xmlns:x15ac="http://schemas.microsoft.com/office/spreadsheetml/2010/11/ac" url="https://impsoftwarecouk.sharepoint.com/Implementations/1.Admin/0. New Customer Build Templates/AA_NEW - Build Workbooks/AA_NEW - Planner Split Strands API/"/>
    </mc:Choice>
  </mc:AlternateContent>
  <xr:revisionPtr revIDLastSave="19" documentId="8_{5ABA9EAA-0472-4006-A4CD-1A2CF80C4B19}" xr6:coauthVersionLast="47" xr6:coauthVersionMax="47" xr10:uidLastSave="{251CCD82-0DFB-4C4D-BE2F-896594AC501F}"/>
  <bookViews>
    <workbookView xWindow="-120" yWindow="-120" windowWidth="29040" windowHeight="15720" tabRatio="928" xr2:uid="{8F8C9CD6-339C-4BFF-B485-4C471AECA1EE}"/>
  </bookViews>
  <sheets>
    <sheet name="Parameters" sheetId="89" r:id="rId1"/>
    <sheet name="Notes" sheetId="153" r:id="rId2"/>
    <sheet name="Build Checklist" sheetId="99" r:id="rId3"/>
    <sheet name="Import Checklist" sheetId="101" r:id="rId4"/>
    <sheet name="System Grouping Codes" sheetId="148" state="hidden" r:id="rId5"/>
    <sheet name="Funds" sheetId="45" r:id="rId6"/>
    <sheet name="Activity" sheetId="92" r:id="rId7"/>
    <sheet name="Ledger" sheetId="47" r:id="rId8"/>
    <sheet name="CustGroup" sheetId="46" r:id="rId9"/>
    <sheet name="SchHub" sheetId="41" r:id="rId10"/>
    <sheet name="SchType" sheetId="40" r:id="rId11"/>
    <sheet name="LocalAuth" sheetId="93" r:id="rId12"/>
    <sheet name="Schools" sheetId="42" r:id="rId13"/>
    <sheet name="Depts" sheetId="48" r:id="rId14"/>
    <sheet name="SourceFinanceCodes" sheetId="86" state="hidden" r:id="rId15"/>
    <sheet name="11_Finance Codes S2" sheetId="136" r:id="rId16"/>
    <sheet name="FinanceCodes Budget" sheetId="151" r:id="rId17"/>
    <sheet name="19_PayScales" sheetId="52" r:id="rId18"/>
    <sheet name="22_PayScaleGrades" sheetId="54" r:id="rId19"/>
    <sheet name="21_PayScaleIncreasePercen" sheetId="91" r:id="rId20"/>
    <sheet name="20_PayScalePoints" sheetId="122" r:id="rId21"/>
    <sheet name="16_AllowanceTypes" sheetId="71" r:id="rId22"/>
    <sheet name="17_AllowanceTypePoint" sheetId="120" r:id="rId23"/>
    <sheet name="18_AllowanceIncreasePercen" sheetId="117" r:id="rId24"/>
    <sheet name="31_AdjustmentTypes" sheetId="118" r:id="rId25"/>
    <sheet name="24_Pensions" sheetId="56" r:id="rId26"/>
    <sheet name="23_EQWPatterns" sheetId="74" r:id="rId27"/>
    <sheet name="26_StfRoleGroup" sheetId="116" r:id="rId28"/>
    <sheet name="27_StfRole" sheetId="59" r:id="rId29"/>
    <sheet name="12_Genders" sheetId="140" r:id="rId30"/>
    <sheet name="13_ContractTypes" sheetId="141" r:id="rId31"/>
    <sheet name="25_StaffMembers" sheetId="57" r:id="rId32"/>
    <sheet name="28_ContractsTeachFTE" sheetId="60" r:id="rId33"/>
    <sheet name="29_ContractsSupportHours" sheetId="69" r:id="rId34"/>
    <sheet name="34_ContractAllowances" sheetId="119" r:id="rId35"/>
    <sheet name="33_ContractAdjustments" sheetId="72" r:id="rId36"/>
    <sheet name="30_LeaveTypes" sheetId="70" r:id="rId37"/>
    <sheet name="32_StaffMemberLeaves" sheetId="73" r:id="rId38"/>
    <sheet name="Checklist" sheetId="34" r:id="rId39"/>
    <sheet name="Lookup" sheetId="1" state="hidden" r:id="rId40"/>
    <sheet name="Validation" sheetId="37" state="hidden" r:id="rId41"/>
  </sheets>
  <definedNames>
    <definedName name="_xlnm._FilterDatabase" localSheetId="17" hidden="1">'19_PayScales'!$J$1:$V$23</definedName>
    <definedName name="_xlnm._FilterDatabase" localSheetId="20" hidden="1">'20_PayScalePoints'!$N$1:$Y$496</definedName>
    <definedName name="_xlnm._FilterDatabase" localSheetId="26" hidden="1">'23_EQWPatterns'!$A$1:$R$2</definedName>
    <definedName name="_xlnm._FilterDatabase" localSheetId="31" hidden="1">'25_StaffMembers'!$N$1:$Z$3</definedName>
    <definedName name="_xlnm._FilterDatabase" localSheetId="27" hidden="1">'26_StfRoleGroup'!$AA$1:$AT$18</definedName>
    <definedName name="_xlnm._FilterDatabase" localSheetId="28" hidden="1">'27_StfRole'!$O$1:$Y$35</definedName>
    <definedName name="_xlnm._FilterDatabase" localSheetId="32" hidden="1">'28_ContractsTeachFTE'!$Z$1:$AU$3</definedName>
    <definedName name="_xlnm._FilterDatabase" localSheetId="33" hidden="1">'29_ContractsSupportHours'!$A$1:$AL$293</definedName>
    <definedName name="_xlnm._FilterDatabase" localSheetId="35" hidden="1">'33_ContractAdjustments'!$N$1:$AB$1</definedName>
    <definedName name="_xlnm._FilterDatabase" localSheetId="34" hidden="1">'34_ContractAllowances'!$Q$1:$AE$1</definedName>
    <definedName name="_xlnm._FilterDatabase" localSheetId="13" hidden="1">Depts!#REF!</definedName>
    <definedName name="_xlnm._FilterDatabase" localSheetId="12" hidden="1">Schools!$G$2:$I$2</definedName>
    <definedName name="_xlnm._FilterDatabase" localSheetId="14" hidden="1">SourceFinanceCodes!$A$1:$M$92</definedName>
    <definedName name="BuildYear">Parameters!$B$5</definedName>
    <definedName name="ExternalData_1" localSheetId="5" hidden="1">Funds!$G$2:$I$4</definedName>
    <definedName name="ExternalData_1" localSheetId="11" hidden="1">LocalAuth!$H$2:$J$5</definedName>
    <definedName name="ExternalData_1" localSheetId="12" hidden="1">Schools!$J$2:$R$7</definedName>
    <definedName name="ExternalData_1" localSheetId="4" hidden="1">'System Grouping Codes'!$A$1:$C$481</definedName>
    <definedName name="ExternalData_2" localSheetId="15" hidden="1">'11_Finance Codes S2'!$P$1:$Y$92</definedName>
    <definedName name="ExternalData_2" localSheetId="6" hidden="1">Activity!$G$2:$I$3</definedName>
    <definedName name="ExternalData_2" localSheetId="13" hidden="1">Depts!$G$2:$O$3</definedName>
    <definedName name="ExternalData_3" localSheetId="16" hidden="1">'FinanceCodes Budget'!$N$2:$W$3</definedName>
    <definedName name="ExternalData_3" localSheetId="7" hidden="1">Ledger!$G$2:$I$4</definedName>
    <definedName name="ExternalData_4" localSheetId="8" hidden="1">'CustGroup'!$G$2:$I$3</definedName>
    <definedName name="ExternalData_5" localSheetId="9" hidden="1">SchHub!$G$2:$I$4</definedName>
    <definedName name="ExternalData_6" localSheetId="10" hidden="1">SchType!$G$2:$I$10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72" l="1" a="1"/>
  <c r="D2" i="72" s="1"/>
  <c r="D3" i="72" a="1"/>
  <c r="D3" i="72" s="1"/>
  <c r="E2" i="119" a="1"/>
  <c r="E2" i="119"/>
  <c r="E3" i="119" a="1"/>
  <c r="E3" i="119" s="1"/>
  <c r="M2" i="69" a="1"/>
  <c r="M2" i="69" s="1"/>
  <c r="M3" i="69" a="1"/>
  <c r="M3" i="69"/>
  <c r="L2" i="69" a="1"/>
  <c r="L2" i="69" s="1"/>
  <c r="L3" i="69" a="1"/>
  <c r="L3" i="69" s="1"/>
  <c r="AI2" i="69"/>
  <c r="AI3" i="69"/>
  <c r="M2" i="60" a="1"/>
  <c r="M2" i="60" s="1"/>
  <c r="M3" i="60" a="1"/>
  <c r="M3" i="60" s="1"/>
  <c r="L2" i="60" a="1"/>
  <c r="L2" i="60" s="1"/>
  <c r="L3" i="60" a="1"/>
  <c r="L3" i="60"/>
  <c r="AI2" i="60"/>
  <c r="AI3" i="60"/>
  <c r="A127" i="122"/>
  <c r="C127" i="122"/>
  <c r="E127" i="122"/>
  <c r="F127" i="122"/>
  <c r="H127" i="122"/>
  <c r="I127" i="122"/>
  <c r="J127" i="122"/>
  <c r="K127" i="122"/>
  <c r="L127" i="122"/>
  <c r="Q127" i="122"/>
  <c r="A128" i="122"/>
  <c r="C128" i="122"/>
  <c r="E128" i="122"/>
  <c r="F128" i="122"/>
  <c r="H128" i="122"/>
  <c r="I128" i="122"/>
  <c r="J128" i="122"/>
  <c r="K128" i="122"/>
  <c r="L128" i="122"/>
  <c r="Q128" i="122"/>
  <c r="A129" i="122"/>
  <c r="C129" i="122"/>
  <c r="E129" i="122"/>
  <c r="F129" i="122"/>
  <c r="H129" i="122"/>
  <c r="I129" i="122"/>
  <c r="J129" i="122"/>
  <c r="K129" i="122"/>
  <c r="L129" i="122"/>
  <c r="Q129" i="122"/>
  <c r="A130" i="122"/>
  <c r="C130" i="122"/>
  <c r="E130" i="122"/>
  <c r="F130" i="122"/>
  <c r="H130" i="122"/>
  <c r="I130" i="122"/>
  <c r="J130" i="122"/>
  <c r="K130" i="122"/>
  <c r="L130" i="122"/>
  <c r="Q130" i="122"/>
  <c r="A2" i="69"/>
  <c r="B2" i="119"/>
  <c r="B3" i="119"/>
  <c r="V2" i="60"/>
  <c r="N2" i="60" a="1"/>
  <c r="N2" i="60" s="1"/>
  <c r="G2" i="59" a="1"/>
  <c r="G2" i="59" s="1"/>
  <c r="T2" i="60" a="1"/>
  <c r="G128" i="122" a="1"/>
  <c r="G130" i="122" a="1"/>
  <c r="G129" i="122" a="1"/>
  <c r="J2" i="72" a="1"/>
  <c r="G127" i="122" a="1"/>
  <c r="B128" i="122" l="1"/>
  <c r="B129" i="122"/>
  <c r="B130" i="122"/>
  <c r="G127" i="122"/>
  <c r="G128" i="122"/>
  <c r="G129" i="122"/>
  <c r="G130" i="122"/>
  <c r="J2" i="72"/>
  <c r="T2" i="60"/>
  <c r="H2" i="74"/>
  <c r="E2" i="54" a="1"/>
  <c r="E2" i="54" s="1"/>
  <c r="A2" i="117"/>
  <c r="A3" i="117"/>
  <c r="Z2" i="136"/>
  <c r="Z3" i="136"/>
  <c r="Z4" i="136"/>
  <c r="Z5" i="136"/>
  <c r="Z6" i="136"/>
  <c r="Z7" i="136"/>
  <c r="Z8" i="136"/>
  <c r="Z9" i="136"/>
  <c r="Z10" i="136"/>
  <c r="Z11" i="136"/>
  <c r="Z12" i="136"/>
  <c r="Z13" i="136"/>
  <c r="Z14" i="136"/>
  <c r="Z15" i="136"/>
  <c r="Z16" i="136"/>
  <c r="Z17" i="136"/>
  <c r="Z18" i="136"/>
  <c r="Z19" i="136"/>
  <c r="Z20" i="136"/>
  <c r="Z21" i="136"/>
  <c r="Z22" i="136"/>
  <c r="Z23" i="136"/>
  <c r="Z24" i="136"/>
  <c r="Z25" i="136"/>
  <c r="Z26" i="136"/>
  <c r="Z27" i="136"/>
  <c r="Z28" i="136"/>
  <c r="Z29" i="136"/>
  <c r="Z30" i="136"/>
  <c r="Z31" i="136"/>
  <c r="Z32" i="136"/>
  <c r="Z33" i="136"/>
  <c r="Z34" i="136"/>
  <c r="Z35" i="136"/>
  <c r="Z36" i="136"/>
  <c r="Z37" i="136"/>
  <c r="Z38" i="136"/>
  <c r="Z39" i="136"/>
  <c r="Z40" i="136"/>
  <c r="Z41" i="136"/>
  <c r="Z42" i="136"/>
  <c r="Z43" i="136"/>
  <c r="Z44" i="136"/>
  <c r="Z45" i="136"/>
  <c r="Z46" i="136"/>
  <c r="Z47" i="136"/>
  <c r="Z48" i="136"/>
  <c r="Z49" i="136"/>
  <c r="Z50" i="136"/>
  <c r="Z51" i="136"/>
  <c r="Z52" i="136"/>
  <c r="Z53" i="136"/>
  <c r="Z54" i="136"/>
  <c r="Z55" i="136"/>
  <c r="Z56" i="136"/>
  <c r="Z57" i="136"/>
  <c r="Z58" i="136"/>
  <c r="Z59" i="136"/>
  <c r="Z60" i="136"/>
  <c r="Z61" i="136"/>
  <c r="Z62" i="136"/>
  <c r="Z63" i="136"/>
  <c r="Z64" i="136"/>
  <c r="Z65" i="136"/>
  <c r="Z66" i="136"/>
  <c r="Z67" i="136"/>
  <c r="Z68" i="136"/>
  <c r="Z69" i="136"/>
  <c r="Z70" i="136"/>
  <c r="Z71" i="136"/>
  <c r="Z72" i="136"/>
  <c r="Z73" i="136"/>
  <c r="Z74" i="136"/>
  <c r="Z75" i="136"/>
  <c r="Z76" i="136"/>
  <c r="Z77" i="136"/>
  <c r="Z78" i="136"/>
  <c r="Z79" i="136"/>
  <c r="Z80" i="136"/>
  <c r="Z81" i="136"/>
  <c r="Z82" i="136"/>
  <c r="Z83" i="136"/>
  <c r="Z84" i="136"/>
  <c r="Z85" i="136"/>
  <c r="Z86" i="136"/>
  <c r="Z87" i="136"/>
  <c r="Z88" i="136"/>
  <c r="Z89" i="136"/>
  <c r="Z90" i="136"/>
  <c r="Z91" i="136"/>
  <c r="Z92" i="136"/>
  <c r="I2" i="73"/>
  <c r="G2" i="70" a="1"/>
  <c r="G2" i="70" s="1"/>
  <c r="D2" i="119"/>
  <c r="V2" i="69"/>
  <c r="F2" i="120" a="1"/>
  <c r="F2" i="120" s="1"/>
  <c r="G3" i="70" a="1"/>
  <c r="G3" i="70" s="1"/>
  <c r="G4" i="70" a="1"/>
  <c r="G4" i="70" s="1"/>
  <c r="G5" i="70" a="1"/>
  <c r="G5" i="70" s="1"/>
  <c r="G6" i="70" a="1"/>
  <c r="G6" i="70" s="1"/>
  <c r="G7" i="70" a="1"/>
  <c r="G7" i="70" s="1"/>
  <c r="G8" i="70" a="1"/>
  <c r="G8" i="70" s="1"/>
  <c r="G9" i="70" a="1"/>
  <c r="G9" i="70" s="1"/>
  <c r="G10" i="70" a="1"/>
  <c r="G10" i="70" s="1"/>
  <c r="G11" i="70" a="1"/>
  <c r="G11" i="70" s="1"/>
  <c r="G12" i="70" a="1"/>
  <c r="G12" i="70" s="1"/>
  <c r="G13" i="70" a="1"/>
  <c r="G13" i="70" s="1"/>
  <c r="G14" i="70" a="1"/>
  <c r="G14" i="70" s="1"/>
  <c r="G15" i="70" a="1"/>
  <c r="G15" i="70" s="1"/>
  <c r="G16" i="70" a="1"/>
  <c r="G16" i="70" s="1"/>
  <c r="G17" i="70" a="1"/>
  <c r="G17" i="70" s="1"/>
  <c r="G18" i="70" a="1"/>
  <c r="G18" i="70" s="1"/>
  <c r="G19" i="70" a="1"/>
  <c r="G19" i="70" s="1"/>
  <c r="G20" i="70" a="1"/>
  <c r="G20" i="70" s="1"/>
  <c r="G21" i="70" a="1"/>
  <c r="G21" i="70" s="1"/>
  <c r="G22" i="70" a="1"/>
  <c r="G22" i="70" s="1"/>
  <c r="G23" i="70" a="1"/>
  <c r="G23" i="70" s="1"/>
  <c r="G24" i="70" a="1"/>
  <c r="G24" i="70" s="1"/>
  <c r="G25" i="70" a="1"/>
  <c r="G25" i="70" s="1"/>
  <c r="G26" i="70" a="1"/>
  <c r="G26" i="70" s="1"/>
  <c r="G27" i="70" a="1"/>
  <c r="G27" i="70" s="1"/>
  <c r="G28" i="70" a="1"/>
  <c r="G28" i="70" s="1"/>
  <c r="G29" i="70" a="1"/>
  <c r="G29" i="70" s="1"/>
  <c r="G30" i="70" a="1"/>
  <c r="G30" i="70" s="1"/>
  <c r="G31" i="70" a="1"/>
  <c r="G31" i="70" s="1"/>
  <c r="G32" i="70" a="1"/>
  <c r="G32" i="70" s="1"/>
  <c r="G33" i="70" a="1"/>
  <c r="G33" i="70" s="1"/>
  <c r="G34" i="70" a="1"/>
  <c r="G34" i="70" s="1"/>
  <c r="A3" i="48"/>
  <c r="B3" i="48"/>
  <c r="C3" i="48"/>
  <c r="D3" i="48"/>
  <c r="E3" i="48"/>
  <c r="A3" i="60"/>
  <c r="C3" i="60"/>
  <c r="G3" i="60"/>
  <c r="K3" i="60"/>
  <c r="N3" i="60" a="1"/>
  <c r="N3" i="60" s="1"/>
  <c r="O3" i="60" a="1"/>
  <c r="O3" i="60" s="1"/>
  <c r="P3" i="60"/>
  <c r="Q3" i="60"/>
  <c r="R3" i="60"/>
  <c r="S3" i="60"/>
  <c r="U3" i="60"/>
  <c r="V3" i="60"/>
  <c r="W3" i="60"/>
  <c r="X3" i="60"/>
  <c r="AG3" i="60"/>
  <c r="AF3" i="60" s="1"/>
  <c r="AH3" i="60"/>
  <c r="I3" i="60" s="1" a="1"/>
  <c r="I3" i="60" s="1"/>
  <c r="I3" i="151"/>
  <c r="H3" i="151"/>
  <c r="L3" i="151"/>
  <c r="K2" i="136"/>
  <c r="K3" i="136"/>
  <c r="K4" i="136"/>
  <c r="K5" i="136"/>
  <c r="K6" i="136"/>
  <c r="K7" i="136"/>
  <c r="K8" i="136"/>
  <c r="K9" i="136"/>
  <c r="K10" i="136"/>
  <c r="K11" i="136"/>
  <c r="K12" i="136"/>
  <c r="K13" i="136"/>
  <c r="K14" i="136"/>
  <c r="K15" i="136"/>
  <c r="K16" i="136"/>
  <c r="K17" i="136"/>
  <c r="K18" i="136"/>
  <c r="K19" i="136"/>
  <c r="K20" i="136"/>
  <c r="K21" i="136"/>
  <c r="K22" i="136"/>
  <c r="K23" i="136"/>
  <c r="K24" i="136"/>
  <c r="K25" i="136"/>
  <c r="K26" i="136"/>
  <c r="K27" i="136"/>
  <c r="K28" i="136"/>
  <c r="K29" i="136"/>
  <c r="K30" i="136"/>
  <c r="K31" i="136"/>
  <c r="K32" i="136"/>
  <c r="K33" i="136"/>
  <c r="K34" i="136"/>
  <c r="K35" i="136"/>
  <c r="K36" i="136"/>
  <c r="K37" i="136"/>
  <c r="K38" i="136"/>
  <c r="K39" i="136"/>
  <c r="K40" i="136"/>
  <c r="K41" i="136"/>
  <c r="K42" i="136"/>
  <c r="K43" i="136"/>
  <c r="K44" i="136"/>
  <c r="K45" i="136"/>
  <c r="K46" i="136"/>
  <c r="K47" i="136"/>
  <c r="K48" i="136"/>
  <c r="K49" i="136"/>
  <c r="K50" i="136"/>
  <c r="K51" i="136"/>
  <c r="K52" i="136"/>
  <c r="K53" i="136"/>
  <c r="K54" i="136"/>
  <c r="K55" i="136"/>
  <c r="K56" i="136"/>
  <c r="K57" i="136"/>
  <c r="K58" i="136"/>
  <c r="K59" i="136"/>
  <c r="K60" i="136"/>
  <c r="K61" i="136"/>
  <c r="K62" i="136"/>
  <c r="K63" i="136"/>
  <c r="K64" i="136"/>
  <c r="K65" i="136"/>
  <c r="K66" i="136"/>
  <c r="K67" i="136"/>
  <c r="K68" i="136"/>
  <c r="K69" i="136"/>
  <c r="K70" i="136"/>
  <c r="K71" i="136"/>
  <c r="K72" i="136"/>
  <c r="K73" i="136"/>
  <c r="K74" i="136"/>
  <c r="K75" i="136"/>
  <c r="K76" i="136"/>
  <c r="K77" i="136"/>
  <c r="K78" i="136"/>
  <c r="K79" i="136"/>
  <c r="K80" i="136"/>
  <c r="K81" i="136"/>
  <c r="K82" i="136"/>
  <c r="K83" i="136"/>
  <c r="K84" i="136"/>
  <c r="K85" i="136"/>
  <c r="K86" i="136"/>
  <c r="K87" i="136"/>
  <c r="K88" i="136"/>
  <c r="K89" i="136"/>
  <c r="K90" i="136"/>
  <c r="K91" i="136"/>
  <c r="K92" i="136"/>
  <c r="J2" i="136"/>
  <c r="J3" i="136"/>
  <c r="J4" i="136"/>
  <c r="J5" i="136"/>
  <c r="J6" i="136"/>
  <c r="J7" i="136"/>
  <c r="J8" i="136"/>
  <c r="J9" i="136"/>
  <c r="J10" i="136"/>
  <c r="J11" i="136"/>
  <c r="J12" i="136"/>
  <c r="J13" i="136"/>
  <c r="J14" i="136"/>
  <c r="J15" i="136"/>
  <c r="J16" i="136"/>
  <c r="J17" i="136"/>
  <c r="J18" i="136"/>
  <c r="J19" i="136"/>
  <c r="J20" i="136"/>
  <c r="J21" i="136"/>
  <c r="J22" i="136"/>
  <c r="J23" i="136"/>
  <c r="J24" i="136"/>
  <c r="J25" i="136"/>
  <c r="J26" i="136"/>
  <c r="J27" i="136"/>
  <c r="J28" i="136"/>
  <c r="J29" i="136"/>
  <c r="J30" i="136"/>
  <c r="J31" i="136"/>
  <c r="J32" i="136"/>
  <c r="J33" i="136"/>
  <c r="J34" i="136"/>
  <c r="J35" i="136"/>
  <c r="J36" i="136"/>
  <c r="J37" i="136"/>
  <c r="J38" i="136"/>
  <c r="J39" i="136"/>
  <c r="J40" i="136"/>
  <c r="J41" i="136"/>
  <c r="J42" i="136"/>
  <c r="J43" i="136"/>
  <c r="J44" i="136"/>
  <c r="J45" i="136"/>
  <c r="J46" i="136"/>
  <c r="J47" i="136"/>
  <c r="J48" i="136"/>
  <c r="J49" i="136"/>
  <c r="J50" i="136"/>
  <c r="J51" i="136"/>
  <c r="J52" i="136"/>
  <c r="J53" i="136"/>
  <c r="J54" i="136"/>
  <c r="J55" i="136"/>
  <c r="J56" i="136"/>
  <c r="J57" i="136"/>
  <c r="J58" i="136"/>
  <c r="J59" i="136"/>
  <c r="J60" i="136"/>
  <c r="J61" i="136"/>
  <c r="J62" i="136"/>
  <c r="J63" i="136"/>
  <c r="J64" i="136"/>
  <c r="J65" i="136"/>
  <c r="J66" i="136"/>
  <c r="J67" i="136"/>
  <c r="J68" i="136"/>
  <c r="J69" i="136"/>
  <c r="J70" i="136"/>
  <c r="J71" i="136"/>
  <c r="J72" i="136"/>
  <c r="J73" i="136"/>
  <c r="J74" i="136"/>
  <c r="J75" i="136"/>
  <c r="J76" i="136"/>
  <c r="J77" i="136"/>
  <c r="J78" i="136"/>
  <c r="J79" i="136"/>
  <c r="J80" i="136"/>
  <c r="J81" i="136"/>
  <c r="J82" i="136"/>
  <c r="J83" i="136"/>
  <c r="J84" i="136"/>
  <c r="J85" i="136"/>
  <c r="J86" i="136"/>
  <c r="J87" i="136"/>
  <c r="J88" i="136"/>
  <c r="J89" i="136"/>
  <c r="J90" i="136"/>
  <c r="J91" i="136"/>
  <c r="J92" i="136"/>
  <c r="T3" i="60" a="1"/>
  <c r="C2" i="56" a="1"/>
  <c r="E2" i="73" a="1"/>
  <c r="T2" i="69" a="1"/>
  <c r="L2" i="119" a="1"/>
  <c r="G2" i="57" a="1"/>
  <c r="E2" i="120" a="1"/>
  <c r="G2" i="122" a="1"/>
  <c r="G2" i="57" l="1"/>
  <c r="C2" i="56"/>
  <c r="E2" i="73"/>
  <c r="L2" i="119"/>
  <c r="T2" i="69"/>
  <c r="E2" i="120"/>
  <c r="G2" i="122"/>
  <c r="H3" i="60"/>
  <c r="F3" i="60" a="1"/>
  <c r="F3" i="60" s="1"/>
  <c r="F3" i="48"/>
  <c r="T3" i="60"/>
  <c r="E3" i="60" a="1"/>
  <c r="E3" i="60" s="1"/>
  <c r="A2" i="136"/>
  <c r="A3" i="136"/>
  <c r="A4" i="136"/>
  <c r="A5" i="136"/>
  <c r="A6" i="136"/>
  <c r="A7" i="136"/>
  <c r="A8" i="136"/>
  <c r="A9" i="136"/>
  <c r="A10" i="136"/>
  <c r="A11" i="136"/>
  <c r="A12" i="136"/>
  <c r="A13" i="136"/>
  <c r="A14" i="136"/>
  <c r="A15" i="136"/>
  <c r="A16" i="136"/>
  <c r="A17" i="136"/>
  <c r="A18" i="136"/>
  <c r="A19" i="136"/>
  <c r="A20" i="136"/>
  <c r="A21" i="136"/>
  <c r="A22" i="136"/>
  <c r="A23" i="136"/>
  <c r="A24" i="136"/>
  <c r="A25" i="136"/>
  <c r="A26" i="136"/>
  <c r="A27" i="136"/>
  <c r="A28" i="136"/>
  <c r="A29" i="136"/>
  <c r="A30" i="136"/>
  <c r="A31" i="136"/>
  <c r="A32" i="136"/>
  <c r="A33" i="136"/>
  <c r="A34" i="136"/>
  <c r="A35" i="136"/>
  <c r="A36" i="136"/>
  <c r="A37" i="136"/>
  <c r="A38" i="136"/>
  <c r="A39" i="136"/>
  <c r="A40" i="136"/>
  <c r="A41" i="136"/>
  <c r="A42" i="136"/>
  <c r="A43" i="136"/>
  <c r="A44" i="136"/>
  <c r="A45" i="136"/>
  <c r="A46" i="136"/>
  <c r="A47" i="136"/>
  <c r="A48" i="136"/>
  <c r="A49" i="136"/>
  <c r="A50" i="136"/>
  <c r="A51" i="136"/>
  <c r="A52" i="136"/>
  <c r="A53" i="136"/>
  <c r="A54" i="136"/>
  <c r="A55" i="136"/>
  <c r="A56" i="136"/>
  <c r="A57" i="136"/>
  <c r="A58" i="136"/>
  <c r="A59" i="136"/>
  <c r="A60" i="136"/>
  <c r="A61" i="136"/>
  <c r="A62" i="136"/>
  <c r="A63" i="136"/>
  <c r="A64" i="136"/>
  <c r="A65" i="136"/>
  <c r="A66" i="136"/>
  <c r="A67" i="136"/>
  <c r="A68" i="136"/>
  <c r="A69" i="136"/>
  <c r="A70" i="136"/>
  <c r="A71" i="136"/>
  <c r="A72" i="136"/>
  <c r="A73" i="136"/>
  <c r="A74" i="136"/>
  <c r="A75" i="136"/>
  <c r="A76" i="136"/>
  <c r="A77" i="136"/>
  <c r="A78" i="136"/>
  <c r="A79" i="136"/>
  <c r="A80" i="136"/>
  <c r="A81" i="136"/>
  <c r="A82" i="136"/>
  <c r="A83" i="136"/>
  <c r="A84" i="136"/>
  <c r="A85" i="136"/>
  <c r="A86" i="136"/>
  <c r="A87" i="136"/>
  <c r="A88" i="136"/>
  <c r="A89" i="136"/>
  <c r="A90" i="136"/>
  <c r="A91" i="136"/>
  <c r="A92" i="136"/>
  <c r="B2" i="136"/>
  <c r="B3" i="136"/>
  <c r="B4" i="136"/>
  <c r="B5" i="136"/>
  <c r="B6" i="136"/>
  <c r="B7" i="136"/>
  <c r="B8" i="136"/>
  <c r="B9" i="136"/>
  <c r="B10" i="136"/>
  <c r="B11" i="136"/>
  <c r="B12" i="136"/>
  <c r="B13" i="136"/>
  <c r="B14" i="136"/>
  <c r="B15" i="136"/>
  <c r="B16" i="136"/>
  <c r="B17" i="136"/>
  <c r="B18" i="136"/>
  <c r="B19" i="136"/>
  <c r="B20" i="136"/>
  <c r="B21" i="136"/>
  <c r="B22" i="136"/>
  <c r="B23" i="136"/>
  <c r="B24" i="136"/>
  <c r="B25" i="136"/>
  <c r="B26" i="136"/>
  <c r="B27" i="136"/>
  <c r="B28" i="136"/>
  <c r="B29" i="136"/>
  <c r="B30" i="136"/>
  <c r="B31" i="136"/>
  <c r="B32" i="136"/>
  <c r="B33" i="136"/>
  <c r="B34" i="136"/>
  <c r="B35" i="136"/>
  <c r="B36" i="136"/>
  <c r="B37" i="136"/>
  <c r="B38" i="136"/>
  <c r="B39" i="136"/>
  <c r="B40" i="136"/>
  <c r="B41" i="136"/>
  <c r="B42" i="136"/>
  <c r="B43" i="136"/>
  <c r="B44" i="136"/>
  <c r="B45" i="136"/>
  <c r="B46" i="136"/>
  <c r="B47" i="136"/>
  <c r="B48" i="136"/>
  <c r="B49" i="136"/>
  <c r="B50" i="136"/>
  <c r="B51" i="136"/>
  <c r="B52" i="136"/>
  <c r="B53" i="136"/>
  <c r="B54" i="136"/>
  <c r="B55" i="136"/>
  <c r="B56" i="136"/>
  <c r="B57" i="136"/>
  <c r="B58" i="136"/>
  <c r="B59" i="136"/>
  <c r="B60" i="136"/>
  <c r="B61" i="136"/>
  <c r="B62" i="136"/>
  <c r="B63" i="136"/>
  <c r="B64" i="136"/>
  <c r="B65" i="136"/>
  <c r="B66" i="136"/>
  <c r="B67" i="136"/>
  <c r="B68" i="136"/>
  <c r="B69" i="136"/>
  <c r="B70" i="136"/>
  <c r="B71" i="136"/>
  <c r="B72" i="136"/>
  <c r="B73" i="136"/>
  <c r="B74" i="136"/>
  <c r="B75" i="136"/>
  <c r="B76" i="136"/>
  <c r="B77" i="136"/>
  <c r="B78" i="136"/>
  <c r="B79" i="136"/>
  <c r="B80" i="136"/>
  <c r="B81" i="136"/>
  <c r="B82" i="136"/>
  <c r="B83" i="136"/>
  <c r="B84" i="136"/>
  <c r="B85" i="136"/>
  <c r="B86" i="136"/>
  <c r="B87" i="136"/>
  <c r="B88" i="136"/>
  <c r="B89" i="136"/>
  <c r="B90" i="136"/>
  <c r="B91" i="136"/>
  <c r="B92" i="136"/>
  <c r="C2" i="136"/>
  <c r="C3" i="136"/>
  <c r="C4" i="136"/>
  <c r="C5" i="136"/>
  <c r="C6" i="136"/>
  <c r="C7" i="136"/>
  <c r="C8" i="136"/>
  <c r="C9" i="136"/>
  <c r="C10" i="136"/>
  <c r="C11" i="136"/>
  <c r="C12" i="136"/>
  <c r="C13" i="136"/>
  <c r="C14" i="136"/>
  <c r="C15" i="136"/>
  <c r="C16" i="136"/>
  <c r="C17" i="136"/>
  <c r="C18" i="136"/>
  <c r="C19" i="136"/>
  <c r="C20" i="136"/>
  <c r="C21" i="136"/>
  <c r="C22" i="136"/>
  <c r="C23" i="136"/>
  <c r="C24" i="136"/>
  <c r="C25" i="136"/>
  <c r="C26" i="136"/>
  <c r="C27" i="136"/>
  <c r="C28" i="136"/>
  <c r="C29" i="136"/>
  <c r="C30" i="136"/>
  <c r="C31" i="136"/>
  <c r="C32" i="136"/>
  <c r="C33" i="136"/>
  <c r="C34" i="136"/>
  <c r="C35" i="136"/>
  <c r="C36" i="136"/>
  <c r="C37" i="136"/>
  <c r="C38" i="136"/>
  <c r="C39" i="136"/>
  <c r="C40" i="136"/>
  <c r="C41" i="136"/>
  <c r="C42" i="136"/>
  <c r="C43" i="136"/>
  <c r="C44" i="136"/>
  <c r="C45" i="136"/>
  <c r="C46" i="136"/>
  <c r="C47" i="136"/>
  <c r="C48" i="136"/>
  <c r="C49" i="136"/>
  <c r="C50" i="136"/>
  <c r="C51" i="136"/>
  <c r="C52" i="136"/>
  <c r="C53" i="136"/>
  <c r="C54" i="136"/>
  <c r="C55" i="136"/>
  <c r="C56" i="136"/>
  <c r="C57" i="136"/>
  <c r="C58" i="136"/>
  <c r="C59" i="136"/>
  <c r="C60" i="136"/>
  <c r="C61" i="136"/>
  <c r="C62" i="136"/>
  <c r="C63" i="136"/>
  <c r="C64" i="136"/>
  <c r="C65" i="136"/>
  <c r="C66" i="136"/>
  <c r="C67" i="136"/>
  <c r="C68" i="136"/>
  <c r="C69" i="136"/>
  <c r="C70" i="136"/>
  <c r="C71" i="136"/>
  <c r="C72" i="136"/>
  <c r="C73" i="136"/>
  <c r="C74" i="136"/>
  <c r="C75" i="136"/>
  <c r="C76" i="136"/>
  <c r="C77" i="136"/>
  <c r="C78" i="136"/>
  <c r="C79" i="136"/>
  <c r="C80" i="136"/>
  <c r="C81" i="136"/>
  <c r="C82" i="136"/>
  <c r="C83" i="136"/>
  <c r="C84" i="136"/>
  <c r="C85" i="136"/>
  <c r="C86" i="136"/>
  <c r="C87" i="136"/>
  <c r="C88" i="136"/>
  <c r="C89" i="136"/>
  <c r="C90" i="136"/>
  <c r="C91" i="136"/>
  <c r="C92" i="136"/>
  <c r="D2" i="136" a="1"/>
  <c r="D2" i="136" s="1"/>
  <c r="D3" i="136" a="1"/>
  <c r="D3" i="136" s="1"/>
  <c r="D4" i="136" a="1"/>
  <c r="D4" i="136" s="1"/>
  <c r="D5" i="136" a="1"/>
  <c r="D5" i="136" s="1"/>
  <c r="D6" i="136" a="1"/>
  <c r="D6" i="136" s="1"/>
  <c r="D7" i="136" a="1"/>
  <c r="D7" i="136" s="1"/>
  <c r="D8" i="136" a="1"/>
  <c r="D8" i="136" s="1"/>
  <c r="D9" i="136" a="1"/>
  <c r="D9" i="136" s="1"/>
  <c r="D10" i="136" a="1"/>
  <c r="D10" i="136" s="1"/>
  <c r="D11" i="136" a="1"/>
  <c r="D11" i="136" s="1"/>
  <c r="D12" i="136" a="1"/>
  <c r="D12" i="136" s="1"/>
  <c r="D13" i="136" a="1"/>
  <c r="D13" i="136" s="1"/>
  <c r="D14" i="136" a="1"/>
  <c r="D14" i="136" s="1"/>
  <c r="D15" i="136" a="1"/>
  <c r="D15" i="136" s="1"/>
  <c r="D16" i="136" a="1"/>
  <c r="D16" i="136" s="1"/>
  <c r="D17" i="136" a="1"/>
  <c r="D17" i="136" s="1"/>
  <c r="D18" i="136" a="1"/>
  <c r="D18" i="136" s="1"/>
  <c r="D19" i="136" a="1"/>
  <c r="D19" i="136" s="1"/>
  <c r="D20" i="136" a="1"/>
  <c r="D20" i="136" s="1"/>
  <c r="D21" i="136" a="1"/>
  <c r="D21" i="136" s="1"/>
  <c r="D22" i="136" a="1"/>
  <c r="D22" i="136" s="1"/>
  <c r="D23" i="136" a="1"/>
  <c r="D23" i="136" s="1"/>
  <c r="D24" i="136" a="1"/>
  <c r="D24" i="136" s="1"/>
  <c r="D25" i="136" a="1"/>
  <c r="D25" i="136" s="1"/>
  <c r="D26" i="136" a="1"/>
  <c r="D26" i="136" s="1"/>
  <c r="D27" i="136" a="1"/>
  <c r="D27" i="136" s="1"/>
  <c r="D28" i="136" a="1"/>
  <c r="D28" i="136" s="1"/>
  <c r="D29" i="136" a="1"/>
  <c r="D29" i="136" s="1"/>
  <c r="D30" i="136" a="1"/>
  <c r="D30" i="136" s="1"/>
  <c r="D31" i="136" a="1"/>
  <c r="D31" i="136" s="1"/>
  <c r="D32" i="136" a="1"/>
  <c r="D32" i="136" s="1"/>
  <c r="D33" i="136" a="1"/>
  <c r="D33" i="136" s="1"/>
  <c r="D34" i="136" a="1"/>
  <c r="D34" i="136" s="1"/>
  <c r="D35" i="136" a="1"/>
  <c r="D35" i="136" s="1"/>
  <c r="D36" i="136" a="1"/>
  <c r="D36" i="136" s="1"/>
  <c r="D37" i="136" a="1"/>
  <c r="D37" i="136" s="1"/>
  <c r="D38" i="136" a="1"/>
  <c r="D38" i="136" s="1"/>
  <c r="D39" i="136" a="1"/>
  <c r="D39" i="136" s="1"/>
  <c r="D40" i="136" a="1"/>
  <c r="D40" i="136" s="1"/>
  <c r="D41" i="136" a="1"/>
  <c r="D41" i="136" s="1"/>
  <c r="D42" i="136" a="1"/>
  <c r="D42" i="136" s="1"/>
  <c r="D43" i="136" a="1"/>
  <c r="D43" i="136" s="1"/>
  <c r="D44" i="136" a="1"/>
  <c r="D44" i="136" s="1"/>
  <c r="D45" i="136" a="1"/>
  <c r="D45" i="136" s="1"/>
  <c r="D46" i="136" a="1"/>
  <c r="D46" i="136" s="1"/>
  <c r="D47" i="136" a="1"/>
  <c r="D47" i="136" s="1"/>
  <c r="D48" i="136" a="1"/>
  <c r="D48" i="136" s="1"/>
  <c r="D49" i="136" a="1"/>
  <c r="D49" i="136" s="1"/>
  <c r="D50" i="136" a="1"/>
  <c r="D50" i="136" s="1"/>
  <c r="D51" i="136" a="1"/>
  <c r="D51" i="136" s="1"/>
  <c r="D52" i="136" a="1"/>
  <c r="D52" i="136" s="1"/>
  <c r="D53" i="136" a="1"/>
  <c r="D53" i="136" s="1"/>
  <c r="D54" i="136" a="1"/>
  <c r="D54" i="136" s="1"/>
  <c r="D55" i="136" a="1"/>
  <c r="D55" i="136" s="1"/>
  <c r="D56" i="136" a="1"/>
  <c r="D56" i="136" s="1"/>
  <c r="D57" i="136" a="1"/>
  <c r="D57" i="136" s="1"/>
  <c r="D58" i="136" a="1"/>
  <c r="D58" i="136" s="1"/>
  <c r="D59" i="136" a="1"/>
  <c r="D59" i="136" s="1"/>
  <c r="D60" i="136" a="1"/>
  <c r="D60" i="136" s="1"/>
  <c r="D61" i="136" a="1"/>
  <c r="D61" i="136" s="1"/>
  <c r="D62" i="136" a="1"/>
  <c r="D62" i="136" s="1"/>
  <c r="D63" i="136" a="1"/>
  <c r="D63" i="136" s="1"/>
  <c r="D64" i="136" a="1"/>
  <c r="D64" i="136" s="1"/>
  <c r="D65" i="136" a="1"/>
  <c r="D65" i="136" s="1"/>
  <c r="D66" i="136" a="1"/>
  <c r="D66" i="136" s="1"/>
  <c r="D67" i="136" a="1"/>
  <c r="D67" i="136" s="1"/>
  <c r="D68" i="136" a="1"/>
  <c r="D68" i="136" s="1"/>
  <c r="D69" i="136" a="1"/>
  <c r="D69" i="136" s="1"/>
  <c r="D70" i="136" a="1"/>
  <c r="D70" i="136" s="1"/>
  <c r="D71" i="136" a="1"/>
  <c r="D71" i="136" s="1"/>
  <c r="D72" i="136" a="1"/>
  <c r="D72" i="136" s="1"/>
  <c r="D73" i="136" a="1"/>
  <c r="D73" i="136" s="1"/>
  <c r="D74" i="136" a="1"/>
  <c r="D74" i="136" s="1"/>
  <c r="D75" i="136" a="1"/>
  <c r="D75" i="136" s="1"/>
  <c r="D76" i="136" a="1"/>
  <c r="D76" i="136" s="1"/>
  <c r="D77" i="136" a="1"/>
  <c r="D77" i="136" s="1"/>
  <c r="D78" i="136" a="1"/>
  <c r="D78" i="136" s="1"/>
  <c r="D79" i="136" a="1"/>
  <c r="D79" i="136" s="1"/>
  <c r="D80" i="136" a="1"/>
  <c r="D80" i="136" s="1"/>
  <c r="D81" i="136" a="1"/>
  <c r="D81" i="136" s="1"/>
  <c r="D82" i="136" a="1"/>
  <c r="D82" i="136" s="1"/>
  <c r="D83" i="136" a="1"/>
  <c r="D83" i="136" s="1"/>
  <c r="D84" i="136" a="1"/>
  <c r="D84" i="136" s="1"/>
  <c r="D85" i="136" a="1"/>
  <c r="D85" i="136" s="1"/>
  <c r="D86" i="136" a="1"/>
  <c r="D86" i="136" s="1"/>
  <c r="D87" i="136" a="1"/>
  <c r="D87" i="136" s="1"/>
  <c r="D88" i="136" a="1"/>
  <c r="D88" i="136" s="1"/>
  <c r="D89" i="136" a="1"/>
  <c r="D89" i="136" s="1"/>
  <c r="D90" i="136" a="1"/>
  <c r="D90" i="136" s="1"/>
  <c r="D91" i="136" a="1"/>
  <c r="D91" i="136" s="1"/>
  <c r="D92" i="136" a="1"/>
  <c r="D92" i="136" s="1"/>
  <c r="F2" i="136"/>
  <c r="F3" i="136"/>
  <c r="F4" i="136"/>
  <c r="F5" i="136"/>
  <c r="F6" i="136"/>
  <c r="F7" i="136"/>
  <c r="F8" i="136"/>
  <c r="F9" i="136"/>
  <c r="F10" i="136"/>
  <c r="F11" i="136"/>
  <c r="F12" i="136"/>
  <c r="F13" i="136"/>
  <c r="F14" i="136"/>
  <c r="F15" i="136"/>
  <c r="F16" i="136"/>
  <c r="F17" i="136"/>
  <c r="F18" i="136"/>
  <c r="F19" i="136"/>
  <c r="F20" i="136"/>
  <c r="F21" i="136"/>
  <c r="F22" i="136"/>
  <c r="F23" i="136"/>
  <c r="F24" i="136"/>
  <c r="F25" i="136"/>
  <c r="F26" i="136"/>
  <c r="F27" i="136"/>
  <c r="F28" i="136"/>
  <c r="F29" i="136"/>
  <c r="F30" i="136"/>
  <c r="F31" i="136"/>
  <c r="F32" i="136"/>
  <c r="F33" i="136"/>
  <c r="F34" i="136"/>
  <c r="F35" i="136"/>
  <c r="F36" i="136"/>
  <c r="F37" i="136"/>
  <c r="F38" i="136"/>
  <c r="F39" i="136"/>
  <c r="F40" i="136"/>
  <c r="F41" i="136"/>
  <c r="F42" i="136"/>
  <c r="F43" i="136"/>
  <c r="F44" i="136"/>
  <c r="F45" i="136"/>
  <c r="F46" i="136"/>
  <c r="F47" i="136"/>
  <c r="F48" i="136"/>
  <c r="F49" i="136"/>
  <c r="F50" i="136"/>
  <c r="F51" i="136"/>
  <c r="F52" i="136"/>
  <c r="F53" i="136"/>
  <c r="F54" i="136"/>
  <c r="F55" i="136"/>
  <c r="F56" i="136"/>
  <c r="F57" i="136"/>
  <c r="F58" i="136"/>
  <c r="F59" i="136"/>
  <c r="F60" i="136"/>
  <c r="F61" i="136"/>
  <c r="F62" i="136"/>
  <c r="F63" i="136"/>
  <c r="F64" i="136"/>
  <c r="F65" i="136"/>
  <c r="F66" i="136"/>
  <c r="F67" i="136"/>
  <c r="F68" i="136"/>
  <c r="F69" i="136"/>
  <c r="F70" i="136"/>
  <c r="F71" i="136"/>
  <c r="F72" i="136"/>
  <c r="F73" i="136"/>
  <c r="F74" i="136"/>
  <c r="F75" i="136"/>
  <c r="F76" i="136"/>
  <c r="F77" i="136"/>
  <c r="F78" i="136"/>
  <c r="F79" i="136"/>
  <c r="F80" i="136"/>
  <c r="F81" i="136"/>
  <c r="F82" i="136"/>
  <c r="F83" i="136"/>
  <c r="F84" i="136"/>
  <c r="F85" i="136"/>
  <c r="F86" i="136"/>
  <c r="F87" i="136"/>
  <c r="F88" i="136"/>
  <c r="F89" i="136"/>
  <c r="F90" i="136"/>
  <c r="F91" i="136"/>
  <c r="F92" i="136"/>
  <c r="G2" i="136"/>
  <c r="G3" i="136"/>
  <c r="G4" i="136"/>
  <c r="G5" i="136"/>
  <c r="G6" i="136"/>
  <c r="G7" i="136"/>
  <c r="G8" i="136"/>
  <c r="G9" i="136"/>
  <c r="G10" i="136"/>
  <c r="G11" i="136"/>
  <c r="G12" i="136"/>
  <c r="G13" i="136"/>
  <c r="G14" i="136"/>
  <c r="G15" i="136"/>
  <c r="G16" i="136"/>
  <c r="G17" i="136"/>
  <c r="G18" i="136"/>
  <c r="G19" i="136"/>
  <c r="G20" i="136"/>
  <c r="G21" i="136"/>
  <c r="G22" i="136"/>
  <c r="G23" i="136"/>
  <c r="G24" i="136"/>
  <c r="G25" i="136"/>
  <c r="G26" i="136"/>
  <c r="G27" i="136"/>
  <c r="G28" i="136"/>
  <c r="G29" i="136"/>
  <c r="G30" i="136"/>
  <c r="G31" i="136"/>
  <c r="G32" i="136"/>
  <c r="G33" i="136"/>
  <c r="G34" i="136"/>
  <c r="G35" i="136"/>
  <c r="G36" i="136"/>
  <c r="G37" i="136"/>
  <c r="G38" i="136"/>
  <c r="G39" i="136"/>
  <c r="G40" i="136"/>
  <c r="G41" i="136"/>
  <c r="G42" i="136"/>
  <c r="G43" i="136"/>
  <c r="G44" i="136"/>
  <c r="G45" i="136"/>
  <c r="G46" i="136"/>
  <c r="G47" i="136"/>
  <c r="G48" i="136"/>
  <c r="G49" i="136"/>
  <c r="G50" i="136"/>
  <c r="G51" i="136"/>
  <c r="G52" i="136"/>
  <c r="G53" i="136"/>
  <c r="G54" i="136"/>
  <c r="G55" i="136"/>
  <c r="G56" i="136"/>
  <c r="G57" i="136"/>
  <c r="G58" i="136"/>
  <c r="G59" i="136"/>
  <c r="G60" i="136"/>
  <c r="G61" i="136"/>
  <c r="G62" i="136"/>
  <c r="G63" i="136"/>
  <c r="G64" i="136"/>
  <c r="G65" i="136"/>
  <c r="G66" i="136"/>
  <c r="G67" i="136"/>
  <c r="G68" i="136"/>
  <c r="G69" i="136"/>
  <c r="G70" i="136"/>
  <c r="G71" i="136"/>
  <c r="G72" i="136"/>
  <c r="G73" i="136"/>
  <c r="G74" i="136"/>
  <c r="G75" i="136"/>
  <c r="G76" i="136"/>
  <c r="G77" i="136"/>
  <c r="G78" i="136"/>
  <c r="G79" i="136"/>
  <c r="G80" i="136"/>
  <c r="G81" i="136"/>
  <c r="G82" i="136"/>
  <c r="G83" i="136"/>
  <c r="G84" i="136"/>
  <c r="G85" i="136"/>
  <c r="G86" i="136"/>
  <c r="G87" i="136"/>
  <c r="G88" i="136"/>
  <c r="G89" i="136"/>
  <c r="G90" i="136"/>
  <c r="G91" i="136"/>
  <c r="G92" i="136"/>
  <c r="H2" i="136"/>
  <c r="H3" i="136"/>
  <c r="H4" i="136"/>
  <c r="H5" i="136"/>
  <c r="H6" i="136"/>
  <c r="H7" i="136"/>
  <c r="H8" i="136"/>
  <c r="H9" i="136"/>
  <c r="H10" i="136"/>
  <c r="H11" i="136"/>
  <c r="H12" i="136"/>
  <c r="H13" i="136"/>
  <c r="H14" i="136"/>
  <c r="H15" i="136"/>
  <c r="H16" i="136"/>
  <c r="H17" i="136"/>
  <c r="H18" i="136"/>
  <c r="H19" i="136"/>
  <c r="H20" i="136"/>
  <c r="H21" i="136"/>
  <c r="H22" i="136"/>
  <c r="H23" i="136"/>
  <c r="H24" i="136"/>
  <c r="H25" i="136"/>
  <c r="H26" i="136"/>
  <c r="H27" i="136"/>
  <c r="H28" i="136"/>
  <c r="H29" i="136"/>
  <c r="H30" i="136"/>
  <c r="H31" i="136"/>
  <c r="H32" i="136"/>
  <c r="H33" i="136"/>
  <c r="H34" i="136"/>
  <c r="H35" i="136"/>
  <c r="H36" i="136"/>
  <c r="H37" i="136"/>
  <c r="H38" i="136"/>
  <c r="H39" i="136"/>
  <c r="H40" i="136"/>
  <c r="H41" i="136"/>
  <c r="H42" i="136"/>
  <c r="H43" i="136"/>
  <c r="H44" i="136"/>
  <c r="H45" i="136"/>
  <c r="H46" i="136"/>
  <c r="H47" i="136"/>
  <c r="H48" i="136"/>
  <c r="H49" i="136"/>
  <c r="H50" i="136"/>
  <c r="H51" i="136"/>
  <c r="H52" i="136"/>
  <c r="H53" i="136"/>
  <c r="H54" i="136"/>
  <c r="H55" i="136"/>
  <c r="H56" i="136"/>
  <c r="H57" i="136"/>
  <c r="H58" i="136"/>
  <c r="H59" i="136"/>
  <c r="H60" i="136"/>
  <c r="H61" i="136"/>
  <c r="H62" i="136"/>
  <c r="H63" i="136"/>
  <c r="H64" i="136"/>
  <c r="H65" i="136"/>
  <c r="H66" i="136"/>
  <c r="H67" i="136"/>
  <c r="H68" i="136"/>
  <c r="H69" i="136"/>
  <c r="H70" i="136"/>
  <c r="H71" i="136"/>
  <c r="H72" i="136"/>
  <c r="H73" i="136"/>
  <c r="H74" i="136"/>
  <c r="H75" i="136"/>
  <c r="H76" i="136"/>
  <c r="H77" i="136"/>
  <c r="H78" i="136"/>
  <c r="H79" i="136"/>
  <c r="H80" i="136"/>
  <c r="H81" i="136"/>
  <c r="H82" i="136"/>
  <c r="H83" i="136"/>
  <c r="H84" i="136"/>
  <c r="H85" i="136"/>
  <c r="H86" i="136"/>
  <c r="H87" i="136"/>
  <c r="H88" i="136"/>
  <c r="H89" i="136"/>
  <c r="H90" i="136"/>
  <c r="H91" i="136"/>
  <c r="H92" i="136"/>
  <c r="I2" i="136"/>
  <c r="I3" i="136"/>
  <c r="I4" i="136"/>
  <c r="I5" i="136"/>
  <c r="I6" i="136"/>
  <c r="I7" i="136"/>
  <c r="I8" i="136"/>
  <c r="I9" i="136"/>
  <c r="I10" i="136"/>
  <c r="I11" i="136"/>
  <c r="I12" i="136"/>
  <c r="I13" i="136"/>
  <c r="I14" i="136"/>
  <c r="I15" i="136"/>
  <c r="I16" i="136"/>
  <c r="I17" i="136"/>
  <c r="I18" i="136"/>
  <c r="I19" i="136"/>
  <c r="I20" i="136"/>
  <c r="I21" i="136"/>
  <c r="I22" i="136"/>
  <c r="I23" i="136"/>
  <c r="I24" i="136"/>
  <c r="I25" i="136"/>
  <c r="I26" i="136"/>
  <c r="I27" i="136"/>
  <c r="I28" i="136"/>
  <c r="I29" i="136"/>
  <c r="I30" i="136"/>
  <c r="I31" i="136"/>
  <c r="I32" i="136"/>
  <c r="I33" i="136"/>
  <c r="I34" i="136"/>
  <c r="I35" i="136"/>
  <c r="I36" i="136"/>
  <c r="I37" i="136"/>
  <c r="I38" i="136"/>
  <c r="I39" i="136"/>
  <c r="I40" i="136"/>
  <c r="I41" i="136"/>
  <c r="I42" i="136"/>
  <c r="I43" i="136"/>
  <c r="I44" i="136"/>
  <c r="I45" i="136"/>
  <c r="I46" i="136"/>
  <c r="I47" i="136"/>
  <c r="I48" i="136"/>
  <c r="I49" i="136"/>
  <c r="I50" i="136"/>
  <c r="I51" i="136"/>
  <c r="I52" i="136"/>
  <c r="I53" i="136"/>
  <c r="I54" i="136"/>
  <c r="I55" i="136"/>
  <c r="I56" i="136"/>
  <c r="I57" i="136"/>
  <c r="I58" i="136"/>
  <c r="I59" i="136"/>
  <c r="I60" i="136"/>
  <c r="I61" i="136"/>
  <c r="I62" i="136"/>
  <c r="I63" i="136"/>
  <c r="I64" i="136"/>
  <c r="I65" i="136"/>
  <c r="I66" i="136"/>
  <c r="I67" i="136"/>
  <c r="I68" i="136"/>
  <c r="I69" i="136"/>
  <c r="I70" i="136"/>
  <c r="I71" i="136"/>
  <c r="I72" i="136"/>
  <c r="I73" i="136"/>
  <c r="I74" i="136"/>
  <c r="I75" i="136"/>
  <c r="I76" i="136"/>
  <c r="I77" i="136"/>
  <c r="I78" i="136"/>
  <c r="I79" i="136"/>
  <c r="I80" i="136"/>
  <c r="I81" i="136"/>
  <c r="I82" i="136"/>
  <c r="I83" i="136"/>
  <c r="I84" i="136"/>
  <c r="I85" i="136"/>
  <c r="I86" i="136"/>
  <c r="I87" i="136"/>
  <c r="I88" i="136"/>
  <c r="I89" i="136"/>
  <c r="I90" i="136"/>
  <c r="I91" i="136"/>
  <c r="I92" i="136"/>
  <c r="L2" i="136"/>
  <c r="L3" i="136"/>
  <c r="L4" i="136"/>
  <c r="L5" i="136"/>
  <c r="L6" i="136"/>
  <c r="L7" i="136"/>
  <c r="L8" i="136"/>
  <c r="L9" i="136"/>
  <c r="L10" i="136"/>
  <c r="L11" i="136"/>
  <c r="L12" i="136"/>
  <c r="L13" i="136"/>
  <c r="L14" i="136"/>
  <c r="L15" i="136"/>
  <c r="L16" i="136"/>
  <c r="L17" i="136"/>
  <c r="L18" i="136"/>
  <c r="L19" i="136"/>
  <c r="L20" i="136"/>
  <c r="L21" i="136"/>
  <c r="L22" i="136"/>
  <c r="L23" i="136"/>
  <c r="L24" i="136"/>
  <c r="L25" i="136"/>
  <c r="L26" i="136"/>
  <c r="L27" i="136"/>
  <c r="L28" i="136"/>
  <c r="L29" i="136"/>
  <c r="L30" i="136"/>
  <c r="L31" i="136"/>
  <c r="L32" i="136"/>
  <c r="L33" i="136"/>
  <c r="L34" i="136"/>
  <c r="L35" i="136"/>
  <c r="L36" i="136"/>
  <c r="L37" i="136"/>
  <c r="L38" i="136"/>
  <c r="L39" i="136"/>
  <c r="L40" i="136"/>
  <c r="L41" i="136"/>
  <c r="L42" i="136"/>
  <c r="L43" i="136"/>
  <c r="L44" i="136"/>
  <c r="L45" i="136"/>
  <c r="L46" i="136"/>
  <c r="L47" i="136"/>
  <c r="L48" i="136"/>
  <c r="L49" i="136"/>
  <c r="L50" i="136"/>
  <c r="L51" i="136"/>
  <c r="L52" i="136"/>
  <c r="L53" i="136"/>
  <c r="L54" i="136"/>
  <c r="L55" i="136"/>
  <c r="L56" i="136"/>
  <c r="L57" i="136"/>
  <c r="L58" i="136"/>
  <c r="L59" i="136"/>
  <c r="L60" i="136"/>
  <c r="L61" i="136"/>
  <c r="L62" i="136"/>
  <c r="L63" i="136"/>
  <c r="L64" i="136"/>
  <c r="L65" i="136"/>
  <c r="L66" i="136"/>
  <c r="L67" i="136"/>
  <c r="L68" i="136"/>
  <c r="L69" i="136"/>
  <c r="L70" i="136"/>
  <c r="L71" i="136"/>
  <c r="L72" i="136"/>
  <c r="L73" i="136"/>
  <c r="L74" i="136"/>
  <c r="L75" i="136"/>
  <c r="L76" i="136"/>
  <c r="L77" i="136"/>
  <c r="L78" i="136"/>
  <c r="L79" i="136"/>
  <c r="L80" i="136"/>
  <c r="L81" i="136"/>
  <c r="L82" i="136"/>
  <c r="L83" i="136"/>
  <c r="L84" i="136"/>
  <c r="L85" i="136"/>
  <c r="L86" i="136"/>
  <c r="L87" i="136"/>
  <c r="L88" i="136"/>
  <c r="L89" i="136"/>
  <c r="L90" i="136"/>
  <c r="L91" i="136"/>
  <c r="L92" i="136"/>
  <c r="M2" i="136"/>
  <c r="M3" i="136"/>
  <c r="M4" i="136"/>
  <c r="M5" i="136"/>
  <c r="M6" i="136"/>
  <c r="M7" i="136"/>
  <c r="M8" i="136"/>
  <c r="M9" i="136"/>
  <c r="M10" i="136"/>
  <c r="M11" i="136"/>
  <c r="M12" i="136"/>
  <c r="M13" i="136"/>
  <c r="M14" i="136"/>
  <c r="M15" i="136"/>
  <c r="M16" i="136"/>
  <c r="M17" i="136"/>
  <c r="M18" i="136"/>
  <c r="M19" i="136"/>
  <c r="M20" i="136"/>
  <c r="M21" i="136"/>
  <c r="M22" i="136"/>
  <c r="M23" i="136"/>
  <c r="M24" i="136"/>
  <c r="M25" i="136"/>
  <c r="M26" i="136"/>
  <c r="M27" i="136"/>
  <c r="M28" i="136"/>
  <c r="M29" i="136"/>
  <c r="M30" i="136"/>
  <c r="M31" i="136"/>
  <c r="M32" i="136"/>
  <c r="M33" i="136"/>
  <c r="M34" i="136"/>
  <c r="M35" i="136"/>
  <c r="M36" i="136"/>
  <c r="M37" i="136"/>
  <c r="M38" i="136"/>
  <c r="M39" i="136"/>
  <c r="M40" i="136"/>
  <c r="M41" i="136"/>
  <c r="M42" i="136"/>
  <c r="M43" i="136"/>
  <c r="M44" i="136"/>
  <c r="M45" i="136"/>
  <c r="M46" i="136"/>
  <c r="M47" i="136"/>
  <c r="M48" i="136"/>
  <c r="M49" i="136"/>
  <c r="M50" i="136"/>
  <c r="M51" i="136"/>
  <c r="M52" i="136"/>
  <c r="M53" i="136"/>
  <c r="M54" i="136"/>
  <c r="M55" i="136"/>
  <c r="M56" i="136"/>
  <c r="M57" i="136"/>
  <c r="M58" i="136"/>
  <c r="M59" i="136"/>
  <c r="M60" i="136"/>
  <c r="M61" i="136"/>
  <c r="M62" i="136"/>
  <c r="M63" i="136"/>
  <c r="M64" i="136"/>
  <c r="M65" i="136"/>
  <c r="M66" i="136"/>
  <c r="M67" i="136"/>
  <c r="M68" i="136"/>
  <c r="M69" i="136"/>
  <c r="M70" i="136"/>
  <c r="M71" i="136"/>
  <c r="M72" i="136"/>
  <c r="M73" i="136"/>
  <c r="M74" i="136"/>
  <c r="M75" i="136"/>
  <c r="M76" i="136"/>
  <c r="M77" i="136"/>
  <c r="M78" i="136"/>
  <c r="M79" i="136"/>
  <c r="M80" i="136"/>
  <c r="M81" i="136"/>
  <c r="M82" i="136"/>
  <c r="M83" i="136"/>
  <c r="M84" i="136"/>
  <c r="M85" i="136"/>
  <c r="M86" i="136"/>
  <c r="M87" i="136"/>
  <c r="M88" i="136"/>
  <c r="M89" i="136"/>
  <c r="M90" i="136"/>
  <c r="M91" i="136"/>
  <c r="M92" i="136"/>
  <c r="N2" i="136"/>
  <c r="N3" i="136"/>
  <c r="N4" i="136"/>
  <c r="N5" i="136"/>
  <c r="N6" i="136"/>
  <c r="N7" i="136"/>
  <c r="N8" i="136"/>
  <c r="N9" i="136"/>
  <c r="N10" i="136"/>
  <c r="N11" i="136"/>
  <c r="N12" i="136"/>
  <c r="N13" i="136"/>
  <c r="N14" i="136"/>
  <c r="N15" i="136"/>
  <c r="N16" i="136"/>
  <c r="N17" i="136"/>
  <c r="N18" i="136"/>
  <c r="N19" i="136"/>
  <c r="N20" i="136"/>
  <c r="N21" i="136"/>
  <c r="N22" i="136"/>
  <c r="N23" i="136"/>
  <c r="N24" i="136"/>
  <c r="N25" i="136"/>
  <c r="N26" i="136"/>
  <c r="N27" i="136"/>
  <c r="N28" i="136"/>
  <c r="N29" i="136"/>
  <c r="N30" i="136"/>
  <c r="N31" i="136"/>
  <c r="N32" i="136"/>
  <c r="N33" i="136"/>
  <c r="N34" i="136"/>
  <c r="N35" i="136"/>
  <c r="N36" i="136"/>
  <c r="N37" i="136"/>
  <c r="N38" i="136"/>
  <c r="N39" i="136"/>
  <c r="N40" i="136"/>
  <c r="N41" i="136"/>
  <c r="N42" i="136"/>
  <c r="N43" i="136"/>
  <c r="N44" i="136"/>
  <c r="N45" i="136"/>
  <c r="N46" i="136"/>
  <c r="N47" i="136"/>
  <c r="N48" i="136"/>
  <c r="N49" i="136"/>
  <c r="N50" i="136"/>
  <c r="N51" i="136"/>
  <c r="N52" i="136"/>
  <c r="N53" i="136"/>
  <c r="N54" i="136"/>
  <c r="N55" i="136"/>
  <c r="N56" i="136"/>
  <c r="N57" i="136"/>
  <c r="N58" i="136"/>
  <c r="N59" i="136"/>
  <c r="N60" i="136"/>
  <c r="N61" i="136"/>
  <c r="N62" i="136"/>
  <c r="N63" i="136"/>
  <c r="N64" i="136"/>
  <c r="N65" i="136"/>
  <c r="N66" i="136"/>
  <c r="N67" i="136"/>
  <c r="N68" i="136"/>
  <c r="N69" i="136"/>
  <c r="N70" i="136"/>
  <c r="N71" i="136"/>
  <c r="N72" i="136"/>
  <c r="N73" i="136"/>
  <c r="N74" i="136"/>
  <c r="N75" i="136"/>
  <c r="N76" i="136"/>
  <c r="N77" i="136"/>
  <c r="N78" i="136"/>
  <c r="N79" i="136"/>
  <c r="N80" i="136"/>
  <c r="N81" i="136"/>
  <c r="N82" i="136"/>
  <c r="N83" i="136"/>
  <c r="N84" i="136"/>
  <c r="N85" i="136"/>
  <c r="N86" i="136"/>
  <c r="N87" i="136"/>
  <c r="N88" i="136"/>
  <c r="N89" i="136"/>
  <c r="N90" i="136"/>
  <c r="N91" i="136"/>
  <c r="N92" i="136"/>
  <c r="V3" i="69"/>
  <c r="C2" i="54" a="1"/>
  <c r="C2" i="54" s="1"/>
  <c r="F3" i="120" a="1"/>
  <c r="F3" i="120" s="1"/>
  <c r="F4" i="120" a="1"/>
  <c r="F4" i="120" s="1"/>
  <c r="F5" i="120" a="1"/>
  <c r="F5" i="120" s="1"/>
  <c r="F6" i="120" a="1"/>
  <c r="F6" i="120" s="1"/>
  <c r="F7" i="120" a="1"/>
  <c r="F7" i="120" s="1"/>
  <c r="F8" i="120" a="1"/>
  <c r="F8" i="120" s="1"/>
  <c r="F9" i="120" a="1"/>
  <c r="F9" i="120" s="1"/>
  <c r="F10" i="120" a="1"/>
  <c r="F10" i="120" s="1"/>
  <c r="F11" i="120" a="1"/>
  <c r="F11" i="120" s="1"/>
  <c r="U2" i="59"/>
  <c r="U3" i="59"/>
  <c r="U4" i="59"/>
  <c r="V4" i="59" s="1"/>
  <c r="U5" i="59"/>
  <c r="V5" i="59" s="1"/>
  <c r="U6" i="59"/>
  <c r="V6" i="59" s="1"/>
  <c r="U7" i="59"/>
  <c r="V7" i="59" s="1"/>
  <c r="U8" i="59"/>
  <c r="V8" i="59" s="1"/>
  <c r="U9" i="59"/>
  <c r="G10" i="59" a="1"/>
  <c r="G10" i="59" s="1"/>
  <c r="G11" i="59" a="1"/>
  <c r="G11" i="59" s="1"/>
  <c r="G12" i="59" a="1"/>
  <c r="G12" i="59" s="1"/>
  <c r="G13" i="59" a="1"/>
  <c r="G13" i="59" s="1"/>
  <c r="G14" i="59" a="1"/>
  <c r="G14" i="59" s="1"/>
  <c r="G15" i="59" a="1"/>
  <c r="G15" i="59" s="1"/>
  <c r="G16" i="59" a="1"/>
  <c r="G16" i="59" s="1"/>
  <c r="G17" i="59" a="1"/>
  <c r="G17" i="59" s="1"/>
  <c r="G18" i="59" a="1"/>
  <c r="G18" i="59" s="1"/>
  <c r="G19" i="59" a="1"/>
  <c r="G19" i="59" s="1"/>
  <c r="G20" i="59" a="1"/>
  <c r="G20" i="59" s="1"/>
  <c r="G21" i="59" a="1"/>
  <c r="G21" i="59" s="1"/>
  <c r="G22" i="59" a="1"/>
  <c r="G22" i="59" s="1"/>
  <c r="G23" i="59" a="1"/>
  <c r="G23" i="59" s="1"/>
  <c r="G24" i="59" a="1"/>
  <c r="G24" i="59" s="1"/>
  <c r="G25" i="59" a="1"/>
  <c r="G25" i="59" s="1"/>
  <c r="G26" i="59" a="1"/>
  <c r="G26" i="59" s="1"/>
  <c r="G27" i="59" a="1"/>
  <c r="G27" i="59" s="1"/>
  <c r="G28" i="59" a="1"/>
  <c r="G28" i="59" s="1"/>
  <c r="G29" i="59" a="1"/>
  <c r="G29" i="59" s="1"/>
  <c r="G30" i="59" a="1"/>
  <c r="G30" i="59" s="1"/>
  <c r="G31" i="59" a="1"/>
  <c r="G31" i="59" s="1"/>
  <c r="G32" i="59" a="1"/>
  <c r="G32" i="59" s="1"/>
  <c r="G33" i="59" a="1"/>
  <c r="G33" i="59" s="1"/>
  <c r="G34" i="59" a="1"/>
  <c r="G34" i="59" s="1"/>
  <c r="G35" i="59" a="1"/>
  <c r="G35" i="59" s="1"/>
  <c r="A3" i="151"/>
  <c r="B3" i="151"/>
  <c r="C3" i="151"/>
  <c r="D3" i="151" a="1"/>
  <c r="D3" i="151" s="1"/>
  <c r="E3" i="151"/>
  <c r="F3" i="151"/>
  <c r="G3" i="151"/>
  <c r="J3" i="151"/>
  <c r="K3" i="151"/>
  <c r="C3" i="54" a="1"/>
  <c r="C3" i="54" s="1"/>
  <c r="C4" i="54" a="1"/>
  <c r="C4" i="54" s="1"/>
  <c r="C5" i="54" a="1"/>
  <c r="C5" i="54" s="1"/>
  <c r="C6" i="54" a="1"/>
  <c r="C6" i="54" s="1"/>
  <c r="C7" i="54" a="1"/>
  <c r="C7" i="54" s="1"/>
  <c r="C8" i="54" a="1"/>
  <c r="C8" i="54" s="1"/>
  <c r="C9" i="54" a="1"/>
  <c r="C9" i="54" s="1"/>
  <c r="C10" i="54" a="1"/>
  <c r="C10" i="54" s="1"/>
  <c r="C11" i="54" a="1"/>
  <c r="C11" i="54" s="1"/>
  <c r="C12" i="54" a="1"/>
  <c r="C12" i="54" s="1"/>
  <c r="C13" i="54" a="1"/>
  <c r="C13" i="54" s="1"/>
  <c r="C14" i="54" a="1"/>
  <c r="C14" i="54" s="1"/>
  <c r="C15" i="54" a="1"/>
  <c r="C15" i="54" s="1"/>
  <c r="C16" i="54" a="1"/>
  <c r="C16" i="54" s="1"/>
  <c r="C17" i="54" a="1"/>
  <c r="C17" i="54" s="1"/>
  <c r="C18" i="54" a="1"/>
  <c r="C18" i="54" s="1"/>
  <c r="C19" i="54" a="1"/>
  <c r="C19" i="54" s="1"/>
  <c r="C20" i="54" a="1"/>
  <c r="C20" i="54" s="1"/>
  <c r="C21" i="54" a="1"/>
  <c r="C21" i="54" s="1"/>
  <c r="C22" i="54" a="1"/>
  <c r="C22" i="54" s="1"/>
  <c r="C23" i="54" a="1"/>
  <c r="C23" i="54" s="1"/>
  <c r="C24" i="54" a="1"/>
  <c r="C24" i="54" s="1"/>
  <c r="C25" i="54" a="1"/>
  <c r="C25" i="54" s="1"/>
  <c r="C26" i="54" a="1"/>
  <c r="C26" i="54" s="1"/>
  <c r="C27" i="54" a="1"/>
  <c r="C27" i="54" s="1"/>
  <c r="C28" i="54" a="1"/>
  <c r="C28" i="54" s="1"/>
  <c r="C29" i="54" a="1"/>
  <c r="C29" i="54" s="1"/>
  <c r="C30" i="54" a="1"/>
  <c r="C30" i="54" s="1"/>
  <c r="C31" i="54" a="1"/>
  <c r="C31" i="54" s="1"/>
  <c r="C32" i="54" a="1"/>
  <c r="C32" i="54" s="1"/>
  <c r="C33" i="54" a="1"/>
  <c r="C33" i="54" s="1"/>
  <c r="C34" i="54" a="1"/>
  <c r="C34" i="54" s="1"/>
  <c r="V3" i="59" l="1"/>
  <c r="C3" i="59" s="1"/>
  <c r="V2" i="59"/>
  <c r="C2" i="59" s="1"/>
  <c r="V9" i="59"/>
  <c r="D3" i="60" a="1"/>
  <c r="D3" i="60" s="1"/>
  <c r="M3" i="151"/>
  <c r="D2" i="59" l="1"/>
  <c r="E2" i="59"/>
  <c r="E3" i="54" a="1"/>
  <c r="E3" i="54" s="1"/>
  <c r="E4" i="54" a="1"/>
  <c r="E4" i="54" s="1"/>
  <c r="E5" i="54" a="1"/>
  <c r="E5" i="54" s="1"/>
  <c r="E6" i="54" a="1"/>
  <c r="E6" i="54" s="1"/>
  <c r="E7" i="54" a="1"/>
  <c r="E7" i="54" s="1"/>
  <c r="E8" i="54" a="1"/>
  <c r="E8" i="54" s="1"/>
  <c r="E9" i="54" a="1"/>
  <c r="E9" i="54" s="1"/>
  <c r="E10" i="54" a="1"/>
  <c r="E10" i="54" s="1"/>
  <c r="E11" i="54" a="1"/>
  <c r="E11" i="54" s="1"/>
  <c r="E12" i="54" a="1"/>
  <c r="E12" i="54" s="1"/>
  <c r="E13" i="54" a="1"/>
  <c r="E13" i="54" s="1"/>
  <c r="E14" i="54" a="1"/>
  <c r="E14" i="54" s="1"/>
  <c r="E15" i="54" a="1"/>
  <c r="E15" i="54" s="1"/>
  <c r="E16" i="54" a="1"/>
  <c r="E16" i="54" s="1"/>
  <c r="E17" i="54" a="1"/>
  <c r="E17" i="54" s="1"/>
  <c r="E18" i="54" a="1"/>
  <c r="E18" i="54" s="1"/>
  <c r="E19" i="54" a="1"/>
  <c r="E19" i="54" s="1"/>
  <c r="E20" i="54" a="1"/>
  <c r="E20" i="54" s="1"/>
  <c r="E21" i="54" a="1"/>
  <c r="E21" i="54" s="1"/>
  <c r="E22" i="54" a="1"/>
  <c r="E22" i="54" s="1"/>
  <c r="E23" i="54" a="1"/>
  <c r="E23" i="54" s="1"/>
  <c r="E24" i="54" a="1"/>
  <c r="E24" i="54" s="1"/>
  <c r="E25" i="54" a="1"/>
  <c r="E25" i="54" s="1"/>
  <c r="E26" i="54" a="1"/>
  <c r="E26" i="54" s="1"/>
  <c r="E27" i="54" a="1"/>
  <c r="E27" i="54" s="1"/>
  <c r="E28" i="54" a="1"/>
  <c r="E28" i="54" s="1"/>
  <c r="E29" i="54" a="1"/>
  <c r="E29" i="54" s="1"/>
  <c r="E30" i="54" a="1"/>
  <c r="E30" i="54" s="1"/>
  <c r="E31" i="54" a="1"/>
  <c r="E31" i="54" s="1"/>
  <c r="E32" i="54" a="1"/>
  <c r="E32" i="54" s="1"/>
  <c r="E33" i="54" a="1"/>
  <c r="E33" i="54" s="1"/>
  <c r="E34" i="54" a="1"/>
  <c r="E34" i="54" s="1"/>
  <c r="B2" i="72" l="1"/>
  <c r="B3" i="72"/>
  <c r="A123" i="122"/>
  <c r="A124" i="122"/>
  <c r="A125" i="122"/>
  <c r="A126" i="122"/>
  <c r="B127" i="122" s="1"/>
  <c r="C123" i="122"/>
  <c r="C124" i="122"/>
  <c r="C125" i="122"/>
  <c r="C126" i="122"/>
  <c r="E123" i="122"/>
  <c r="E124" i="122"/>
  <c r="E125" i="122"/>
  <c r="E126" i="122"/>
  <c r="F123" i="122"/>
  <c r="F124" i="122"/>
  <c r="F125" i="122"/>
  <c r="F126" i="122"/>
  <c r="H123" i="122"/>
  <c r="H124" i="122"/>
  <c r="H125" i="122"/>
  <c r="H126" i="122"/>
  <c r="I123" i="122"/>
  <c r="I124" i="122"/>
  <c r="I125" i="122"/>
  <c r="I126" i="122"/>
  <c r="J123" i="122"/>
  <c r="J124" i="122"/>
  <c r="J125" i="122"/>
  <c r="J126" i="122"/>
  <c r="K123" i="122"/>
  <c r="K124" i="122"/>
  <c r="K125" i="122"/>
  <c r="K126" i="122"/>
  <c r="L123" i="122"/>
  <c r="L124" i="122"/>
  <c r="L125" i="122"/>
  <c r="L126" i="122"/>
  <c r="Q123" i="122"/>
  <c r="Q124" i="122"/>
  <c r="Q125" i="122"/>
  <c r="Q126" i="122"/>
  <c r="G3" i="73"/>
  <c r="F3" i="73"/>
  <c r="D3" i="73"/>
  <c r="C3" i="73"/>
  <c r="G2" i="73"/>
  <c r="F2" i="73"/>
  <c r="D2" i="73"/>
  <c r="C2" i="73"/>
  <c r="A25" i="70"/>
  <c r="B25" i="70"/>
  <c r="C25" i="70"/>
  <c r="D25" i="70"/>
  <c r="E25" i="70"/>
  <c r="F25" i="70"/>
  <c r="G126" i="122" a="1"/>
  <c r="G125" i="122" a="1"/>
  <c r="G123" i="122" a="1"/>
  <c r="G124" i="122" a="1"/>
  <c r="E3" i="73" a="1"/>
  <c r="B126" i="122" l="1"/>
  <c r="B125" i="122"/>
  <c r="B124" i="122"/>
  <c r="H25" i="70"/>
  <c r="H2" i="119"/>
  <c r="F2" i="72"/>
  <c r="G123" i="122"/>
  <c r="G126" i="122"/>
  <c r="G124" i="122"/>
  <c r="G125" i="122"/>
  <c r="E3" i="73"/>
  <c r="U11" i="59" l="1"/>
  <c r="V11" i="59" s="1"/>
  <c r="M11" i="59"/>
  <c r="L11" i="59"/>
  <c r="K11" i="59"/>
  <c r="J11" i="59"/>
  <c r="F11" i="59"/>
  <c r="B11" i="59"/>
  <c r="A11" i="59"/>
  <c r="E2" i="122"/>
  <c r="E3" i="122"/>
  <c r="E4" i="122"/>
  <c r="E5" i="122"/>
  <c r="E6" i="122"/>
  <c r="E7" i="122"/>
  <c r="E8" i="122"/>
  <c r="E9" i="122"/>
  <c r="E10" i="122"/>
  <c r="E11" i="122"/>
  <c r="E12" i="122"/>
  <c r="E13" i="122"/>
  <c r="E14" i="122"/>
  <c r="E15" i="122"/>
  <c r="E16" i="122"/>
  <c r="E17" i="122"/>
  <c r="E18" i="122"/>
  <c r="E19" i="122"/>
  <c r="E20" i="122"/>
  <c r="E21" i="122"/>
  <c r="E22" i="122"/>
  <c r="E23" i="122"/>
  <c r="E24" i="122"/>
  <c r="E25" i="122"/>
  <c r="E26" i="122"/>
  <c r="E27" i="122"/>
  <c r="E28" i="122"/>
  <c r="E29" i="122"/>
  <c r="E30" i="122"/>
  <c r="E31" i="122"/>
  <c r="E32" i="122"/>
  <c r="E33" i="122"/>
  <c r="E34" i="122"/>
  <c r="E35" i="122"/>
  <c r="E36" i="122"/>
  <c r="E37" i="122"/>
  <c r="E38" i="122"/>
  <c r="E39" i="122"/>
  <c r="E40" i="122"/>
  <c r="E41" i="122"/>
  <c r="E42" i="122"/>
  <c r="E43" i="122"/>
  <c r="E44" i="122"/>
  <c r="E45" i="122"/>
  <c r="E46" i="122"/>
  <c r="E47" i="122"/>
  <c r="E48" i="122"/>
  <c r="E49" i="122"/>
  <c r="E50" i="122"/>
  <c r="E51" i="122"/>
  <c r="E52" i="122"/>
  <c r="E53" i="122"/>
  <c r="E54" i="122"/>
  <c r="E55" i="122"/>
  <c r="E56" i="122"/>
  <c r="E57" i="122"/>
  <c r="E58" i="122"/>
  <c r="E59" i="122"/>
  <c r="E60" i="122"/>
  <c r="E61" i="122"/>
  <c r="E62" i="122"/>
  <c r="E63" i="122"/>
  <c r="E64" i="122"/>
  <c r="E65" i="122"/>
  <c r="E66" i="122"/>
  <c r="E67" i="122"/>
  <c r="E68" i="122"/>
  <c r="E69" i="122"/>
  <c r="E70" i="122"/>
  <c r="E71" i="122"/>
  <c r="E72" i="122"/>
  <c r="E73" i="122"/>
  <c r="E74" i="122"/>
  <c r="E75" i="122"/>
  <c r="E76" i="122"/>
  <c r="E77" i="122"/>
  <c r="E78" i="122"/>
  <c r="E79" i="122"/>
  <c r="E80" i="122"/>
  <c r="E81" i="122"/>
  <c r="E82" i="122"/>
  <c r="E83" i="122"/>
  <c r="E84" i="122"/>
  <c r="E85" i="122"/>
  <c r="E86" i="122"/>
  <c r="E87" i="122"/>
  <c r="E88" i="122"/>
  <c r="E89" i="122"/>
  <c r="E90" i="122"/>
  <c r="E91" i="122"/>
  <c r="E92" i="122"/>
  <c r="E93" i="122"/>
  <c r="E94" i="122"/>
  <c r="E95" i="122"/>
  <c r="E96" i="122"/>
  <c r="E97" i="122"/>
  <c r="E98" i="122"/>
  <c r="E99" i="122"/>
  <c r="E100" i="122"/>
  <c r="E101" i="122"/>
  <c r="E102" i="122"/>
  <c r="E103" i="122"/>
  <c r="E104" i="122"/>
  <c r="E105" i="122"/>
  <c r="E106" i="122"/>
  <c r="E107" i="122"/>
  <c r="E108" i="122"/>
  <c r="E109" i="122"/>
  <c r="E110" i="122"/>
  <c r="E111" i="122"/>
  <c r="E112" i="122"/>
  <c r="E113" i="122"/>
  <c r="E114" i="122"/>
  <c r="E115" i="122"/>
  <c r="E116" i="122"/>
  <c r="E117" i="122"/>
  <c r="E118" i="122"/>
  <c r="E119" i="122"/>
  <c r="E120" i="122"/>
  <c r="E121" i="122"/>
  <c r="E122" i="122"/>
  <c r="E131" i="122"/>
  <c r="E132" i="122"/>
  <c r="E133" i="122"/>
  <c r="E134" i="122"/>
  <c r="E135" i="122"/>
  <c r="E136" i="122"/>
  <c r="E137" i="122"/>
  <c r="E138" i="122"/>
  <c r="E139" i="122"/>
  <c r="E140" i="122"/>
  <c r="E141" i="122"/>
  <c r="E142" i="122"/>
  <c r="E143" i="122"/>
  <c r="E144" i="122"/>
  <c r="E145" i="122"/>
  <c r="E146" i="122"/>
  <c r="E147" i="122"/>
  <c r="E148" i="122"/>
  <c r="E149" i="122"/>
  <c r="E150" i="122"/>
  <c r="E151" i="122"/>
  <c r="E152" i="122"/>
  <c r="E153" i="122"/>
  <c r="E154" i="122"/>
  <c r="E155" i="122"/>
  <c r="E156" i="122"/>
  <c r="E157" i="122"/>
  <c r="E158" i="122"/>
  <c r="E159" i="122"/>
  <c r="E160" i="122"/>
  <c r="E161" i="122"/>
  <c r="E162" i="122"/>
  <c r="E163" i="122"/>
  <c r="E164" i="122"/>
  <c r="E165" i="122"/>
  <c r="E166" i="122"/>
  <c r="E167" i="122"/>
  <c r="E168" i="122"/>
  <c r="E169" i="122"/>
  <c r="E170" i="122"/>
  <c r="E171" i="122"/>
  <c r="E172" i="122"/>
  <c r="E173" i="122"/>
  <c r="E174" i="122"/>
  <c r="E175" i="122"/>
  <c r="E176" i="122"/>
  <c r="E177" i="122"/>
  <c r="E178" i="122"/>
  <c r="E179" i="122"/>
  <c r="E180" i="122"/>
  <c r="E181" i="122"/>
  <c r="E182" i="122"/>
  <c r="E183" i="122"/>
  <c r="E184" i="122"/>
  <c r="E185" i="122"/>
  <c r="E186" i="122"/>
  <c r="E187" i="122"/>
  <c r="E188" i="122"/>
  <c r="E189" i="122"/>
  <c r="E190" i="122"/>
  <c r="E191" i="122"/>
  <c r="E192" i="122"/>
  <c r="E193" i="122"/>
  <c r="E194" i="122"/>
  <c r="E195" i="122"/>
  <c r="E196" i="122"/>
  <c r="E197" i="122"/>
  <c r="E198" i="122"/>
  <c r="E199" i="122"/>
  <c r="E200" i="122"/>
  <c r="E201" i="122"/>
  <c r="E202" i="122"/>
  <c r="E203" i="122"/>
  <c r="E204" i="122"/>
  <c r="E205" i="122"/>
  <c r="E206" i="122"/>
  <c r="E207" i="122"/>
  <c r="E208" i="122"/>
  <c r="E209" i="122"/>
  <c r="E210" i="122"/>
  <c r="E211" i="122"/>
  <c r="E212" i="122"/>
  <c r="E213" i="122"/>
  <c r="E214" i="122"/>
  <c r="E215" i="122"/>
  <c r="E216" i="122"/>
  <c r="E217" i="122"/>
  <c r="E218" i="122"/>
  <c r="E219" i="122"/>
  <c r="E220" i="122"/>
  <c r="E221" i="122"/>
  <c r="E222" i="122"/>
  <c r="E223" i="122"/>
  <c r="E224" i="122"/>
  <c r="E225" i="122"/>
  <c r="E226" i="122"/>
  <c r="E227" i="122"/>
  <c r="E228" i="122"/>
  <c r="E229" i="122"/>
  <c r="E230" i="122"/>
  <c r="E231" i="122"/>
  <c r="E232" i="122"/>
  <c r="E233" i="122"/>
  <c r="E234" i="122"/>
  <c r="E235" i="122"/>
  <c r="E236" i="122"/>
  <c r="E237" i="122"/>
  <c r="E238" i="122"/>
  <c r="E239" i="122"/>
  <c r="E240" i="122"/>
  <c r="E241" i="122"/>
  <c r="E242" i="122"/>
  <c r="E243" i="122"/>
  <c r="E244" i="122"/>
  <c r="E245" i="122"/>
  <c r="E246" i="122"/>
  <c r="E247" i="122"/>
  <c r="E248" i="122"/>
  <c r="E249" i="122"/>
  <c r="E250" i="122"/>
  <c r="E251" i="122"/>
  <c r="E252" i="122"/>
  <c r="E253" i="122"/>
  <c r="E254" i="122"/>
  <c r="E255" i="122"/>
  <c r="E256" i="122"/>
  <c r="E257" i="122"/>
  <c r="E258" i="122"/>
  <c r="E259" i="122"/>
  <c r="E260" i="122"/>
  <c r="E261" i="122"/>
  <c r="E262" i="122"/>
  <c r="E263" i="122"/>
  <c r="E264" i="122"/>
  <c r="E265" i="122"/>
  <c r="E266" i="122"/>
  <c r="E267" i="122"/>
  <c r="E268" i="122"/>
  <c r="E269" i="122"/>
  <c r="E270" i="122"/>
  <c r="E271" i="122"/>
  <c r="E272" i="122"/>
  <c r="E273" i="122"/>
  <c r="E274" i="122"/>
  <c r="E275" i="122"/>
  <c r="E276" i="122"/>
  <c r="E277" i="122"/>
  <c r="E278" i="122"/>
  <c r="E279" i="122"/>
  <c r="E280" i="122"/>
  <c r="E281" i="122"/>
  <c r="E282" i="122"/>
  <c r="E283" i="122"/>
  <c r="E284" i="122"/>
  <c r="E285" i="122"/>
  <c r="E286" i="122"/>
  <c r="E287" i="122"/>
  <c r="E288" i="122"/>
  <c r="E289" i="122"/>
  <c r="E290" i="122"/>
  <c r="E291" i="122"/>
  <c r="E292" i="122"/>
  <c r="E293" i="122"/>
  <c r="E294" i="122"/>
  <c r="E295" i="122"/>
  <c r="E296" i="122"/>
  <c r="E297" i="122"/>
  <c r="E298" i="122"/>
  <c r="E299" i="122"/>
  <c r="E300" i="122"/>
  <c r="E301" i="122"/>
  <c r="E302" i="122"/>
  <c r="E303" i="122"/>
  <c r="E304" i="122"/>
  <c r="E305" i="122"/>
  <c r="E306" i="122"/>
  <c r="E307" i="122"/>
  <c r="E308" i="122"/>
  <c r="E309" i="122"/>
  <c r="E310" i="122"/>
  <c r="E311" i="122"/>
  <c r="E312" i="122"/>
  <c r="E313" i="122"/>
  <c r="E314" i="122"/>
  <c r="E315" i="122"/>
  <c r="E316" i="122"/>
  <c r="E317" i="122"/>
  <c r="E318" i="122"/>
  <c r="E319" i="122"/>
  <c r="E320" i="122"/>
  <c r="E321" i="122"/>
  <c r="E322" i="122"/>
  <c r="E323" i="122"/>
  <c r="E324" i="122"/>
  <c r="E325" i="122"/>
  <c r="E326" i="122"/>
  <c r="E327" i="122"/>
  <c r="E328" i="122"/>
  <c r="E329" i="122"/>
  <c r="E330" i="122"/>
  <c r="E331" i="122"/>
  <c r="E332" i="122"/>
  <c r="E333" i="122"/>
  <c r="E334" i="122"/>
  <c r="E335" i="122"/>
  <c r="E336" i="122"/>
  <c r="E337" i="122"/>
  <c r="E338" i="122"/>
  <c r="E339" i="122"/>
  <c r="E340" i="122"/>
  <c r="E341" i="122"/>
  <c r="E342" i="122"/>
  <c r="E343" i="122"/>
  <c r="E344" i="122"/>
  <c r="E345" i="122"/>
  <c r="E346" i="122"/>
  <c r="E347" i="122"/>
  <c r="E348" i="122"/>
  <c r="E349" i="122"/>
  <c r="E350" i="122"/>
  <c r="E351" i="122"/>
  <c r="E352" i="122"/>
  <c r="E353" i="122"/>
  <c r="E354" i="122"/>
  <c r="E355" i="122"/>
  <c r="E356" i="122"/>
  <c r="E357" i="122"/>
  <c r="E358" i="122"/>
  <c r="E359" i="122"/>
  <c r="E360" i="122"/>
  <c r="E361" i="122"/>
  <c r="E362" i="122"/>
  <c r="E363" i="122"/>
  <c r="E364" i="122"/>
  <c r="E365" i="122"/>
  <c r="E366" i="122"/>
  <c r="E367" i="122"/>
  <c r="E368" i="122"/>
  <c r="E369" i="122"/>
  <c r="E370" i="122"/>
  <c r="E371" i="122"/>
  <c r="E372" i="122"/>
  <c r="E373" i="122"/>
  <c r="E374" i="122"/>
  <c r="E375" i="122"/>
  <c r="E376" i="122"/>
  <c r="E377" i="122"/>
  <c r="E378" i="122"/>
  <c r="E379" i="122"/>
  <c r="E380" i="122"/>
  <c r="E381" i="122"/>
  <c r="E382" i="122"/>
  <c r="E383" i="122"/>
  <c r="E384" i="122"/>
  <c r="E385" i="122"/>
  <c r="E386" i="122"/>
  <c r="E387" i="122"/>
  <c r="E388" i="122"/>
  <c r="E389" i="122"/>
  <c r="E390" i="122"/>
  <c r="E391" i="122"/>
  <c r="E392" i="122"/>
  <c r="E393" i="122"/>
  <c r="E394" i="122"/>
  <c r="E395" i="122"/>
  <c r="E396" i="122"/>
  <c r="E397" i="122"/>
  <c r="E398" i="122"/>
  <c r="E399" i="122"/>
  <c r="E400" i="122"/>
  <c r="E401" i="122"/>
  <c r="E402" i="122"/>
  <c r="E403" i="122"/>
  <c r="E404" i="122"/>
  <c r="E405" i="122"/>
  <c r="E406" i="122"/>
  <c r="E407" i="122"/>
  <c r="E408" i="122"/>
  <c r="E409" i="122"/>
  <c r="E410" i="122"/>
  <c r="E411" i="122"/>
  <c r="E412" i="122"/>
  <c r="E413" i="122"/>
  <c r="E414" i="122"/>
  <c r="E415" i="122"/>
  <c r="E416" i="122"/>
  <c r="E417" i="122"/>
  <c r="E418" i="122"/>
  <c r="E419" i="122"/>
  <c r="E420" i="122"/>
  <c r="E421" i="122"/>
  <c r="E422" i="122"/>
  <c r="E423" i="122"/>
  <c r="E424" i="122"/>
  <c r="E425" i="122"/>
  <c r="E426" i="122"/>
  <c r="E427" i="122"/>
  <c r="E428" i="122"/>
  <c r="E429" i="122"/>
  <c r="E430" i="122"/>
  <c r="E431" i="122"/>
  <c r="E432" i="122"/>
  <c r="E433" i="122"/>
  <c r="E434" i="122"/>
  <c r="E435" i="122"/>
  <c r="E436" i="122"/>
  <c r="E437" i="122"/>
  <c r="E438" i="122"/>
  <c r="E439" i="122"/>
  <c r="E440" i="122"/>
  <c r="E441" i="122"/>
  <c r="E442" i="122"/>
  <c r="E443" i="122"/>
  <c r="E444" i="122"/>
  <c r="E445" i="122"/>
  <c r="E446" i="122"/>
  <c r="E447" i="122"/>
  <c r="E448" i="122"/>
  <c r="E449" i="122"/>
  <c r="E450" i="122"/>
  <c r="E451" i="122"/>
  <c r="E452" i="122"/>
  <c r="E453" i="122"/>
  <c r="E454" i="122"/>
  <c r="E455" i="122"/>
  <c r="E456" i="122"/>
  <c r="E457" i="122"/>
  <c r="E458" i="122"/>
  <c r="E459" i="122"/>
  <c r="E460" i="122"/>
  <c r="E461" i="122"/>
  <c r="E462" i="122"/>
  <c r="E463" i="122"/>
  <c r="E464" i="122"/>
  <c r="E465" i="122"/>
  <c r="E466" i="122"/>
  <c r="E467" i="122"/>
  <c r="E468" i="122"/>
  <c r="E469" i="122"/>
  <c r="E470" i="122"/>
  <c r="E471" i="122"/>
  <c r="E472" i="122"/>
  <c r="E473" i="122"/>
  <c r="E474" i="122"/>
  <c r="E475" i="122"/>
  <c r="E476" i="122"/>
  <c r="E477" i="122"/>
  <c r="E478" i="122"/>
  <c r="E479" i="122"/>
  <c r="E480" i="122"/>
  <c r="E481" i="122"/>
  <c r="E482" i="122"/>
  <c r="E483" i="122"/>
  <c r="E484" i="122"/>
  <c r="E485" i="122"/>
  <c r="E486" i="122"/>
  <c r="E487" i="122"/>
  <c r="E488" i="122"/>
  <c r="E489" i="122"/>
  <c r="E490" i="122"/>
  <c r="E491" i="122"/>
  <c r="E492" i="122"/>
  <c r="E493" i="122"/>
  <c r="E494" i="122"/>
  <c r="E495" i="122"/>
  <c r="E496" i="122"/>
  <c r="A2" i="122"/>
  <c r="B2" i="122" s="1"/>
  <c r="A3" i="122"/>
  <c r="A4" i="122"/>
  <c r="A5" i="122"/>
  <c r="A6" i="122"/>
  <c r="A7" i="122"/>
  <c r="A8" i="122"/>
  <c r="A9" i="122"/>
  <c r="A10" i="122"/>
  <c r="A11" i="122"/>
  <c r="A12" i="122"/>
  <c r="A13" i="122"/>
  <c r="A14" i="122"/>
  <c r="A15" i="122"/>
  <c r="A16" i="122"/>
  <c r="A17" i="122"/>
  <c r="A18" i="122"/>
  <c r="A19" i="122"/>
  <c r="A20" i="122"/>
  <c r="A21" i="122"/>
  <c r="A22" i="122"/>
  <c r="A23" i="122"/>
  <c r="A24" i="122"/>
  <c r="A25" i="122"/>
  <c r="A26" i="122"/>
  <c r="A27" i="122"/>
  <c r="A28" i="122"/>
  <c r="A29" i="122"/>
  <c r="A30" i="122"/>
  <c r="A31" i="122"/>
  <c r="A32" i="122"/>
  <c r="A33" i="122"/>
  <c r="A34" i="122"/>
  <c r="A35" i="122"/>
  <c r="A36" i="122"/>
  <c r="A37" i="122"/>
  <c r="A38" i="122"/>
  <c r="A39" i="122"/>
  <c r="A40" i="122"/>
  <c r="A41" i="122"/>
  <c r="A42" i="122"/>
  <c r="A43" i="122"/>
  <c r="A44" i="122"/>
  <c r="A45" i="122"/>
  <c r="A46" i="122"/>
  <c r="A47" i="122"/>
  <c r="A48" i="122"/>
  <c r="A49" i="122"/>
  <c r="A50" i="122"/>
  <c r="A51" i="122"/>
  <c r="A52" i="122"/>
  <c r="A53" i="122"/>
  <c r="A54" i="122"/>
  <c r="A55" i="122"/>
  <c r="A56" i="122"/>
  <c r="A57" i="122"/>
  <c r="A58" i="122"/>
  <c r="A59" i="122"/>
  <c r="A60" i="122"/>
  <c r="A61" i="122"/>
  <c r="A62" i="122"/>
  <c r="A63" i="122"/>
  <c r="A64" i="122"/>
  <c r="A65" i="122"/>
  <c r="A66" i="122"/>
  <c r="A67" i="122"/>
  <c r="A68" i="122"/>
  <c r="A69" i="122"/>
  <c r="A70" i="122"/>
  <c r="A71" i="122"/>
  <c r="A72" i="122"/>
  <c r="A73" i="122"/>
  <c r="A74" i="122"/>
  <c r="A75" i="122"/>
  <c r="A76" i="122"/>
  <c r="A77" i="122"/>
  <c r="A78" i="122"/>
  <c r="A79" i="122"/>
  <c r="A80" i="122"/>
  <c r="A81" i="122"/>
  <c r="A82" i="122"/>
  <c r="A83" i="122"/>
  <c r="A84" i="122"/>
  <c r="A85" i="122"/>
  <c r="A86" i="122"/>
  <c r="A87" i="122"/>
  <c r="A88" i="122"/>
  <c r="A89" i="122"/>
  <c r="A90" i="122"/>
  <c r="A91" i="122"/>
  <c r="A92" i="122"/>
  <c r="A93" i="122"/>
  <c r="A94" i="122"/>
  <c r="A95" i="122"/>
  <c r="A96" i="122"/>
  <c r="A97" i="122"/>
  <c r="A98" i="122"/>
  <c r="A99" i="122"/>
  <c r="A100" i="122"/>
  <c r="A101" i="122"/>
  <c r="A102" i="122"/>
  <c r="A103" i="122"/>
  <c r="A104" i="122"/>
  <c r="A105" i="122"/>
  <c r="A106" i="122"/>
  <c r="A107" i="122"/>
  <c r="A108" i="122"/>
  <c r="A109" i="122"/>
  <c r="A110" i="122"/>
  <c r="A111" i="122"/>
  <c r="A112" i="122"/>
  <c r="A113" i="122"/>
  <c r="A114" i="122"/>
  <c r="A115" i="122"/>
  <c r="A116" i="122"/>
  <c r="A117" i="122"/>
  <c r="A118" i="122"/>
  <c r="A119" i="122"/>
  <c r="A120" i="122"/>
  <c r="A121" i="122"/>
  <c r="A122" i="122"/>
  <c r="A131" i="122"/>
  <c r="B131" i="122" s="1"/>
  <c r="A132" i="122"/>
  <c r="A133" i="122"/>
  <c r="A134" i="122"/>
  <c r="A135" i="122"/>
  <c r="A136" i="122"/>
  <c r="A137" i="122"/>
  <c r="A138" i="122"/>
  <c r="A139" i="122"/>
  <c r="A140" i="122"/>
  <c r="A141" i="122"/>
  <c r="A142" i="122"/>
  <c r="A143" i="122"/>
  <c r="A144" i="122"/>
  <c r="A145" i="122"/>
  <c r="A146" i="122"/>
  <c r="A147" i="122"/>
  <c r="A148" i="122"/>
  <c r="A149" i="122"/>
  <c r="A150" i="122"/>
  <c r="A151" i="122"/>
  <c r="A152" i="122"/>
  <c r="A153" i="122"/>
  <c r="A154" i="122"/>
  <c r="A155" i="122"/>
  <c r="A156" i="122"/>
  <c r="A157" i="122"/>
  <c r="A158" i="122"/>
  <c r="A159" i="122"/>
  <c r="A160" i="122"/>
  <c r="A161" i="122"/>
  <c r="A162" i="122"/>
  <c r="A163" i="122"/>
  <c r="A164" i="122"/>
  <c r="A165" i="122"/>
  <c r="A166" i="122"/>
  <c r="A167" i="122"/>
  <c r="A168" i="122"/>
  <c r="A169" i="122"/>
  <c r="A170" i="122"/>
  <c r="A171" i="122"/>
  <c r="A172" i="122"/>
  <c r="A173" i="122"/>
  <c r="A174" i="122"/>
  <c r="A175" i="122"/>
  <c r="A176" i="122"/>
  <c r="B176" i="122" s="1"/>
  <c r="A177" i="122"/>
  <c r="A178" i="122"/>
  <c r="A179" i="122"/>
  <c r="A180" i="122"/>
  <c r="A181" i="122"/>
  <c r="A182" i="122"/>
  <c r="A183" i="122"/>
  <c r="A184" i="122"/>
  <c r="B184" i="122" s="1"/>
  <c r="A185" i="122"/>
  <c r="A186" i="122"/>
  <c r="A187" i="122"/>
  <c r="A188" i="122"/>
  <c r="A189" i="122"/>
  <c r="A190" i="122"/>
  <c r="A191" i="122"/>
  <c r="A192" i="122"/>
  <c r="B192" i="122" s="1"/>
  <c r="A193" i="122"/>
  <c r="A194" i="122"/>
  <c r="A195" i="122"/>
  <c r="A196" i="122"/>
  <c r="A197" i="122"/>
  <c r="A198" i="122"/>
  <c r="A199" i="122"/>
  <c r="A200" i="122"/>
  <c r="B200" i="122" s="1"/>
  <c r="A201" i="122"/>
  <c r="A202" i="122"/>
  <c r="A203" i="122"/>
  <c r="A204" i="122"/>
  <c r="A205" i="122"/>
  <c r="A206" i="122"/>
  <c r="A207" i="122"/>
  <c r="A208" i="122"/>
  <c r="B208" i="122" s="1"/>
  <c r="A209" i="122"/>
  <c r="A210" i="122"/>
  <c r="A211" i="122"/>
  <c r="A212" i="122"/>
  <c r="A213" i="122"/>
  <c r="A214" i="122"/>
  <c r="A215" i="122"/>
  <c r="A216" i="122"/>
  <c r="B216" i="122" s="1"/>
  <c r="A217" i="122"/>
  <c r="A218" i="122"/>
  <c r="A219" i="122"/>
  <c r="A220" i="122"/>
  <c r="A221" i="122"/>
  <c r="A222" i="122"/>
  <c r="A223" i="122"/>
  <c r="A224" i="122"/>
  <c r="B224" i="122" s="1"/>
  <c r="A225" i="122"/>
  <c r="A226" i="122"/>
  <c r="A227" i="122"/>
  <c r="A228" i="122"/>
  <c r="A229" i="122"/>
  <c r="A230" i="122"/>
  <c r="A231" i="122"/>
  <c r="A232" i="122"/>
  <c r="B232" i="122" s="1"/>
  <c r="A233" i="122"/>
  <c r="A234" i="122"/>
  <c r="A235" i="122"/>
  <c r="A236" i="122"/>
  <c r="A237" i="122"/>
  <c r="A238" i="122"/>
  <c r="A239" i="122"/>
  <c r="A240" i="122"/>
  <c r="B240" i="122" s="1"/>
  <c r="A241" i="122"/>
  <c r="A242" i="122"/>
  <c r="A243" i="122"/>
  <c r="A244" i="122"/>
  <c r="A245" i="122"/>
  <c r="A246" i="122"/>
  <c r="A247" i="122"/>
  <c r="A248" i="122"/>
  <c r="B248" i="122" s="1"/>
  <c r="A249" i="122"/>
  <c r="A250" i="122"/>
  <c r="A251" i="122"/>
  <c r="A252" i="122"/>
  <c r="B252" i="122" s="1"/>
  <c r="A253" i="122"/>
  <c r="A254" i="122"/>
  <c r="A255" i="122"/>
  <c r="A256" i="122"/>
  <c r="B256" i="122" s="1"/>
  <c r="A257" i="122"/>
  <c r="A258" i="122"/>
  <c r="A259" i="122"/>
  <c r="A260" i="122"/>
  <c r="B260" i="122" s="1"/>
  <c r="A261" i="122"/>
  <c r="A262" i="122"/>
  <c r="A263" i="122"/>
  <c r="A264" i="122"/>
  <c r="B264" i="122" s="1"/>
  <c r="A265" i="122"/>
  <c r="A266" i="122"/>
  <c r="A267" i="122"/>
  <c r="A268" i="122"/>
  <c r="B268" i="122" s="1"/>
  <c r="A269" i="122"/>
  <c r="A270" i="122"/>
  <c r="A271" i="122"/>
  <c r="A272" i="122"/>
  <c r="B272" i="122" s="1"/>
  <c r="A273" i="122"/>
  <c r="A274" i="122"/>
  <c r="A275" i="122"/>
  <c r="A276" i="122"/>
  <c r="B276" i="122" s="1"/>
  <c r="A277" i="122"/>
  <c r="A278" i="122"/>
  <c r="A279" i="122"/>
  <c r="A280" i="122"/>
  <c r="B280" i="122" s="1"/>
  <c r="A281" i="122"/>
  <c r="A282" i="122"/>
  <c r="A283" i="122"/>
  <c r="A284" i="122"/>
  <c r="B284" i="122" s="1"/>
  <c r="A285" i="122"/>
  <c r="A286" i="122"/>
  <c r="A287" i="122"/>
  <c r="A288" i="122"/>
  <c r="B288" i="122" s="1"/>
  <c r="A289" i="122"/>
  <c r="A290" i="122"/>
  <c r="A291" i="122"/>
  <c r="A292" i="122"/>
  <c r="B292" i="122" s="1"/>
  <c r="A293" i="122"/>
  <c r="A294" i="122"/>
  <c r="A295" i="122"/>
  <c r="A296" i="122"/>
  <c r="B296" i="122" s="1"/>
  <c r="A297" i="122"/>
  <c r="A298" i="122"/>
  <c r="A299" i="122"/>
  <c r="A300" i="122"/>
  <c r="B300" i="122" s="1"/>
  <c r="A301" i="122"/>
  <c r="A302" i="122"/>
  <c r="A303" i="122"/>
  <c r="A304" i="122"/>
  <c r="B304" i="122" s="1"/>
  <c r="A305" i="122"/>
  <c r="A306" i="122"/>
  <c r="A307" i="122"/>
  <c r="A308" i="122"/>
  <c r="B308" i="122" s="1"/>
  <c r="A309" i="122"/>
  <c r="A310" i="122"/>
  <c r="A311" i="122"/>
  <c r="A312" i="122"/>
  <c r="B312" i="122" s="1"/>
  <c r="A313" i="122"/>
  <c r="A314" i="122"/>
  <c r="A315" i="122"/>
  <c r="A316" i="122"/>
  <c r="B316" i="122" s="1"/>
  <c r="A317" i="122"/>
  <c r="A318" i="122"/>
  <c r="A319" i="122"/>
  <c r="A320" i="122"/>
  <c r="B320" i="122" s="1"/>
  <c r="A321" i="122"/>
  <c r="A322" i="122"/>
  <c r="A323" i="122"/>
  <c r="A324" i="122"/>
  <c r="B324" i="122" s="1"/>
  <c r="A325" i="122"/>
  <c r="A326" i="122"/>
  <c r="A327" i="122"/>
  <c r="A328" i="122"/>
  <c r="B328" i="122" s="1"/>
  <c r="A329" i="122"/>
  <c r="A330" i="122"/>
  <c r="A331" i="122"/>
  <c r="A332" i="122"/>
  <c r="B332" i="122" s="1"/>
  <c r="A333" i="122"/>
  <c r="A334" i="122"/>
  <c r="A335" i="122"/>
  <c r="A336" i="122"/>
  <c r="B336" i="122" s="1"/>
  <c r="A337" i="122"/>
  <c r="A338" i="122"/>
  <c r="A339" i="122"/>
  <c r="A340" i="122"/>
  <c r="B340" i="122" s="1"/>
  <c r="A341" i="122"/>
  <c r="A342" i="122"/>
  <c r="A343" i="122"/>
  <c r="A344" i="122"/>
  <c r="B344" i="122" s="1"/>
  <c r="A345" i="122"/>
  <c r="A346" i="122"/>
  <c r="A347" i="122"/>
  <c r="A348" i="122"/>
  <c r="B348" i="122" s="1"/>
  <c r="A349" i="122"/>
  <c r="A350" i="122"/>
  <c r="A351" i="122"/>
  <c r="A352" i="122"/>
  <c r="B352" i="122" s="1"/>
  <c r="A353" i="122"/>
  <c r="A354" i="122"/>
  <c r="A355" i="122"/>
  <c r="A356" i="122"/>
  <c r="B356" i="122" s="1"/>
  <c r="A357" i="122"/>
  <c r="A358" i="122"/>
  <c r="A359" i="122"/>
  <c r="A360" i="122"/>
  <c r="B360" i="122" s="1"/>
  <c r="A361" i="122"/>
  <c r="A362" i="122"/>
  <c r="A363" i="122"/>
  <c r="A364" i="122"/>
  <c r="B364" i="122" s="1"/>
  <c r="A365" i="122"/>
  <c r="A366" i="122"/>
  <c r="A367" i="122"/>
  <c r="A368" i="122"/>
  <c r="B368" i="122" s="1"/>
  <c r="A369" i="122"/>
  <c r="A370" i="122"/>
  <c r="A371" i="122"/>
  <c r="A372" i="122"/>
  <c r="B372" i="122" s="1"/>
  <c r="A373" i="122"/>
  <c r="A374" i="122"/>
  <c r="A375" i="122"/>
  <c r="A376" i="122"/>
  <c r="B376" i="122" s="1"/>
  <c r="A377" i="122"/>
  <c r="A378" i="122"/>
  <c r="A379" i="122"/>
  <c r="A380" i="122"/>
  <c r="B380" i="122" s="1"/>
  <c r="A381" i="122"/>
  <c r="A382" i="122"/>
  <c r="A383" i="122"/>
  <c r="A384" i="122"/>
  <c r="B384" i="122" s="1"/>
  <c r="A385" i="122"/>
  <c r="A386" i="122"/>
  <c r="A387" i="122"/>
  <c r="A388" i="122"/>
  <c r="B388" i="122" s="1"/>
  <c r="A389" i="122"/>
  <c r="A390" i="122"/>
  <c r="A391" i="122"/>
  <c r="A392" i="122"/>
  <c r="B392" i="122" s="1"/>
  <c r="A393" i="122"/>
  <c r="A394" i="122"/>
  <c r="A395" i="122"/>
  <c r="A396" i="122"/>
  <c r="B396" i="122" s="1"/>
  <c r="A397" i="122"/>
  <c r="A398" i="122"/>
  <c r="A399" i="122"/>
  <c r="A400" i="122"/>
  <c r="B400" i="122" s="1"/>
  <c r="A401" i="122"/>
  <c r="A402" i="122"/>
  <c r="A403" i="122"/>
  <c r="A404" i="122"/>
  <c r="B404" i="122" s="1"/>
  <c r="A405" i="122"/>
  <c r="A406" i="122"/>
  <c r="A407" i="122"/>
  <c r="A408" i="122"/>
  <c r="B408" i="122" s="1"/>
  <c r="A409" i="122"/>
  <c r="A410" i="122"/>
  <c r="A411" i="122"/>
  <c r="A412" i="122"/>
  <c r="B412" i="122" s="1"/>
  <c r="A413" i="122"/>
  <c r="A414" i="122"/>
  <c r="A415" i="122"/>
  <c r="A416" i="122"/>
  <c r="B416" i="122" s="1"/>
  <c r="A417" i="122"/>
  <c r="A418" i="122"/>
  <c r="A419" i="122"/>
  <c r="A420" i="122"/>
  <c r="B420" i="122" s="1"/>
  <c r="A421" i="122"/>
  <c r="A422" i="122"/>
  <c r="A423" i="122"/>
  <c r="A424" i="122"/>
  <c r="B424" i="122" s="1"/>
  <c r="A425" i="122"/>
  <c r="A426" i="122"/>
  <c r="A427" i="122"/>
  <c r="A428" i="122"/>
  <c r="B428" i="122" s="1"/>
  <c r="A429" i="122"/>
  <c r="A430" i="122"/>
  <c r="A431" i="122"/>
  <c r="A432" i="122"/>
  <c r="B432" i="122" s="1"/>
  <c r="A433" i="122"/>
  <c r="A434" i="122"/>
  <c r="A435" i="122"/>
  <c r="A436" i="122"/>
  <c r="B436" i="122" s="1"/>
  <c r="A437" i="122"/>
  <c r="A438" i="122"/>
  <c r="A439" i="122"/>
  <c r="A440" i="122"/>
  <c r="B440" i="122" s="1"/>
  <c r="A441" i="122"/>
  <c r="A442" i="122"/>
  <c r="A443" i="122"/>
  <c r="A444" i="122"/>
  <c r="B444" i="122" s="1"/>
  <c r="A445" i="122"/>
  <c r="A446" i="122"/>
  <c r="A447" i="122"/>
  <c r="A448" i="122"/>
  <c r="B448" i="122" s="1"/>
  <c r="A449" i="122"/>
  <c r="A450" i="122"/>
  <c r="A451" i="122"/>
  <c r="A452" i="122"/>
  <c r="B452" i="122" s="1"/>
  <c r="A453" i="122"/>
  <c r="A454" i="122"/>
  <c r="A455" i="122"/>
  <c r="A456" i="122"/>
  <c r="B456" i="122" s="1"/>
  <c r="A457" i="122"/>
  <c r="A458" i="122"/>
  <c r="A459" i="122"/>
  <c r="A460" i="122"/>
  <c r="B460" i="122" s="1"/>
  <c r="A461" i="122"/>
  <c r="A462" i="122"/>
  <c r="A463" i="122"/>
  <c r="A464" i="122"/>
  <c r="B464" i="122" s="1"/>
  <c r="A465" i="122"/>
  <c r="A466" i="122"/>
  <c r="A467" i="122"/>
  <c r="A468" i="122"/>
  <c r="B468" i="122" s="1"/>
  <c r="A469" i="122"/>
  <c r="A470" i="122"/>
  <c r="A471" i="122"/>
  <c r="A472" i="122"/>
  <c r="B472" i="122" s="1"/>
  <c r="A473" i="122"/>
  <c r="A474" i="122"/>
  <c r="A475" i="122"/>
  <c r="A476" i="122"/>
  <c r="B476" i="122" s="1"/>
  <c r="A477" i="122"/>
  <c r="A478" i="122"/>
  <c r="A479" i="122"/>
  <c r="A480" i="122"/>
  <c r="B480" i="122" s="1"/>
  <c r="A481" i="122"/>
  <c r="A482" i="122"/>
  <c r="A483" i="122"/>
  <c r="A484" i="122"/>
  <c r="B484" i="122" s="1"/>
  <c r="A485" i="122"/>
  <c r="A486" i="122"/>
  <c r="A487" i="122"/>
  <c r="A488" i="122"/>
  <c r="B488" i="122" s="1"/>
  <c r="A489" i="122"/>
  <c r="A490" i="122"/>
  <c r="A491" i="122"/>
  <c r="A492" i="122"/>
  <c r="B492" i="122" s="1"/>
  <c r="A493" i="122"/>
  <c r="A494" i="122"/>
  <c r="A495" i="122"/>
  <c r="A496" i="122"/>
  <c r="B496" i="122" s="1"/>
  <c r="H2" i="52"/>
  <c r="F2" i="70"/>
  <c r="F3" i="70"/>
  <c r="F4" i="70"/>
  <c r="F5" i="70"/>
  <c r="F6" i="70"/>
  <c r="F7" i="70"/>
  <c r="F8" i="70"/>
  <c r="F9" i="70"/>
  <c r="F10" i="70"/>
  <c r="F11" i="70"/>
  <c r="F12" i="70"/>
  <c r="F13" i="70"/>
  <c r="F14" i="70"/>
  <c r="F15" i="70"/>
  <c r="F16" i="70"/>
  <c r="F17" i="70"/>
  <c r="F18" i="70"/>
  <c r="F19" i="70"/>
  <c r="F20" i="70"/>
  <c r="F21" i="70"/>
  <c r="F22" i="70"/>
  <c r="F23" i="70"/>
  <c r="F24" i="70"/>
  <c r="F26" i="70"/>
  <c r="F27" i="70"/>
  <c r="F28" i="70"/>
  <c r="F29" i="70"/>
  <c r="F30" i="70"/>
  <c r="F31" i="70"/>
  <c r="F32" i="70"/>
  <c r="F33" i="70"/>
  <c r="F34" i="70"/>
  <c r="X2" i="69"/>
  <c r="X3" i="69"/>
  <c r="X2" i="60"/>
  <c r="L2" i="57"/>
  <c r="L3" i="57"/>
  <c r="G2" i="118"/>
  <c r="G3" i="118"/>
  <c r="K11" i="120"/>
  <c r="K10" i="120"/>
  <c r="K9" i="120"/>
  <c r="K8" i="120"/>
  <c r="K7" i="120"/>
  <c r="K6" i="120"/>
  <c r="K5" i="120"/>
  <c r="K4" i="120"/>
  <c r="K3" i="120"/>
  <c r="K2" i="120"/>
  <c r="F2" i="71"/>
  <c r="F3" i="71"/>
  <c r="F2" i="74"/>
  <c r="H2" i="56"/>
  <c r="H3" i="56"/>
  <c r="H4" i="56"/>
  <c r="Y2" i="116"/>
  <c r="Y3" i="116"/>
  <c r="Y4" i="116"/>
  <c r="Y5" i="116"/>
  <c r="Y6" i="116"/>
  <c r="Y7" i="116"/>
  <c r="Y8" i="116"/>
  <c r="Y9" i="116"/>
  <c r="Y10" i="116"/>
  <c r="Y11" i="116"/>
  <c r="Y12" i="116"/>
  <c r="Y13" i="116"/>
  <c r="Y14" i="116"/>
  <c r="Y15" i="116"/>
  <c r="Y16" i="116"/>
  <c r="Y17" i="116"/>
  <c r="Y18" i="116"/>
  <c r="M2" i="59"/>
  <c r="M3" i="59"/>
  <c r="M4" i="59"/>
  <c r="M5" i="59"/>
  <c r="M6" i="59"/>
  <c r="M7" i="59"/>
  <c r="M8" i="59"/>
  <c r="M9" i="59"/>
  <c r="M10" i="59"/>
  <c r="M12" i="59"/>
  <c r="M13" i="59"/>
  <c r="M14" i="59"/>
  <c r="M15" i="59"/>
  <c r="M16" i="59"/>
  <c r="M17" i="59"/>
  <c r="M18" i="59"/>
  <c r="M19" i="59"/>
  <c r="M20" i="59"/>
  <c r="M21" i="59"/>
  <c r="M22" i="59"/>
  <c r="M23" i="59"/>
  <c r="M24" i="59"/>
  <c r="M25" i="59"/>
  <c r="M26" i="59"/>
  <c r="M27" i="59"/>
  <c r="M28" i="59"/>
  <c r="M29" i="59"/>
  <c r="M30" i="59"/>
  <c r="M31" i="59"/>
  <c r="M32" i="59"/>
  <c r="M33" i="59"/>
  <c r="M34" i="59"/>
  <c r="M35" i="59"/>
  <c r="J2" i="54"/>
  <c r="J3" i="54"/>
  <c r="J4" i="54"/>
  <c r="J5" i="54"/>
  <c r="J6" i="54"/>
  <c r="J7" i="54"/>
  <c r="J8" i="54"/>
  <c r="J9" i="54"/>
  <c r="J10" i="54"/>
  <c r="J11" i="54"/>
  <c r="J12" i="54"/>
  <c r="J13" i="54"/>
  <c r="J14" i="54"/>
  <c r="J15" i="54"/>
  <c r="J16" i="54"/>
  <c r="J17" i="54"/>
  <c r="J18" i="54"/>
  <c r="J19" i="54"/>
  <c r="J20" i="54"/>
  <c r="J21" i="54"/>
  <c r="J22" i="54"/>
  <c r="J23" i="54"/>
  <c r="J24" i="54"/>
  <c r="J25" i="54"/>
  <c r="J26" i="54"/>
  <c r="J27" i="54"/>
  <c r="J28" i="54"/>
  <c r="J29" i="54"/>
  <c r="J30" i="54"/>
  <c r="J31" i="54"/>
  <c r="J32" i="54"/>
  <c r="J33" i="54"/>
  <c r="J34" i="54"/>
  <c r="L2" i="122"/>
  <c r="L3" i="122"/>
  <c r="L4" i="122"/>
  <c r="L5" i="122"/>
  <c r="L6" i="122"/>
  <c r="L7" i="122"/>
  <c r="L8" i="122"/>
  <c r="L9" i="122"/>
  <c r="L10" i="122"/>
  <c r="L11" i="122"/>
  <c r="L12" i="122"/>
  <c r="L13" i="122"/>
  <c r="L14" i="122"/>
  <c r="L15" i="122"/>
  <c r="L16" i="122"/>
  <c r="L17" i="122"/>
  <c r="L18" i="122"/>
  <c r="L19" i="122"/>
  <c r="L20" i="122"/>
  <c r="L21" i="122"/>
  <c r="L22" i="122"/>
  <c r="L23" i="122"/>
  <c r="L24" i="122"/>
  <c r="L25" i="122"/>
  <c r="L26" i="122"/>
  <c r="L27" i="122"/>
  <c r="L28" i="122"/>
  <c r="L29" i="122"/>
  <c r="L30" i="122"/>
  <c r="L31" i="122"/>
  <c r="L32" i="122"/>
  <c r="L33" i="122"/>
  <c r="L34" i="122"/>
  <c r="L35" i="122"/>
  <c r="L36" i="122"/>
  <c r="L37" i="122"/>
  <c r="L38" i="122"/>
  <c r="L39" i="122"/>
  <c r="L40" i="122"/>
  <c r="L41" i="122"/>
  <c r="L42" i="122"/>
  <c r="L43" i="122"/>
  <c r="L44" i="122"/>
  <c r="L45" i="122"/>
  <c r="L46" i="122"/>
  <c r="L47" i="122"/>
  <c r="L48" i="122"/>
  <c r="L49" i="122"/>
  <c r="L50" i="122"/>
  <c r="L51" i="122"/>
  <c r="L52" i="122"/>
  <c r="L53" i="122"/>
  <c r="L54" i="122"/>
  <c r="L55" i="122"/>
  <c r="L56" i="122"/>
  <c r="L57" i="122"/>
  <c r="L58" i="122"/>
  <c r="L59" i="122"/>
  <c r="L60" i="122"/>
  <c r="L61" i="122"/>
  <c r="L62" i="122"/>
  <c r="L63" i="122"/>
  <c r="L64" i="122"/>
  <c r="L65" i="122"/>
  <c r="L66" i="122"/>
  <c r="L67" i="122"/>
  <c r="L68" i="122"/>
  <c r="L69" i="122"/>
  <c r="L70" i="122"/>
  <c r="L71" i="122"/>
  <c r="L72" i="122"/>
  <c r="L73" i="122"/>
  <c r="L74" i="122"/>
  <c r="L75" i="122"/>
  <c r="L76" i="122"/>
  <c r="L77" i="122"/>
  <c r="L78" i="122"/>
  <c r="L79" i="122"/>
  <c r="L80" i="122"/>
  <c r="L81" i="122"/>
  <c r="L82" i="122"/>
  <c r="L83" i="122"/>
  <c r="L84" i="122"/>
  <c r="L85" i="122"/>
  <c r="L86" i="122"/>
  <c r="L87" i="122"/>
  <c r="L88" i="122"/>
  <c r="L89" i="122"/>
  <c r="L90" i="122"/>
  <c r="L91" i="122"/>
  <c r="L92" i="122"/>
  <c r="L93" i="122"/>
  <c r="L94" i="122"/>
  <c r="L95" i="122"/>
  <c r="L96" i="122"/>
  <c r="L97" i="122"/>
  <c r="L98" i="122"/>
  <c r="L99" i="122"/>
  <c r="L100" i="122"/>
  <c r="L101" i="122"/>
  <c r="L102" i="122"/>
  <c r="L103" i="122"/>
  <c r="L104" i="122"/>
  <c r="L105" i="122"/>
  <c r="L106" i="122"/>
  <c r="L107" i="122"/>
  <c r="L108" i="122"/>
  <c r="L109" i="122"/>
  <c r="L110" i="122"/>
  <c r="L111" i="122"/>
  <c r="L112" i="122"/>
  <c r="L113" i="122"/>
  <c r="L114" i="122"/>
  <c r="L115" i="122"/>
  <c r="L116" i="122"/>
  <c r="L117" i="122"/>
  <c r="L118" i="122"/>
  <c r="L119" i="122"/>
  <c r="L120" i="122"/>
  <c r="L121" i="122"/>
  <c r="L122" i="122"/>
  <c r="L131" i="122"/>
  <c r="L132" i="122"/>
  <c r="L133" i="122"/>
  <c r="L134" i="122"/>
  <c r="L135" i="122"/>
  <c r="L136" i="122"/>
  <c r="L137" i="122"/>
  <c r="L138" i="122"/>
  <c r="L139" i="122"/>
  <c r="L140" i="122"/>
  <c r="L141" i="122"/>
  <c r="L142" i="122"/>
  <c r="L143" i="122"/>
  <c r="L144" i="122"/>
  <c r="L145" i="122"/>
  <c r="L146" i="122"/>
  <c r="L147" i="122"/>
  <c r="L148" i="122"/>
  <c r="L149" i="122"/>
  <c r="L150" i="122"/>
  <c r="L151" i="122"/>
  <c r="L152" i="122"/>
  <c r="L153" i="122"/>
  <c r="L154" i="122"/>
  <c r="L155" i="122"/>
  <c r="L156" i="122"/>
  <c r="L157" i="122"/>
  <c r="L158" i="122"/>
  <c r="L159" i="122"/>
  <c r="L160" i="122"/>
  <c r="L161" i="122"/>
  <c r="L162" i="122"/>
  <c r="L163" i="122"/>
  <c r="L164" i="122"/>
  <c r="L165" i="122"/>
  <c r="L166" i="122"/>
  <c r="L167" i="122"/>
  <c r="L168" i="122"/>
  <c r="L169" i="122"/>
  <c r="L170" i="122"/>
  <c r="L171" i="122"/>
  <c r="L172" i="122"/>
  <c r="L173" i="122"/>
  <c r="L174" i="122"/>
  <c r="L175" i="122"/>
  <c r="L176" i="122"/>
  <c r="L177" i="122"/>
  <c r="L178" i="122"/>
  <c r="L179" i="122"/>
  <c r="L180" i="122"/>
  <c r="L181" i="122"/>
  <c r="L182" i="122"/>
  <c r="L183" i="122"/>
  <c r="L184" i="122"/>
  <c r="L185" i="122"/>
  <c r="L186" i="122"/>
  <c r="L187" i="122"/>
  <c r="L188" i="122"/>
  <c r="L189" i="122"/>
  <c r="L190" i="122"/>
  <c r="L191" i="122"/>
  <c r="L192" i="122"/>
  <c r="L193" i="122"/>
  <c r="L194" i="122"/>
  <c r="L195" i="122"/>
  <c r="L196" i="122"/>
  <c r="L197" i="122"/>
  <c r="L198" i="122"/>
  <c r="L199" i="122"/>
  <c r="L200" i="122"/>
  <c r="L201" i="122"/>
  <c r="L202" i="122"/>
  <c r="L203" i="122"/>
  <c r="L204" i="122"/>
  <c r="L205" i="122"/>
  <c r="L206" i="122"/>
  <c r="L207" i="122"/>
  <c r="L208" i="122"/>
  <c r="L209" i="122"/>
  <c r="L210" i="122"/>
  <c r="L211" i="122"/>
  <c r="L212" i="122"/>
  <c r="L213" i="122"/>
  <c r="L214" i="122"/>
  <c r="L215" i="122"/>
  <c r="L216" i="122"/>
  <c r="L217" i="122"/>
  <c r="L218" i="122"/>
  <c r="L219" i="122"/>
  <c r="L220" i="122"/>
  <c r="L221" i="122"/>
  <c r="L222" i="122"/>
  <c r="L223" i="122"/>
  <c r="L224" i="122"/>
  <c r="L225" i="122"/>
  <c r="L226" i="122"/>
  <c r="L227" i="122"/>
  <c r="L228" i="122"/>
  <c r="L229" i="122"/>
  <c r="L230" i="122"/>
  <c r="L231" i="122"/>
  <c r="L232" i="122"/>
  <c r="L233" i="122"/>
  <c r="L234" i="122"/>
  <c r="L235" i="122"/>
  <c r="L236" i="122"/>
  <c r="L237" i="122"/>
  <c r="L238" i="122"/>
  <c r="L239" i="122"/>
  <c r="L240" i="122"/>
  <c r="L241" i="122"/>
  <c r="L242" i="122"/>
  <c r="L243" i="122"/>
  <c r="L244" i="122"/>
  <c r="L245" i="122"/>
  <c r="L246" i="122"/>
  <c r="L247" i="122"/>
  <c r="L248" i="122"/>
  <c r="L249" i="122"/>
  <c r="L250" i="122"/>
  <c r="L251" i="122"/>
  <c r="L252" i="122"/>
  <c r="L253" i="122"/>
  <c r="L254" i="122"/>
  <c r="L255" i="122"/>
  <c r="L256" i="122"/>
  <c r="L257" i="122"/>
  <c r="L258" i="122"/>
  <c r="L259" i="122"/>
  <c r="L260" i="122"/>
  <c r="L261" i="122"/>
  <c r="L262" i="122"/>
  <c r="L263" i="122"/>
  <c r="L264" i="122"/>
  <c r="L265" i="122"/>
  <c r="L266" i="122"/>
  <c r="L267" i="122"/>
  <c r="L268" i="122"/>
  <c r="L269" i="122"/>
  <c r="L270" i="122"/>
  <c r="L271" i="122"/>
  <c r="L272" i="122"/>
  <c r="L273" i="122"/>
  <c r="L274" i="122"/>
  <c r="L275" i="122"/>
  <c r="L276" i="122"/>
  <c r="L277" i="122"/>
  <c r="L278" i="122"/>
  <c r="L279" i="122"/>
  <c r="L280" i="122"/>
  <c r="L281" i="122"/>
  <c r="L282" i="122"/>
  <c r="L283" i="122"/>
  <c r="L284" i="122"/>
  <c r="L285" i="122"/>
  <c r="L286" i="122"/>
  <c r="L287" i="122"/>
  <c r="L288" i="122"/>
  <c r="L289" i="122"/>
  <c r="L290" i="122"/>
  <c r="L291" i="122"/>
  <c r="L292" i="122"/>
  <c r="L293" i="122"/>
  <c r="L294" i="122"/>
  <c r="L295" i="122"/>
  <c r="L296" i="122"/>
  <c r="L297" i="122"/>
  <c r="L298" i="122"/>
  <c r="L299" i="122"/>
  <c r="L300" i="122"/>
  <c r="L301" i="122"/>
  <c r="L302" i="122"/>
  <c r="L303" i="122"/>
  <c r="L304" i="122"/>
  <c r="L305" i="122"/>
  <c r="L306" i="122"/>
  <c r="L307" i="122"/>
  <c r="L308" i="122"/>
  <c r="L309" i="122"/>
  <c r="L310" i="122"/>
  <c r="L311" i="122"/>
  <c r="L312" i="122"/>
  <c r="L313" i="122"/>
  <c r="L314" i="122"/>
  <c r="L315" i="122"/>
  <c r="L316" i="122"/>
  <c r="L317" i="122"/>
  <c r="L318" i="122"/>
  <c r="L319" i="122"/>
  <c r="L320" i="122"/>
  <c r="L321" i="122"/>
  <c r="L322" i="122"/>
  <c r="L323" i="122"/>
  <c r="L324" i="122"/>
  <c r="L325" i="122"/>
  <c r="L326" i="122"/>
  <c r="L327" i="122"/>
  <c r="L328" i="122"/>
  <c r="L329" i="122"/>
  <c r="L330" i="122"/>
  <c r="L331" i="122"/>
  <c r="L332" i="122"/>
  <c r="L333" i="122"/>
  <c r="L334" i="122"/>
  <c r="L335" i="122"/>
  <c r="L336" i="122"/>
  <c r="L337" i="122"/>
  <c r="L338" i="122"/>
  <c r="L339" i="122"/>
  <c r="L340" i="122"/>
  <c r="L341" i="122"/>
  <c r="L342" i="122"/>
  <c r="L343" i="122"/>
  <c r="L344" i="122"/>
  <c r="L345" i="122"/>
  <c r="L346" i="122"/>
  <c r="L347" i="122"/>
  <c r="L348" i="122"/>
  <c r="L349" i="122"/>
  <c r="L350" i="122"/>
  <c r="L351" i="122"/>
  <c r="L352" i="122"/>
  <c r="L353" i="122"/>
  <c r="L354" i="122"/>
  <c r="L355" i="122"/>
  <c r="L356" i="122"/>
  <c r="L357" i="122"/>
  <c r="L358" i="122"/>
  <c r="L359" i="122"/>
  <c r="L360" i="122"/>
  <c r="L361" i="122"/>
  <c r="L362" i="122"/>
  <c r="L363" i="122"/>
  <c r="L364" i="122"/>
  <c r="L365" i="122"/>
  <c r="L366" i="122"/>
  <c r="L367" i="122"/>
  <c r="L368" i="122"/>
  <c r="L369" i="122"/>
  <c r="L370" i="122"/>
  <c r="L371" i="122"/>
  <c r="L372" i="122"/>
  <c r="L373" i="122"/>
  <c r="L374" i="122"/>
  <c r="L375" i="122"/>
  <c r="L376" i="122"/>
  <c r="L377" i="122"/>
  <c r="L378" i="122"/>
  <c r="L379" i="122"/>
  <c r="L380" i="122"/>
  <c r="L381" i="122"/>
  <c r="L382" i="122"/>
  <c r="L383" i="122"/>
  <c r="L384" i="122"/>
  <c r="L385" i="122"/>
  <c r="L386" i="122"/>
  <c r="L387" i="122"/>
  <c r="L388" i="122"/>
  <c r="L389" i="122"/>
  <c r="L390" i="122"/>
  <c r="L391" i="122"/>
  <c r="L392" i="122"/>
  <c r="L393" i="122"/>
  <c r="L394" i="122"/>
  <c r="L395" i="122"/>
  <c r="L396" i="122"/>
  <c r="L397" i="122"/>
  <c r="L398" i="122"/>
  <c r="L399" i="122"/>
  <c r="L400" i="122"/>
  <c r="L401" i="122"/>
  <c r="L402" i="122"/>
  <c r="L403" i="122"/>
  <c r="L404" i="122"/>
  <c r="L405" i="122"/>
  <c r="L406" i="122"/>
  <c r="L407" i="122"/>
  <c r="L408" i="122"/>
  <c r="L409" i="122"/>
  <c r="L410" i="122"/>
  <c r="L411" i="122"/>
  <c r="L412" i="122"/>
  <c r="L413" i="122"/>
  <c r="L414" i="122"/>
  <c r="L415" i="122"/>
  <c r="L416" i="122"/>
  <c r="L417" i="122"/>
  <c r="L418" i="122"/>
  <c r="L419" i="122"/>
  <c r="L420" i="122"/>
  <c r="L421" i="122"/>
  <c r="L422" i="122"/>
  <c r="L423" i="122"/>
  <c r="L424" i="122"/>
  <c r="L425" i="122"/>
  <c r="L426" i="122"/>
  <c r="L427" i="122"/>
  <c r="L428" i="122"/>
  <c r="L429" i="122"/>
  <c r="L430" i="122"/>
  <c r="L431" i="122"/>
  <c r="L432" i="122"/>
  <c r="L433" i="122"/>
  <c r="L434" i="122"/>
  <c r="L435" i="122"/>
  <c r="L436" i="122"/>
  <c r="L437" i="122"/>
  <c r="L438" i="122"/>
  <c r="L439" i="122"/>
  <c r="L440" i="122"/>
  <c r="L441" i="122"/>
  <c r="L442" i="122"/>
  <c r="L443" i="122"/>
  <c r="L444" i="122"/>
  <c r="L445" i="122"/>
  <c r="L446" i="122"/>
  <c r="L447" i="122"/>
  <c r="L448" i="122"/>
  <c r="L449" i="122"/>
  <c r="L450" i="122"/>
  <c r="L451" i="122"/>
  <c r="L452" i="122"/>
  <c r="L453" i="122"/>
  <c r="L454" i="122"/>
  <c r="L455" i="122"/>
  <c r="L456" i="122"/>
  <c r="L457" i="122"/>
  <c r="L458" i="122"/>
  <c r="L459" i="122"/>
  <c r="L460" i="122"/>
  <c r="L461" i="122"/>
  <c r="L462" i="122"/>
  <c r="L463" i="122"/>
  <c r="L464" i="122"/>
  <c r="L465" i="122"/>
  <c r="L466" i="122"/>
  <c r="L467" i="122"/>
  <c r="L468" i="122"/>
  <c r="L469" i="122"/>
  <c r="L470" i="122"/>
  <c r="L471" i="122"/>
  <c r="L472" i="122"/>
  <c r="L473" i="122"/>
  <c r="L474" i="122"/>
  <c r="L475" i="122"/>
  <c r="L476" i="122"/>
  <c r="L477" i="122"/>
  <c r="L478" i="122"/>
  <c r="L479" i="122"/>
  <c r="L480" i="122"/>
  <c r="L481" i="122"/>
  <c r="L482" i="122"/>
  <c r="L483" i="122"/>
  <c r="L484" i="122"/>
  <c r="L485" i="122"/>
  <c r="L486" i="122"/>
  <c r="L487" i="122"/>
  <c r="L488" i="122"/>
  <c r="L489" i="122"/>
  <c r="L490" i="122"/>
  <c r="L491" i="122"/>
  <c r="L492" i="122"/>
  <c r="L493" i="122"/>
  <c r="L494" i="122"/>
  <c r="L495" i="122"/>
  <c r="L496" i="122"/>
  <c r="H3" i="52"/>
  <c r="H4" i="52"/>
  <c r="H5" i="52"/>
  <c r="H6" i="52"/>
  <c r="H7" i="52"/>
  <c r="H8" i="52"/>
  <c r="H9" i="52"/>
  <c r="H10" i="52"/>
  <c r="H11" i="52"/>
  <c r="H12" i="52"/>
  <c r="H13" i="52"/>
  <c r="H14" i="52"/>
  <c r="H15" i="52"/>
  <c r="H16" i="52"/>
  <c r="H17" i="52"/>
  <c r="H18" i="52"/>
  <c r="H19" i="52"/>
  <c r="H20" i="52"/>
  <c r="H21" i="52"/>
  <c r="H22" i="52"/>
  <c r="H23" i="52"/>
  <c r="C2" i="91"/>
  <c r="C3" i="91"/>
  <c r="C4" i="91"/>
  <c r="C5" i="91"/>
  <c r="C6" i="91"/>
  <c r="C7" i="91"/>
  <c r="C8" i="91"/>
  <c r="C9" i="91"/>
  <c r="C10" i="91"/>
  <c r="C11" i="91"/>
  <c r="C12" i="91"/>
  <c r="C13" i="91"/>
  <c r="C14" i="91"/>
  <c r="C15" i="91"/>
  <c r="C16" i="91"/>
  <c r="C17" i="91"/>
  <c r="C18" i="91"/>
  <c r="C19" i="91"/>
  <c r="C20" i="91"/>
  <c r="D3" i="119"/>
  <c r="G2" i="60"/>
  <c r="C2" i="122"/>
  <c r="C3" i="122"/>
  <c r="C4" i="122"/>
  <c r="C5" i="122"/>
  <c r="C6" i="122"/>
  <c r="C7" i="122"/>
  <c r="C8" i="122"/>
  <c r="C9" i="122"/>
  <c r="C10" i="122"/>
  <c r="C11" i="122"/>
  <c r="C12" i="122"/>
  <c r="C13" i="122"/>
  <c r="C14" i="122"/>
  <c r="C15" i="122"/>
  <c r="C16" i="122"/>
  <c r="C17" i="122"/>
  <c r="C18" i="122"/>
  <c r="C19" i="122"/>
  <c r="C20" i="122"/>
  <c r="C21" i="122"/>
  <c r="C22" i="122"/>
  <c r="C23" i="122"/>
  <c r="C24" i="122"/>
  <c r="C25" i="122"/>
  <c r="C26" i="122"/>
  <c r="C27" i="122"/>
  <c r="C28" i="122"/>
  <c r="C29" i="122"/>
  <c r="C30" i="122"/>
  <c r="C31" i="122"/>
  <c r="C32" i="122"/>
  <c r="C33" i="122"/>
  <c r="C34" i="122"/>
  <c r="C35" i="122"/>
  <c r="C36" i="122"/>
  <c r="C37" i="122"/>
  <c r="C38" i="122"/>
  <c r="C39" i="122"/>
  <c r="C40" i="122"/>
  <c r="C41" i="122"/>
  <c r="C42" i="122"/>
  <c r="C43" i="122"/>
  <c r="C44" i="122"/>
  <c r="C45" i="122"/>
  <c r="C46" i="122"/>
  <c r="C47" i="122"/>
  <c r="C48" i="122"/>
  <c r="C49" i="122"/>
  <c r="C50" i="122"/>
  <c r="C51" i="122"/>
  <c r="C52" i="122"/>
  <c r="C53" i="122"/>
  <c r="C54" i="122"/>
  <c r="C55" i="122"/>
  <c r="C56" i="122"/>
  <c r="C57" i="122"/>
  <c r="C58" i="122"/>
  <c r="C59" i="122"/>
  <c r="C60" i="122"/>
  <c r="C61" i="122"/>
  <c r="C62" i="122"/>
  <c r="C63" i="122"/>
  <c r="C64" i="122"/>
  <c r="C65" i="122"/>
  <c r="C66" i="122"/>
  <c r="C67" i="122"/>
  <c r="C68" i="122"/>
  <c r="C69" i="122"/>
  <c r="C70" i="122"/>
  <c r="C71" i="122"/>
  <c r="C72" i="122"/>
  <c r="C73" i="122"/>
  <c r="C74" i="122"/>
  <c r="C75" i="122"/>
  <c r="C76" i="122"/>
  <c r="C77" i="122"/>
  <c r="C78" i="122"/>
  <c r="C79" i="122"/>
  <c r="C80" i="122"/>
  <c r="C81" i="122"/>
  <c r="C82" i="122"/>
  <c r="C83" i="122"/>
  <c r="C84" i="122"/>
  <c r="C85" i="122"/>
  <c r="C86" i="122"/>
  <c r="C87" i="122"/>
  <c r="C88" i="122"/>
  <c r="C89" i="122"/>
  <c r="C90" i="122"/>
  <c r="C91" i="122"/>
  <c r="C92" i="122"/>
  <c r="C93" i="122"/>
  <c r="C94" i="122"/>
  <c r="C95" i="122"/>
  <c r="C96" i="122"/>
  <c r="C97" i="122"/>
  <c r="C98" i="122"/>
  <c r="C99" i="122"/>
  <c r="C100" i="122"/>
  <c r="C101" i="122"/>
  <c r="C102" i="122"/>
  <c r="C103" i="122"/>
  <c r="C104" i="122"/>
  <c r="C105" i="122"/>
  <c r="C106" i="122"/>
  <c r="C107" i="122"/>
  <c r="C108" i="122"/>
  <c r="C109" i="122"/>
  <c r="C110" i="122"/>
  <c r="C111" i="122"/>
  <c r="C112" i="122"/>
  <c r="C113" i="122"/>
  <c r="C114" i="122"/>
  <c r="C115" i="122"/>
  <c r="C116" i="122"/>
  <c r="C117" i="122"/>
  <c r="C118" i="122"/>
  <c r="C119" i="122"/>
  <c r="C120" i="122"/>
  <c r="C121" i="122"/>
  <c r="C122" i="122"/>
  <c r="C131" i="122"/>
  <c r="C132" i="122"/>
  <c r="C133" i="122"/>
  <c r="C134" i="122"/>
  <c r="C135" i="122"/>
  <c r="C136" i="122"/>
  <c r="C137" i="122"/>
  <c r="C138" i="122"/>
  <c r="C139" i="122"/>
  <c r="C140" i="122"/>
  <c r="C141" i="122"/>
  <c r="C142" i="122"/>
  <c r="C143" i="122"/>
  <c r="C144" i="122"/>
  <c r="C145" i="122"/>
  <c r="C146" i="122"/>
  <c r="C147" i="122"/>
  <c r="C148" i="122"/>
  <c r="C149" i="122"/>
  <c r="C150" i="122"/>
  <c r="C151" i="122"/>
  <c r="C152" i="122"/>
  <c r="C153" i="122"/>
  <c r="C154" i="122"/>
  <c r="C155" i="122"/>
  <c r="C156" i="122"/>
  <c r="C157" i="122"/>
  <c r="C158" i="122"/>
  <c r="C159" i="122"/>
  <c r="C160" i="122"/>
  <c r="C161" i="122"/>
  <c r="C162" i="122"/>
  <c r="C163" i="122"/>
  <c r="C164" i="122"/>
  <c r="C165" i="122"/>
  <c r="C166" i="122"/>
  <c r="C167" i="122"/>
  <c r="C168" i="122"/>
  <c r="C169" i="122"/>
  <c r="C170" i="122"/>
  <c r="C171" i="122"/>
  <c r="C172" i="122"/>
  <c r="C173" i="122"/>
  <c r="C174" i="122"/>
  <c r="C175" i="122"/>
  <c r="C176" i="122"/>
  <c r="C177" i="122"/>
  <c r="C178" i="122"/>
  <c r="C179" i="122"/>
  <c r="C180" i="122"/>
  <c r="C181" i="122"/>
  <c r="C182" i="122"/>
  <c r="C183" i="122"/>
  <c r="C184" i="122"/>
  <c r="C185" i="122"/>
  <c r="C186" i="122"/>
  <c r="C187" i="122"/>
  <c r="C188" i="122"/>
  <c r="C189" i="122"/>
  <c r="C190" i="122"/>
  <c r="C191" i="122"/>
  <c r="C192" i="122"/>
  <c r="C193" i="122"/>
  <c r="C194" i="122"/>
  <c r="C195" i="122"/>
  <c r="C196" i="122"/>
  <c r="C197" i="122"/>
  <c r="C198" i="122"/>
  <c r="C199" i="122"/>
  <c r="C200" i="122"/>
  <c r="C201" i="122"/>
  <c r="C202" i="122"/>
  <c r="C203" i="122"/>
  <c r="C204" i="122"/>
  <c r="C205" i="122"/>
  <c r="C206" i="122"/>
  <c r="C207" i="122"/>
  <c r="C208" i="122"/>
  <c r="C209" i="122"/>
  <c r="C210" i="122"/>
  <c r="C211" i="122"/>
  <c r="C212" i="122"/>
  <c r="C213" i="122"/>
  <c r="C214" i="122"/>
  <c r="C215" i="122"/>
  <c r="C216" i="122"/>
  <c r="C217" i="122"/>
  <c r="C218" i="122"/>
  <c r="C219" i="122"/>
  <c r="C220" i="122"/>
  <c r="C221" i="122"/>
  <c r="C222" i="122"/>
  <c r="C223" i="122"/>
  <c r="C224" i="122"/>
  <c r="C225" i="122"/>
  <c r="C226" i="122"/>
  <c r="C227" i="122"/>
  <c r="C228" i="122"/>
  <c r="C229" i="122"/>
  <c r="C230" i="122"/>
  <c r="C231" i="122"/>
  <c r="C232" i="122"/>
  <c r="C233" i="122"/>
  <c r="C234" i="122"/>
  <c r="C235" i="122"/>
  <c r="C236" i="122"/>
  <c r="C237" i="122"/>
  <c r="C238" i="122"/>
  <c r="C239" i="122"/>
  <c r="C240" i="122"/>
  <c r="C241" i="122"/>
  <c r="C242" i="122"/>
  <c r="C243" i="122"/>
  <c r="C244" i="122"/>
  <c r="C245" i="122"/>
  <c r="C246" i="122"/>
  <c r="C247" i="122"/>
  <c r="C248" i="122"/>
  <c r="C249" i="122"/>
  <c r="C250" i="122"/>
  <c r="C251" i="122"/>
  <c r="C252" i="122"/>
  <c r="C253" i="122"/>
  <c r="C254" i="122"/>
  <c r="C255" i="122"/>
  <c r="C256" i="122"/>
  <c r="C257" i="122"/>
  <c r="C258" i="122"/>
  <c r="C259" i="122"/>
  <c r="C260" i="122"/>
  <c r="C261" i="122"/>
  <c r="C262" i="122"/>
  <c r="C263" i="122"/>
  <c r="C264" i="122"/>
  <c r="C265" i="122"/>
  <c r="C266" i="122"/>
  <c r="C267" i="122"/>
  <c r="C268" i="122"/>
  <c r="C269" i="122"/>
  <c r="C270" i="122"/>
  <c r="C271" i="122"/>
  <c r="C272" i="122"/>
  <c r="C273" i="122"/>
  <c r="C274" i="122"/>
  <c r="C275" i="122"/>
  <c r="C276" i="122"/>
  <c r="C277" i="122"/>
  <c r="C278" i="122"/>
  <c r="C279" i="122"/>
  <c r="C280" i="122"/>
  <c r="C281" i="122"/>
  <c r="C282" i="122"/>
  <c r="C283" i="122"/>
  <c r="C284" i="122"/>
  <c r="C285" i="122"/>
  <c r="C286" i="122"/>
  <c r="C287" i="122"/>
  <c r="C288" i="122"/>
  <c r="C289" i="122"/>
  <c r="C290" i="122"/>
  <c r="C291" i="122"/>
  <c r="C292" i="122"/>
  <c r="C293" i="122"/>
  <c r="C294" i="122"/>
  <c r="C295" i="122"/>
  <c r="C296" i="122"/>
  <c r="C297" i="122"/>
  <c r="C298" i="122"/>
  <c r="C299" i="122"/>
  <c r="C300" i="122"/>
  <c r="C301" i="122"/>
  <c r="C302" i="122"/>
  <c r="C303" i="122"/>
  <c r="C304" i="122"/>
  <c r="C305" i="122"/>
  <c r="C306" i="122"/>
  <c r="C307" i="122"/>
  <c r="C308" i="122"/>
  <c r="C309" i="122"/>
  <c r="C310" i="122"/>
  <c r="C311" i="122"/>
  <c r="C312" i="122"/>
  <c r="C313" i="122"/>
  <c r="C314" i="122"/>
  <c r="C315" i="122"/>
  <c r="C316" i="122"/>
  <c r="C317" i="122"/>
  <c r="C318" i="122"/>
  <c r="C319" i="122"/>
  <c r="C320" i="122"/>
  <c r="C321" i="122"/>
  <c r="C322" i="122"/>
  <c r="C323" i="122"/>
  <c r="C324" i="122"/>
  <c r="C325" i="122"/>
  <c r="C326" i="122"/>
  <c r="C327" i="122"/>
  <c r="C328" i="122"/>
  <c r="C329" i="122"/>
  <c r="C330" i="122"/>
  <c r="C331" i="122"/>
  <c r="C332" i="122"/>
  <c r="C333" i="122"/>
  <c r="C334" i="122"/>
  <c r="C335" i="122"/>
  <c r="C336" i="122"/>
  <c r="C337" i="122"/>
  <c r="C338" i="122"/>
  <c r="C339" i="122"/>
  <c r="C340" i="122"/>
  <c r="C341" i="122"/>
  <c r="C342" i="122"/>
  <c r="C343" i="122"/>
  <c r="C344" i="122"/>
  <c r="C345" i="122"/>
  <c r="C346" i="122"/>
  <c r="C347" i="122"/>
  <c r="C348" i="122"/>
  <c r="C349" i="122"/>
  <c r="C350" i="122"/>
  <c r="C351" i="122"/>
  <c r="C352" i="122"/>
  <c r="C353" i="122"/>
  <c r="C354" i="122"/>
  <c r="C355" i="122"/>
  <c r="C356" i="122"/>
  <c r="C357" i="122"/>
  <c r="C358" i="122"/>
  <c r="C359" i="122"/>
  <c r="C360" i="122"/>
  <c r="C361" i="122"/>
  <c r="C362" i="122"/>
  <c r="C363" i="122"/>
  <c r="C364" i="122"/>
  <c r="C365" i="122"/>
  <c r="C366" i="122"/>
  <c r="C367" i="122"/>
  <c r="C368" i="122"/>
  <c r="C369" i="122"/>
  <c r="C370" i="122"/>
  <c r="C371" i="122"/>
  <c r="C372" i="122"/>
  <c r="C373" i="122"/>
  <c r="C374" i="122"/>
  <c r="C375" i="122"/>
  <c r="C376" i="122"/>
  <c r="C377" i="122"/>
  <c r="C378" i="122"/>
  <c r="C379" i="122"/>
  <c r="C380" i="122"/>
  <c r="C381" i="122"/>
  <c r="C382" i="122"/>
  <c r="C383" i="122"/>
  <c r="C384" i="122"/>
  <c r="C385" i="122"/>
  <c r="C386" i="122"/>
  <c r="C387" i="122"/>
  <c r="C388" i="122"/>
  <c r="C389" i="122"/>
  <c r="C390" i="122"/>
  <c r="C391" i="122"/>
  <c r="C392" i="122"/>
  <c r="C393" i="122"/>
  <c r="C394" i="122"/>
  <c r="C395" i="122"/>
  <c r="C396" i="122"/>
  <c r="C397" i="122"/>
  <c r="C398" i="122"/>
  <c r="C399" i="122"/>
  <c r="C400" i="122"/>
  <c r="C401" i="122"/>
  <c r="C402" i="122"/>
  <c r="C403" i="122"/>
  <c r="C404" i="122"/>
  <c r="C405" i="122"/>
  <c r="C406" i="122"/>
  <c r="C407" i="122"/>
  <c r="C408" i="122"/>
  <c r="C409" i="122"/>
  <c r="C410" i="122"/>
  <c r="C411" i="122"/>
  <c r="C412" i="122"/>
  <c r="C413" i="122"/>
  <c r="C414" i="122"/>
  <c r="C415" i="122"/>
  <c r="C416" i="122"/>
  <c r="C417" i="122"/>
  <c r="C418" i="122"/>
  <c r="C419" i="122"/>
  <c r="C420" i="122"/>
  <c r="C421" i="122"/>
  <c r="C422" i="122"/>
  <c r="C423" i="122"/>
  <c r="C424" i="122"/>
  <c r="C425" i="122"/>
  <c r="C426" i="122"/>
  <c r="C427" i="122"/>
  <c r="C428" i="122"/>
  <c r="C429" i="122"/>
  <c r="C430" i="122"/>
  <c r="C431" i="122"/>
  <c r="C432" i="122"/>
  <c r="C433" i="122"/>
  <c r="C434" i="122"/>
  <c r="C435" i="122"/>
  <c r="C436" i="122"/>
  <c r="C437" i="122"/>
  <c r="C438" i="122"/>
  <c r="C439" i="122"/>
  <c r="C440" i="122"/>
  <c r="C441" i="122"/>
  <c r="C442" i="122"/>
  <c r="C443" i="122"/>
  <c r="C444" i="122"/>
  <c r="C445" i="122"/>
  <c r="C446" i="122"/>
  <c r="C447" i="122"/>
  <c r="C448" i="122"/>
  <c r="C449" i="122"/>
  <c r="C450" i="122"/>
  <c r="C451" i="122"/>
  <c r="C452" i="122"/>
  <c r="C453" i="122"/>
  <c r="C454" i="122"/>
  <c r="C455" i="122"/>
  <c r="C456" i="122"/>
  <c r="C457" i="122"/>
  <c r="C458" i="122"/>
  <c r="C459" i="122"/>
  <c r="C460" i="122"/>
  <c r="C461" i="122"/>
  <c r="C462" i="122"/>
  <c r="C463" i="122"/>
  <c r="C464" i="122"/>
  <c r="C465" i="122"/>
  <c r="C466" i="122"/>
  <c r="C467" i="122"/>
  <c r="C468" i="122"/>
  <c r="C469" i="122"/>
  <c r="C470" i="122"/>
  <c r="C471" i="122"/>
  <c r="C472" i="122"/>
  <c r="C473" i="122"/>
  <c r="C474" i="122"/>
  <c r="C475" i="122"/>
  <c r="C476" i="122"/>
  <c r="C477" i="122"/>
  <c r="C478" i="122"/>
  <c r="C479" i="122"/>
  <c r="C480" i="122"/>
  <c r="C481" i="122"/>
  <c r="C482" i="122"/>
  <c r="C483" i="122"/>
  <c r="C484" i="122"/>
  <c r="C485" i="122"/>
  <c r="C486" i="122"/>
  <c r="C487" i="122"/>
  <c r="C488" i="122"/>
  <c r="C489" i="122"/>
  <c r="C490" i="122"/>
  <c r="C491" i="122"/>
  <c r="C492" i="122"/>
  <c r="C493" i="122"/>
  <c r="C494" i="122"/>
  <c r="C495" i="122"/>
  <c r="C496" i="122"/>
  <c r="B168" i="122" l="1"/>
  <c r="B160" i="122"/>
  <c r="B152" i="122"/>
  <c r="B144" i="122"/>
  <c r="B136" i="122"/>
  <c r="B490" i="122"/>
  <c r="B482" i="122"/>
  <c r="B474" i="122"/>
  <c r="B466" i="122"/>
  <c r="B458" i="122"/>
  <c r="B450" i="122"/>
  <c r="B442" i="122"/>
  <c r="B434" i="122"/>
  <c r="B426" i="122"/>
  <c r="B418" i="122"/>
  <c r="B410" i="122"/>
  <c r="B402" i="122"/>
  <c r="B394" i="122"/>
  <c r="B386" i="122"/>
  <c r="B378" i="122"/>
  <c r="B370" i="122"/>
  <c r="B362" i="122"/>
  <c r="B354" i="122"/>
  <c r="B346" i="122"/>
  <c r="B338" i="122"/>
  <c r="B330" i="122"/>
  <c r="B322" i="122"/>
  <c r="B314" i="122"/>
  <c r="B306" i="122"/>
  <c r="B298" i="122"/>
  <c r="B290" i="122"/>
  <c r="B282" i="122"/>
  <c r="B274" i="122"/>
  <c r="B266" i="122"/>
  <c r="B258" i="122"/>
  <c r="B250" i="122"/>
  <c r="B242" i="122"/>
  <c r="B234" i="122"/>
  <c r="B226" i="122"/>
  <c r="B218" i="122"/>
  <c r="B244" i="122"/>
  <c r="B236" i="122"/>
  <c r="B228" i="122"/>
  <c r="B220" i="122"/>
  <c r="B212" i="122"/>
  <c r="B204" i="122"/>
  <c r="B196" i="122"/>
  <c r="B188" i="122"/>
  <c r="B180" i="122"/>
  <c r="B172" i="122"/>
  <c r="B164" i="122"/>
  <c r="B156" i="122"/>
  <c r="B148" i="122"/>
  <c r="B140" i="122"/>
  <c r="B132" i="122"/>
  <c r="B210" i="122"/>
  <c r="B202" i="122"/>
  <c r="B194" i="122"/>
  <c r="B186" i="122"/>
  <c r="B178" i="122"/>
  <c r="B170" i="122"/>
  <c r="B162" i="122"/>
  <c r="B154" i="122"/>
  <c r="B146" i="122"/>
  <c r="B138" i="122"/>
  <c r="B489" i="122"/>
  <c r="B481" i="122"/>
  <c r="B473" i="122"/>
  <c r="B465" i="122"/>
  <c r="B457" i="122"/>
  <c r="B449" i="122"/>
  <c r="B441" i="122"/>
  <c r="B433" i="122"/>
  <c r="B425" i="122"/>
  <c r="B417" i="122"/>
  <c r="B409" i="122"/>
  <c r="B401" i="122"/>
  <c r="B393" i="122"/>
  <c r="B385" i="122"/>
  <c r="B377" i="122"/>
  <c r="B369" i="122"/>
  <c r="B361" i="122"/>
  <c r="B353" i="122"/>
  <c r="B345" i="122"/>
  <c r="B337" i="122"/>
  <c r="B329" i="122"/>
  <c r="B321" i="122"/>
  <c r="B313" i="122"/>
  <c r="B305" i="122"/>
  <c r="B297" i="122"/>
  <c r="B289" i="122"/>
  <c r="B281" i="122"/>
  <c r="B273" i="122"/>
  <c r="B265" i="122"/>
  <c r="B257" i="122"/>
  <c r="B249" i="122"/>
  <c r="B241" i="122"/>
  <c r="B233" i="122"/>
  <c r="B225" i="122"/>
  <c r="B217" i="122"/>
  <c r="B209" i="122"/>
  <c r="B201" i="122"/>
  <c r="B193" i="122"/>
  <c r="B185" i="122"/>
  <c r="B177" i="122"/>
  <c r="B169" i="122"/>
  <c r="B161" i="122"/>
  <c r="B153" i="122"/>
  <c r="B145" i="122"/>
  <c r="B137" i="122"/>
  <c r="B495" i="122"/>
  <c r="B487" i="122"/>
  <c r="B479" i="122"/>
  <c r="B471" i="122"/>
  <c r="B463" i="122"/>
  <c r="B455" i="122"/>
  <c r="B447" i="122"/>
  <c r="B439" i="122"/>
  <c r="B431" i="122"/>
  <c r="B423" i="122"/>
  <c r="B415" i="122"/>
  <c r="B407" i="122"/>
  <c r="B399" i="122"/>
  <c r="B391" i="122"/>
  <c r="B383" i="122"/>
  <c r="B375" i="122"/>
  <c r="B367" i="122"/>
  <c r="B359" i="122"/>
  <c r="B351" i="122"/>
  <c r="B343" i="122"/>
  <c r="B335" i="122"/>
  <c r="B327" i="122"/>
  <c r="B319" i="122"/>
  <c r="B311" i="122"/>
  <c r="B303" i="122"/>
  <c r="B295" i="122"/>
  <c r="B287" i="122"/>
  <c r="B279" i="122"/>
  <c r="B271" i="122"/>
  <c r="B263" i="122"/>
  <c r="B255" i="122"/>
  <c r="B247" i="122"/>
  <c r="B239" i="122"/>
  <c r="B231" i="122"/>
  <c r="B223" i="122"/>
  <c r="B215" i="122"/>
  <c r="B207" i="122"/>
  <c r="B199" i="122"/>
  <c r="B191" i="122"/>
  <c r="B183" i="122"/>
  <c r="B175" i="122"/>
  <c r="B167" i="122"/>
  <c r="B159" i="122"/>
  <c r="B151" i="122"/>
  <c r="B143" i="122"/>
  <c r="B135" i="122"/>
  <c r="B494" i="122"/>
  <c r="B486" i="122"/>
  <c r="B478" i="122"/>
  <c r="B470" i="122"/>
  <c r="B462" i="122"/>
  <c r="B454" i="122"/>
  <c r="B446" i="122"/>
  <c r="B438" i="122"/>
  <c r="B430" i="122"/>
  <c r="B422" i="122"/>
  <c r="B414" i="122"/>
  <c r="B406" i="122"/>
  <c r="B398" i="122"/>
  <c r="B390" i="122"/>
  <c r="B382" i="122"/>
  <c r="B374" i="122"/>
  <c r="B366" i="122"/>
  <c r="B358" i="122"/>
  <c r="B350" i="122"/>
  <c r="B342" i="122"/>
  <c r="B334" i="122"/>
  <c r="B326" i="122"/>
  <c r="B318" i="122"/>
  <c r="B310" i="122"/>
  <c r="B302" i="122"/>
  <c r="B294" i="122"/>
  <c r="B286" i="122"/>
  <c r="B278" i="122"/>
  <c r="B270" i="122"/>
  <c r="B262" i="122"/>
  <c r="B254" i="122"/>
  <c r="B246" i="122"/>
  <c r="B238" i="122"/>
  <c r="B230" i="122"/>
  <c r="B222" i="122"/>
  <c r="B214" i="122"/>
  <c r="B206" i="122"/>
  <c r="B198" i="122"/>
  <c r="B190" i="122"/>
  <c r="B182" i="122"/>
  <c r="B174" i="122"/>
  <c r="B166" i="122"/>
  <c r="B158" i="122"/>
  <c r="B150" i="122"/>
  <c r="B142" i="122"/>
  <c r="B134" i="122"/>
  <c r="B493" i="122"/>
  <c r="B485" i="122"/>
  <c r="B477" i="122"/>
  <c r="B469" i="122"/>
  <c r="B461" i="122"/>
  <c r="B453" i="122"/>
  <c r="B445" i="122"/>
  <c r="B437" i="122"/>
  <c r="B429" i="122"/>
  <c r="B421" i="122"/>
  <c r="B413" i="122"/>
  <c r="B405" i="122"/>
  <c r="B397" i="122"/>
  <c r="B389" i="122"/>
  <c r="B381" i="122"/>
  <c r="B373" i="122"/>
  <c r="B365" i="122"/>
  <c r="B357" i="122"/>
  <c r="B349" i="122"/>
  <c r="B341" i="122"/>
  <c r="B333" i="122"/>
  <c r="B325" i="122"/>
  <c r="B317" i="122"/>
  <c r="B309" i="122"/>
  <c r="B301" i="122"/>
  <c r="B293" i="122"/>
  <c r="B285" i="122"/>
  <c r="B277" i="122"/>
  <c r="B269" i="122"/>
  <c r="B261" i="122"/>
  <c r="B253" i="122"/>
  <c r="B245" i="122"/>
  <c r="B237" i="122"/>
  <c r="B229" i="122"/>
  <c r="B221" i="122"/>
  <c r="B213" i="122"/>
  <c r="B205" i="122"/>
  <c r="B197" i="122"/>
  <c r="B189" i="122"/>
  <c r="B181" i="122"/>
  <c r="B173" i="122"/>
  <c r="B165" i="122"/>
  <c r="B157" i="122"/>
  <c r="B149" i="122"/>
  <c r="B141" i="122"/>
  <c r="B133" i="122"/>
  <c r="B491" i="122"/>
  <c r="B483" i="122"/>
  <c r="B475" i="122"/>
  <c r="B467" i="122"/>
  <c r="B459" i="122"/>
  <c r="B451" i="122"/>
  <c r="B443" i="122"/>
  <c r="B435" i="122"/>
  <c r="B427" i="122"/>
  <c r="B419" i="122"/>
  <c r="B411" i="122"/>
  <c r="B403" i="122"/>
  <c r="B395" i="122"/>
  <c r="B387" i="122"/>
  <c r="B379" i="122"/>
  <c r="B371" i="122"/>
  <c r="B363" i="122"/>
  <c r="B355" i="122"/>
  <c r="B347" i="122"/>
  <c r="B339" i="122"/>
  <c r="B331" i="122"/>
  <c r="B323" i="122"/>
  <c r="B315" i="122"/>
  <c r="B307" i="122"/>
  <c r="B299" i="122"/>
  <c r="B291" i="122"/>
  <c r="B283" i="122"/>
  <c r="B275" i="122"/>
  <c r="B267" i="122"/>
  <c r="B259" i="122"/>
  <c r="B251" i="122"/>
  <c r="B243" i="122"/>
  <c r="B235" i="122"/>
  <c r="B227" i="122"/>
  <c r="B219" i="122"/>
  <c r="B211" i="122"/>
  <c r="B203" i="122"/>
  <c r="B195" i="122"/>
  <c r="B187" i="122"/>
  <c r="B179" i="122"/>
  <c r="B171" i="122"/>
  <c r="B163" i="122"/>
  <c r="B155" i="122"/>
  <c r="B147" i="122"/>
  <c r="B139" i="122"/>
  <c r="D127" i="122"/>
  <c r="M127" i="122" s="1"/>
  <c r="D128" i="122"/>
  <c r="M128" i="122" s="1"/>
  <c r="D129" i="122"/>
  <c r="M129" i="122" s="1"/>
  <c r="D130" i="122"/>
  <c r="M130" i="122" s="1"/>
  <c r="B122" i="122"/>
  <c r="B123" i="122"/>
  <c r="D125" i="122"/>
  <c r="M125" i="122" s="1"/>
  <c r="D124" i="122"/>
  <c r="M124" i="122" s="1"/>
  <c r="D123" i="122"/>
  <c r="D126" i="122"/>
  <c r="M126" i="122" s="1"/>
  <c r="E11" i="59"/>
  <c r="C11" i="59"/>
  <c r="I11" i="59"/>
  <c r="D11" i="59"/>
  <c r="H11" i="59"/>
  <c r="B104" i="122"/>
  <c r="B16" i="122"/>
  <c r="B51" i="122"/>
  <c r="B35" i="122"/>
  <c r="B103" i="122"/>
  <c r="B116" i="122"/>
  <c r="B108" i="122"/>
  <c r="B100" i="122"/>
  <c r="B92" i="122"/>
  <c r="B84" i="122"/>
  <c r="B76" i="122"/>
  <c r="B68" i="122"/>
  <c r="B60" i="122"/>
  <c r="B52" i="122"/>
  <c r="B44" i="122"/>
  <c r="B36" i="122"/>
  <c r="B20" i="122"/>
  <c r="B12" i="122"/>
  <c r="B4" i="122"/>
  <c r="B83" i="122"/>
  <c r="B67" i="122"/>
  <c r="B120" i="122"/>
  <c r="B112" i="122"/>
  <c r="B89" i="122"/>
  <c r="B57" i="122"/>
  <c r="B25" i="122"/>
  <c r="B37" i="122"/>
  <c r="B28" i="122"/>
  <c r="B19" i="122"/>
  <c r="B107" i="122"/>
  <c r="B58" i="122"/>
  <c r="B96" i="122"/>
  <c r="B80" i="122"/>
  <c r="B72" i="122"/>
  <c r="B64" i="122"/>
  <c r="B48" i="122"/>
  <c r="B40" i="122"/>
  <c r="B32" i="122"/>
  <c r="B8" i="122"/>
  <c r="B23" i="122"/>
  <c r="B3" i="122"/>
  <c r="B117" i="122"/>
  <c r="B109" i="122"/>
  <c r="B101" i="122"/>
  <c r="B93" i="122"/>
  <c r="B85" i="122"/>
  <c r="B77" i="122"/>
  <c r="B69" i="122"/>
  <c r="B61" i="122"/>
  <c r="B53" i="122"/>
  <c r="B45" i="122"/>
  <c r="B29" i="122"/>
  <c r="B21" i="122"/>
  <c r="B13" i="122"/>
  <c r="B5" i="122"/>
  <c r="B115" i="122"/>
  <c r="B99" i="122"/>
  <c r="B91" i="122"/>
  <c r="B75" i="122"/>
  <c r="B59" i="122"/>
  <c r="B43" i="122"/>
  <c r="B27" i="122"/>
  <c r="B11" i="122"/>
  <c r="B106" i="122"/>
  <c r="B121" i="122"/>
  <c r="B113" i="122"/>
  <c r="B97" i="122"/>
  <c r="B81" i="122"/>
  <c r="B73" i="122"/>
  <c r="B65" i="122"/>
  <c r="B49" i="122"/>
  <c r="B41" i="122"/>
  <c r="B33" i="122"/>
  <c r="B17" i="122"/>
  <c r="B9" i="122"/>
  <c r="B26" i="122"/>
  <c r="B119" i="122"/>
  <c r="B111" i="122"/>
  <c r="B95" i="122"/>
  <c r="B87" i="122"/>
  <c r="B79" i="122"/>
  <c r="B71" i="122"/>
  <c r="B63" i="122"/>
  <c r="B55" i="122"/>
  <c r="B47" i="122"/>
  <c r="B39" i="122"/>
  <c r="B31" i="122"/>
  <c r="B15" i="122"/>
  <c r="B7" i="122"/>
  <c r="B90" i="122"/>
  <c r="B105" i="122"/>
  <c r="B118" i="122"/>
  <c r="B102" i="122"/>
  <c r="B86" i="122"/>
  <c r="B70" i="122"/>
  <c r="B54" i="122"/>
  <c r="B38" i="122"/>
  <c r="B22" i="122"/>
  <c r="B6" i="122"/>
  <c r="B24" i="122"/>
  <c r="B88" i="122"/>
  <c r="B56" i="122"/>
  <c r="B110" i="122"/>
  <c r="B94" i="122"/>
  <c r="B78" i="122"/>
  <c r="B62" i="122"/>
  <c r="B46" i="122"/>
  <c r="B30" i="122"/>
  <c r="B14" i="122"/>
  <c r="B10" i="122"/>
  <c r="B42" i="122"/>
  <c r="B74" i="122"/>
  <c r="B114" i="122"/>
  <c r="B98" i="122"/>
  <c r="B82" i="122"/>
  <c r="B66" i="122"/>
  <c r="B50" i="122"/>
  <c r="B34" i="122"/>
  <c r="B18" i="122"/>
  <c r="D442" i="122"/>
  <c r="D458" i="122"/>
  <c r="D410" i="122"/>
  <c r="D290" i="122"/>
  <c r="D377" i="122"/>
  <c r="D206" i="122"/>
  <c r="D481" i="122"/>
  <c r="D174" i="122"/>
  <c r="D334" i="122"/>
  <c r="D249" i="122"/>
  <c r="D489" i="122"/>
  <c r="D486" i="122"/>
  <c r="D454" i="122"/>
  <c r="D418" i="122"/>
  <c r="D382" i="122"/>
  <c r="D338" i="122"/>
  <c r="D297" i="122"/>
  <c r="D254" i="122"/>
  <c r="D210" i="122"/>
  <c r="D482" i="122"/>
  <c r="D446" i="122"/>
  <c r="D417" i="122"/>
  <c r="D378" i="122"/>
  <c r="D337" i="122"/>
  <c r="D294" i="122"/>
  <c r="D250" i="122"/>
  <c r="D209" i="122"/>
  <c r="D474" i="122"/>
  <c r="D441" i="122"/>
  <c r="D402" i="122"/>
  <c r="D374" i="122"/>
  <c r="D330" i="122"/>
  <c r="D289" i="122"/>
  <c r="D246" i="122"/>
  <c r="D202" i="122"/>
  <c r="D466" i="122"/>
  <c r="D438" i="122"/>
  <c r="D401" i="122"/>
  <c r="D361" i="122"/>
  <c r="D318" i="122"/>
  <c r="D274" i="122"/>
  <c r="D233" i="122"/>
  <c r="D186" i="122"/>
  <c r="D465" i="122"/>
  <c r="D433" i="122"/>
  <c r="D398" i="122"/>
  <c r="D358" i="122"/>
  <c r="D314" i="122"/>
  <c r="D273" i="122"/>
  <c r="D230" i="122"/>
  <c r="D182" i="122"/>
  <c r="D462" i="122"/>
  <c r="D425" i="122"/>
  <c r="D394" i="122"/>
  <c r="D354" i="122"/>
  <c r="D313" i="122"/>
  <c r="D270" i="122"/>
  <c r="D226" i="122"/>
  <c r="D178" i="122"/>
  <c r="D422" i="122"/>
  <c r="D390" i="122"/>
  <c r="D353" i="122"/>
  <c r="D310" i="122"/>
  <c r="D266" i="122"/>
  <c r="D225" i="122"/>
  <c r="D2" i="122"/>
  <c r="D18" i="122"/>
  <c r="D26" i="122"/>
  <c r="D34" i="122"/>
  <c r="D42" i="122"/>
  <c r="D50" i="122"/>
  <c r="D58" i="122"/>
  <c r="D66" i="122"/>
  <c r="D74" i="122"/>
  <c r="D82" i="122"/>
  <c r="D90" i="122"/>
  <c r="D106" i="122"/>
  <c r="D134" i="122"/>
  <c r="D150" i="122"/>
  <c r="D3" i="122"/>
  <c r="D11" i="122"/>
  <c r="D19" i="122"/>
  <c r="D27" i="122"/>
  <c r="D35" i="122"/>
  <c r="D43" i="122"/>
  <c r="D51" i="122"/>
  <c r="D59" i="122"/>
  <c r="D67" i="122"/>
  <c r="D75" i="122"/>
  <c r="D83" i="122"/>
  <c r="D91" i="122"/>
  <c r="D99" i="122"/>
  <c r="D107" i="122"/>
  <c r="D115" i="122"/>
  <c r="D135" i="122"/>
  <c r="D143" i="122"/>
  <c r="D151" i="122"/>
  <c r="D159" i="122"/>
  <c r="D167" i="122"/>
  <c r="D175" i="122"/>
  <c r="D183" i="122"/>
  <c r="D191" i="122"/>
  <c r="D199" i="122"/>
  <c r="D207" i="122"/>
  <c r="D215" i="122"/>
  <c r="D223" i="122"/>
  <c r="D231" i="122"/>
  <c r="D239" i="122"/>
  <c r="D247" i="122"/>
  <c r="D255" i="122"/>
  <c r="D263" i="122"/>
  <c r="D271" i="122"/>
  <c r="D279" i="122"/>
  <c r="D287" i="122"/>
  <c r="D295" i="122"/>
  <c r="D303" i="122"/>
  <c r="D311" i="122"/>
  <c r="D319" i="122"/>
  <c r="D327" i="122"/>
  <c r="D335" i="122"/>
  <c r="D343" i="122"/>
  <c r="D351" i="122"/>
  <c r="D359" i="122"/>
  <c r="D367" i="122"/>
  <c r="D375" i="122"/>
  <c r="D383" i="122"/>
  <c r="D391" i="122"/>
  <c r="D399" i="122"/>
  <c r="D407" i="122"/>
  <c r="D415" i="122"/>
  <c r="D423" i="122"/>
  <c r="D431" i="122"/>
  <c r="D439" i="122"/>
  <c r="D447" i="122"/>
  <c r="D455" i="122"/>
  <c r="D463" i="122"/>
  <c r="D471" i="122"/>
  <c r="D479" i="122"/>
  <c r="D487" i="122"/>
  <c r="D495" i="122"/>
  <c r="D4" i="122"/>
  <c r="D12" i="122"/>
  <c r="D20" i="122"/>
  <c r="D28" i="122"/>
  <c r="D36" i="122"/>
  <c r="D44" i="122"/>
  <c r="D52" i="122"/>
  <c r="D60" i="122"/>
  <c r="D68" i="122"/>
  <c r="D76" i="122"/>
  <c r="D84" i="122"/>
  <c r="D92" i="122"/>
  <c r="D100" i="122"/>
  <c r="D108" i="122"/>
  <c r="D116" i="122"/>
  <c r="D136" i="122"/>
  <c r="D144" i="122"/>
  <c r="D152" i="122"/>
  <c r="D160" i="122"/>
  <c r="D168" i="122"/>
  <c r="D176" i="122"/>
  <c r="D184" i="122"/>
  <c r="D192" i="122"/>
  <c r="D200" i="122"/>
  <c r="D208" i="122"/>
  <c r="D216" i="122"/>
  <c r="D224" i="122"/>
  <c r="D232" i="122"/>
  <c r="D240" i="122"/>
  <c r="D248" i="122"/>
  <c r="D256" i="122"/>
  <c r="D264" i="122"/>
  <c r="D272" i="122"/>
  <c r="D280" i="122"/>
  <c r="D288" i="122"/>
  <c r="D296" i="122"/>
  <c r="D304" i="122"/>
  <c r="D312" i="122"/>
  <c r="D320" i="122"/>
  <c r="D328" i="122"/>
  <c r="D336" i="122"/>
  <c r="D344" i="122"/>
  <c r="D352" i="122"/>
  <c r="D360" i="122"/>
  <c r="D368" i="122"/>
  <c r="D376" i="122"/>
  <c r="D384" i="122"/>
  <c r="D392" i="122"/>
  <c r="D400" i="122"/>
  <c r="D408" i="122"/>
  <c r="D416" i="122"/>
  <c r="D424" i="122"/>
  <c r="D432" i="122"/>
  <c r="D440" i="122"/>
  <c r="D448" i="122"/>
  <c r="D456" i="122"/>
  <c r="D464" i="122"/>
  <c r="D472" i="122"/>
  <c r="D480" i="122"/>
  <c r="D488" i="122"/>
  <c r="D496" i="122"/>
  <c r="D13" i="122"/>
  <c r="D21" i="122"/>
  <c r="D29" i="122"/>
  <c r="D37" i="122"/>
  <c r="D45" i="122"/>
  <c r="D53" i="122"/>
  <c r="D61" i="122"/>
  <c r="D69" i="122"/>
  <c r="D77" i="122"/>
  <c r="D85" i="122"/>
  <c r="D93" i="122"/>
  <c r="D101" i="122"/>
  <c r="D109" i="122"/>
  <c r="D117" i="122"/>
  <c r="D137" i="122"/>
  <c r="D145" i="122"/>
  <c r="D153" i="122"/>
  <c r="D161" i="122"/>
  <c r="D169" i="122"/>
  <c r="D177" i="122"/>
  <c r="D185" i="122"/>
  <c r="D193" i="122"/>
  <c r="D5" i="122"/>
  <c r="D6" i="122"/>
  <c r="D14" i="122"/>
  <c r="D22" i="122"/>
  <c r="D30" i="122"/>
  <c r="D38" i="122"/>
  <c r="D46" i="122"/>
  <c r="D54" i="122"/>
  <c r="D62" i="122"/>
  <c r="D70" i="122"/>
  <c r="D78" i="122"/>
  <c r="D86" i="122"/>
  <c r="D94" i="122"/>
  <c r="D102" i="122"/>
  <c r="D110" i="122"/>
  <c r="D118" i="122"/>
  <c r="D138" i="122"/>
  <c r="D146" i="122"/>
  <c r="D7" i="122"/>
  <c r="D15" i="122"/>
  <c r="D23" i="122"/>
  <c r="D31" i="122"/>
  <c r="D39" i="122"/>
  <c r="D47" i="122"/>
  <c r="D55" i="122"/>
  <c r="D63" i="122"/>
  <c r="D71" i="122"/>
  <c r="D79" i="122"/>
  <c r="D87" i="122"/>
  <c r="D95" i="122"/>
  <c r="D103" i="122"/>
  <c r="D111" i="122"/>
  <c r="D119" i="122"/>
  <c r="D131" i="122"/>
  <c r="D139" i="122"/>
  <c r="D147" i="122"/>
  <c r="D155" i="122"/>
  <c r="D163" i="122"/>
  <c r="D171" i="122"/>
  <c r="D179" i="122"/>
  <c r="D187" i="122"/>
  <c r="D195" i="122"/>
  <c r="D203" i="122"/>
  <c r="D211" i="122"/>
  <c r="D219" i="122"/>
  <c r="D227" i="122"/>
  <c r="D235" i="122"/>
  <c r="D243" i="122"/>
  <c r="D251" i="122"/>
  <c r="D259" i="122"/>
  <c r="D267" i="122"/>
  <c r="D275" i="122"/>
  <c r="D283" i="122"/>
  <c r="D291" i="122"/>
  <c r="D299" i="122"/>
  <c r="D307" i="122"/>
  <c r="D315" i="122"/>
  <c r="D323" i="122"/>
  <c r="D331" i="122"/>
  <c r="D339" i="122"/>
  <c r="D347" i="122"/>
  <c r="D355" i="122"/>
  <c r="D363" i="122"/>
  <c r="D371" i="122"/>
  <c r="D379" i="122"/>
  <c r="D387" i="122"/>
  <c r="D395" i="122"/>
  <c r="D403" i="122"/>
  <c r="D411" i="122"/>
  <c r="D419" i="122"/>
  <c r="D427" i="122"/>
  <c r="D435" i="122"/>
  <c r="D443" i="122"/>
  <c r="D451" i="122"/>
  <c r="D459" i="122"/>
  <c r="D467" i="122"/>
  <c r="D475" i="122"/>
  <c r="D483" i="122"/>
  <c r="D491" i="122"/>
  <c r="D114" i="122"/>
  <c r="D8" i="122"/>
  <c r="D16" i="122"/>
  <c r="D24" i="122"/>
  <c r="D32" i="122"/>
  <c r="D40" i="122"/>
  <c r="D48" i="122"/>
  <c r="D56" i="122"/>
  <c r="D64" i="122"/>
  <c r="D72" i="122"/>
  <c r="D80" i="122"/>
  <c r="D88" i="122"/>
  <c r="D96" i="122"/>
  <c r="D104" i="122"/>
  <c r="D112" i="122"/>
  <c r="D120" i="122"/>
  <c r="D132" i="122"/>
  <c r="D140" i="122"/>
  <c r="D148" i="122"/>
  <c r="D156" i="122"/>
  <c r="D164" i="122"/>
  <c r="D172" i="122"/>
  <c r="D180" i="122"/>
  <c r="D188" i="122"/>
  <c r="D196" i="122"/>
  <c r="D204" i="122"/>
  <c r="D212" i="122"/>
  <c r="D220" i="122"/>
  <c r="D228" i="122"/>
  <c r="D236" i="122"/>
  <c r="D244" i="122"/>
  <c r="D252" i="122"/>
  <c r="D260" i="122"/>
  <c r="D268" i="122"/>
  <c r="D276" i="122"/>
  <c r="D284" i="122"/>
  <c r="D292" i="122"/>
  <c r="D300" i="122"/>
  <c r="D308" i="122"/>
  <c r="D316" i="122"/>
  <c r="D324" i="122"/>
  <c r="D332" i="122"/>
  <c r="D340" i="122"/>
  <c r="D348" i="122"/>
  <c r="D356" i="122"/>
  <c r="D364" i="122"/>
  <c r="D372" i="122"/>
  <c r="D380" i="122"/>
  <c r="D388" i="122"/>
  <c r="D396" i="122"/>
  <c r="D404" i="122"/>
  <c r="D412" i="122"/>
  <c r="D420" i="122"/>
  <c r="D428" i="122"/>
  <c r="D436" i="122"/>
  <c r="D444" i="122"/>
  <c r="D452" i="122"/>
  <c r="D460" i="122"/>
  <c r="D468" i="122"/>
  <c r="D476" i="122"/>
  <c r="D484" i="122"/>
  <c r="D492" i="122"/>
  <c r="D98" i="122"/>
  <c r="D9" i="122"/>
  <c r="D17" i="122"/>
  <c r="D25" i="122"/>
  <c r="D33" i="122"/>
  <c r="D41" i="122"/>
  <c r="D49" i="122"/>
  <c r="D57" i="122"/>
  <c r="D65" i="122"/>
  <c r="D73" i="122"/>
  <c r="D81" i="122"/>
  <c r="D89" i="122"/>
  <c r="D97" i="122"/>
  <c r="D105" i="122"/>
  <c r="D113" i="122"/>
  <c r="D121" i="122"/>
  <c r="D133" i="122"/>
  <c r="D141" i="122"/>
  <c r="D149" i="122"/>
  <c r="D157" i="122"/>
  <c r="D165" i="122"/>
  <c r="D173" i="122"/>
  <c r="D181" i="122"/>
  <c r="D189" i="122"/>
  <c r="D197" i="122"/>
  <c r="D205" i="122"/>
  <c r="D213" i="122"/>
  <c r="D221" i="122"/>
  <c r="D229" i="122"/>
  <c r="D237" i="122"/>
  <c r="D245" i="122"/>
  <c r="D253" i="122"/>
  <c r="D261" i="122"/>
  <c r="D269" i="122"/>
  <c r="D277" i="122"/>
  <c r="D285" i="122"/>
  <c r="D293" i="122"/>
  <c r="D301" i="122"/>
  <c r="D309" i="122"/>
  <c r="D317" i="122"/>
  <c r="D325" i="122"/>
  <c r="D333" i="122"/>
  <c r="D341" i="122"/>
  <c r="D349" i="122"/>
  <c r="D357" i="122"/>
  <c r="D365" i="122"/>
  <c r="D373" i="122"/>
  <c r="D381" i="122"/>
  <c r="D389" i="122"/>
  <c r="D397" i="122"/>
  <c r="D405" i="122"/>
  <c r="D413" i="122"/>
  <c r="D421" i="122"/>
  <c r="D429" i="122"/>
  <c r="D437" i="122"/>
  <c r="D445" i="122"/>
  <c r="D453" i="122"/>
  <c r="D461" i="122"/>
  <c r="D469" i="122"/>
  <c r="D477" i="122"/>
  <c r="D485" i="122"/>
  <c r="D493" i="122"/>
  <c r="D10" i="122"/>
  <c r="D122" i="122"/>
  <c r="D142" i="122"/>
  <c r="D158" i="122"/>
  <c r="D478" i="122"/>
  <c r="D457" i="122"/>
  <c r="D434" i="122"/>
  <c r="D414" i="122"/>
  <c r="D393" i="122"/>
  <c r="D370" i="122"/>
  <c r="D350" i="122"/>
  <c r="D329" i="122"/>
  <c r="D306" i="122"/>
  <c r="D286" i="122"/>
  <c r="D265" i="122"/>
  <c r="D242" i="122"/>
  <c r="D222" i="122"/>
  <c r="D201" i="122"/>
  <c r="D170" i="122"/>
  <c r="D369" i="122"/>
  <c r="D346" i="122"/>
  <c r="D326" i="122"/>
  <c r="D305" i="122"/>
  <c r="D282" i="122"/>
  <c r="D262" i="122"/>
  <c r="D241" i="122"/>
  <c r="D218" i="122"/>
  <c r="D198" i="122"/>
  <c r="D166" i="122"/>
  <c r="D494" i="122"/>
  <c r="D473" i="122"/>
  <c r="D450" i="122"/>
  <c r="D430" i="122"/>
  <c r="D409" i="122"/>
  <c r="D386" i="122"/>
  <c r="D366" i="122"/>
  <c r="D345" i="122"/>
  <c r="D322" i="122"/>
  <c r="D302" i="122"/>
  <c r="D281" i="122"/>
  <c r="D258" i="122"/>
  <c r="D238" i="122"/>
  <c r="D217" i="122"/>
  <c r="D194" i="122"/>
  <c r="D162" i="122"/>
  <c r="D490" i="122"/>
  <c r="D470" i="122"/>
  <c r="D449" i="122"/>
  <c r="D426" i="122"/>
  <c r="D406" i="122"/>
  <c r="D385" i="122"/>
  <c r="D362" i="122"/>
  <c r="D342" i="122"/>
  <c r="D321" i="122"/>
  <c r="D298" i="122"/>
  <c r="D278" i="122"/>
  <c r="D257" i="122"/>
  <c r="D234" i="122"/>
  <c r="D214" i="122"/>
  <c r="D190" i="122"/>
  <c r="D154" i="122"/>
  <c r="M123" i="122" l="1"/>
  <c r="N11" i="59"/>
  <c r="A3" i="69"/>
  <c r="C3" i="69"/>
  <c r="G3" i="69"/>
  <c r="K3" i="69"/>
  <c r="N3" i="69" a="1"/>
  <c r="N3" i="69" s="1"/>
  <c r="O3" i="69" a="1"/>
  <c r="O3" i="69" s="1"/>
  <c r="P3" i="69"/>
  <c r="Q3" i="69"/>
  <c r="R3" i="69"/>
  <c r="S3" i="69"/>
  <c r="U3" i="69"/>
  <c r="W3" i="69"/>
  <c r="AG3" i="69"/>
  <c r="AF3" i="69" s="1"/>
  <c r="AH3" i="69"/>
  <c r="H3" i="69" s="1"/>
  <c r="A2" i="91"/>
  <c r="A3" i="91"/>
  <c r="A4" i="91"/>
  <c r="A5" i="91"/>
  <c r="A6" i="91"/>
  <c r="A7" i="91"/>
  <c r="A8" i="91"/>
  <c r="A9" i="91"/>
  <c r="A10" i="91"/>
  <c r="A11" i="91"/>
  <c r="A12" i="91"/>
  <c r="A13" i="91"/>
  <c r="A14" i="91"/>
  <c r="A15" i="91"/>
  <c r="A16" i="91"/>
  <c r="A17" i="91"/>
  <c r="A18" i="91"/>
  <c r="A19" i="91"/>
  <c r="A20" i="91"/>
  <c r="A34" i="70"/>
  <c r="B34" i="70"/>
  <c r="C34" i="70"/>
  <c r="D34" i="70"/>
  <c r="E34" i="70"/>
  <c r="I2" i="72"/>
  <c r="H2" i="72"/>
  <c r="H3" i="72"/>
  <c r="I3" i="72"/>
  <c r="K2" i="119"/>
  <c r="J2" i="119"/>
  <c r="J3" i="119"/>
  <c r="K3" i="119"/>
  <c r="S2" i="60"/>
  <c r="S2" i="69"/>
  <c r="U10" i="59"/>
  <c r="V10" i="59" s="1"/>
  <c r="U12" i="59"/>
  <c r="V12" i="59" s="1"/>
  <c r="U13" i="59"/>
  <c r="V13" i="59" s="1"/>
  <c r="U14" i="59"/>
  <c r="V14" i="59" s="1"/>
  <c r="U15" i="59"/>
  <c r="V15" i="59" s="1"/>
  <c r="U16" i="59"/>
  <c r="V16" i="59" s="1"/>
  <c r="U17" i="59"/>
  <c r="V17" i="59" s="1"/>
  <c r="U18" i="59"/>
  <c r="V18" i="59" s="1"/>
  <c r="U19" i="59"/>
  <c r="V19" i="59" s="1"/>
  <c r="U20" i="59"/>
  <c r="V20" i="59" s="1"/>
  <c r="U21" i="59"/>
  <c r="V21" i="59" s="1"/>
  <c r="U22" i="59"/>
  <c r="V22" i="59" s="1"/>
  <c r="U23" i="59"/>
  <c r="V23" i="59" s="1"/>
  <c r="U24" i="59"/>
  <c r="V24" i="59" s="1"/>
  <c r="U25" i="59"/>
  <c r="V25" i="59" s="1"/>
  <c r="U26" i="59"/>
  <c r="V26" i="59" s="1"/>
  <c r="U27" i="59"/>
  <c r="V27" i="59" s="1"/>
  <c r="U28" i="59"/>
  <c r="V28" i="59" s="1"/>
  <c r="U29" i="59"/>
  <c r="V29" i="59" s="1"/>
  <c r="U30" i="59"/>
  <c r="V30" i="59" s="1"/>
  <c r="U31" i="59"/>
  <c r="V31" i="59" s="1"/>
  <c r="U32" i="59"/>
  <c r="V32" i="59" s="1"/>
  <c r="U33" i="59"/>
  <c r="V33" i="59" s="1"/>
  <c r="U34" i="59"/>
  <c r="V34" i="59" s="1"/>
  <c r="U35" i="59"/>
  <c r="V35" i="59" s="1"/>
  <c r="B2" i="91"/>
  <c r="E2" i="70"/>
  <c r="E3" i="70"/>
  <c r="E4" i="70"/>
  <c r="E5" i="70"/>
  <c r="E6" i="70"/>
  <c r="E7" i="70"/>
  <c r="E8" i="70"/>
  <c r="E9" i="70"/>
  <c r="E10" i="70"/>
  <c r="E11" i="70"/>
  <c r="E12" i="70"/>
  <c r="E13" i="70"/>
  <c r="E14" i="70"/>
  <c r="E15" i="70"/>
  <c r="E16" i="70"/>
  <c r="E17" i="70"/>
  <c r="E18" i="70"/>
  <c r="E19" i="70"/>
  <c r="E20" i="70"/>
  <c r="E21" i="70"/>
  <c r="E22" i="70"/>
  <c r="E23" i="70"/>
  <c r="E24" i="70"/>
  <c r="E26" i="70"/>
  <c r="E27" i="70"/>
  <c r="E28" i="70"/>
  <c r="E29" i="70"/>
  <c r="E30" i="70"/>
  <c r="E31" i="70"/>
  <c r="E32" i="70"/>
  <c r="E33" i="70"/>
  <c r="D2" i="70"/>
  <c r="D3" i="70"/>
  <c r="D4" i="70"/>
  <c r="D5" i="70"/>
  <c r="D6" i="70"/>
  <c r="D7" i="70"/>
  <c r="D8" i="70"/>
  <c r="D9" i="70"/>
  <c r="D10" i="70"/>
  <c r="D11" i="70"/>
  <c r="D12" i="70"/>
  <c r="D13" i="70"/>
  <c r="D14" i="70"/>
  <c r="D15" i="70"/>
  <c r="D16" i="70"/>
  <c r="D17" i="70"/>
  <c r="D18" i="70"/>
  <c r="D19" i="70"/>
  <c r="D20" i="70"/>
  <c r="D21" i="70"/>
  <c r="D22" i="70"/>
  <c r="D23" i="70"/>
  <c r="D24" i="70"/>
  <c r="D26" i="70"/>
  <c r="D27" i="70"/>
  <c r="D28" i="70"/>
  <c r="D29" i="70"/>
  <c r="D30" i="70"/>
  <c r="D31" i="70"/>
  <c r="D32" i="70"/>
  <c r="D33" i="70"/>
  <c r="F2" i="118"/>
  <c r="F3" i="118"/>
  <c r="E2" i="118"/>
  <c r="E3" i="118"/>
  <c r="I2" i="120"/>
  <c r="I3" i="120"/>
  <c r="I4" i="120"/>
  <c r="I5" i="120"/>
  <c r="I6" i="120"/>
  <c r="I7" i="120"/>
  <c r="I8" i="120"/>
  <c r="I9" i="120"/>
  <c r="I10" i="120"/>
  <c r="I11" i="120"/>
  <c r="H2" i="120"/>
  <c r="H3" i="120"/>
  <c r="H4" i="120"/>
  <c r="H5" i="120"/>
  <c r="H6" i="120"/>
  <c r="H7" i="120"/>
  <c r="H8" i="120"/>
  <c r="H9" i="120"/>
  <c r="H10" i="120"/>
  <c r="H11" i="120"/>
  <c r="B2" i="117"/>
  <c r="B3" i="117"/>
  <c r="E2" i="74"/>
  <c r="D2" i="74"/>
  <c r="H34" i="70" l="1"/>
  <c r="E3" i="69" a="1"/>
  <c r="E3" i="69" s="1"/>
  <c r="G9" i="59" a="1"/>
  <c r="G9" i="59" s="1"/>
  <c r="G7" i="59" a="1"/>
  <c r="G7" i="59" s="1"/>
  <c r="H6" i="59"/>
  <c r="G5" i="59" a="1"/>
  <c r="G5" i="59" s="1"/>
  <c r="G8" i="59" a="1"/>
  <c r="G8" i="59" s="1"/>
  <c r="C4" i="59"/>
  <c r="G4" i="59" a="1"/>
  <c r="G4" i="59" s="1"/>
  <c r="G3" i="59" a="1"/>
  <c r="G3" i="59" s="1"/>
  <c r="D3" i="69" a="1"/>
  <c r="D3" i="69" s="1"/>
  <c r="I3" i="69" a="1"/>
  <c r="I3" i="69" s="1"/>
  <c r="F3" i="69" a="1"/>
  <c r="F3" i="69" s="1"/>
  <c r="D2" i="91"/>
  <c r="H33" i="59"/>
  <c r="H25" i="59"/>
  <c r="H17" i="59"/>
  <c r="H9" i="59"/>
  <c r="H32" i="59"/>
  <c r="H24" i="59"/>
  <c r="H16" i="59"/>
  <c r="H31" i="59"/>
  <c r="H23" i="59"/>
  <c r="H15" i="59"/>
  <c r="H7" i="59"/>
  <c r="H30" i="59"/>
  <c r="H22" i="59"/>
  <c r="H14" i="59"/>
  <c r="H29" i="59"/>
  <c r="H21" i="59"/>
  <c r="H13" i="59"/>
  <c r="H5" i="59"/>
  <c r="H28" i="59"/>
  <c r="H20" i="59"/>
  <c r="H12" i="59"/>
  <c r="H35" i="59"/>
  <c r="H27" i="59"/>
  <c r="H19" i="59"/>
  <c r="H3" i="59"/>
  <c r="H34" i="59"/>
  <c r="H26" i="59"/>
  <c r="H18" i="59"/>
  <c r="H10" i="59"/>
  <c r="H2" i="59"/>
  <c r="F2" i="56"/>
  <c r="F3" i="56"/>
  <c r="F4" i="56"/>
  <c r="E2" i="56"/>
  <c r="E3" i="56"/>
  <c r="E4" i="56"/>
  <c r="I2" i="54"/>
  <c r="I3" i="54"/>
  <c r="I4" i="54"/>
  <c r="I5" i="54"/>
  <c r="I6" i="54"/>
  <c r="I7" i="54"/>
  <c r="I8" i="54"/>
  <c r="I9" i="54"/>
  <c r="I10" i="54"/>
  <c r="I11" i="54"/>
  <c r="I12" i="54"/>
  <c r="I13" i="54"/>
  <c r="I14" i="54"/>
  <c r="I15" i="54"/>
  <c r="I16" i="54"/>
  <c r="I17" i="54"/>
  <c r="I18" i="54"/>
  <c r="I19" i="54"/>
  <c r="I20" i="54"/>
  <c r="I21" i="54"/>
  <c r="I22" i="54"/>
  <c r="I23" i="54"/>
  <c r="I24" i="54"/>
  <c r="I25" i="54"/>
  <c r="I26" i="54"/>
  <c r="I27" i="54"/>
  <c r="I28" i="54"/>
  <c r="I29" i="54"/>
  <c r="I30" i="54"/>
  <c r="I31" i="54"/>
  <c r="I32" i="54"/>
  <c r="I33" i="54"/>
  <c r="I34" i="54"/>
  <c r="H2" i="54"/>
  <c r="H3" i="54"/>
  <c r="H4" i="54"/>
  <c r="H5" i="54"/>
  <c r="H6" i="54"/>
  <c r="H7" i="54"/>
  <c r="H8" i="54"/>
  <c r="H9" i="54"/>
  <c r="H10" i="54"/>
  <c r="H11" i="54"/>
  <c r="H12" i="54"/>
  <c r="H13" i="54"/>
  <c r="H14" i="54"/>
  <c r="H15" i="54"/>
  <c r="H16" i="54"/>
  <c r="H17" i="54"/>
  <c r="H18" i="54"/>
  <c r="H19" i="54"/>
  <c r="H20" i="54"/>
  <c r="H21" i="54"/>
  <c r="H22" i="54"/>
  <c r="H23" i="54"/>
  <c r="H24" i="54"/>
  <c r="H25" i="54"/>
  <c r="H26" i="54"/>
  <c r="H27" i="54"/>
  <c r="H28" i="54"/>
  <c r="H29" i="54"/>
  <c r="H30" i="54"/>
  <c r="H31" i="54"/>
  <c r="H32" i="54"/>
  <c r="H33" i="54"/>
  <c r="H34" i="54"/>
  <c r="J2" i="122"/>
  <c r="J3" i="122"/>
  <c r="J4" i="122"/>
  <c r="J5" i="122"/>
  <c r="J6" i="122"/>
  <c r="J7" i="122"/>
  <c r="J8" i="122"/>
  <c r="J9" i="122"/>
  <c r="J10" i="122"/>
  <c r="J11" i="122"/>
  <c r="J12" i="122"/>
  <c r="J13" i="122"/>
  <c r="J14" i="122"/>
  <c r="J15" i="122"/>
  <c r="J16" i="122"/>
  <c r="J17" i="122"/>
  <c r="J18" i="122"/>
  <c r="J19" i="122"/>
  <c r="J20" i="122"/>
  <c r="J21" i="122"/>
  <c r="J22" i="122"/>
  <c r="J23" i="122"/>
  <c r="J24" i="122"/>
  <c r="J25" i="122"/>
  <c r="J26" i="122"/>
  <c r="J27" i="122"/>
  <c r="J28" i="122"/>
  <c r="J29" i="122"/>
  <c r="J30" i="122"/>
  <c r="J31" i="122"/>
  <c r="J32" i="122"/>
  <c r="J33" i="122"/>
  <c r="J34" i="122"/>
  <c r="J35" i="122"/>
  <c r="J36" i="122"/>
  <c r="J37" i="122"/>
  <c r="J38" i="122"/>
  <c r="J39" i="122"/>
  <c r="J40" i="122"/>
  <c r="J41" i="122"/>
  <c r="J42" i="122"/>
  <c r="J43" i="122"/>
  <c r="J44" i="122"/>
  <c r="J45" i="122"/>
  <c r="J46" i="122"/>
  <c r="J47" i="122"/>
  <c r="J48" i="122"/>
  <c r="J49" i="122"/>
  <c r="J50" i="122"/>
  <c r="J51" i="122"/>
  <c r="J52" i="122"/>
  <c r="J53" i="122"/>
  <c r="J54" i="122"/>
  <c r="J55" i="122"/>
  <c r="J56" i="122"/>
  <c r="J57" i="122"/>
  <c r="J58" i="122"/>
  <c r="J59" i="122"/>
  <c r="J60" i="122"/>
  <c r="J61" i="122"/>
  <c r="J62" i="122"/>
  <c r="J63" i="122"/>
  <c r="J64" i="122"/>
  <c r="J65" i="122"/>
  <c r="J66" i="122"/>
  <c r="J67" i="122"/>
  <c r="J68" i="122"/>
  <c r="J69" i="122"/>
  <c r="J70" i="122"/>
  <c r="J71" i="122"/>
  <c r="J72" i="122"/>
  <c r="J73" i="122"/>
  <c r="J74" i="122"/>
  <c r="J75" i="122"/>
  <c r="J76" i="122"/>
  <c r="J77" i="122"/>
  <c r="J78" i="122"/>
  <c r="J79" i="122"/>
  <c r="J80" i="122"/>
  <c r="J81" i="122"/>
  <c r="J82" i="122"/>
  <c r="J83" i="122"/>
  <c r="J84" i="122"/>
  <c r="J85" i="122"/>
  <c r="J86" i="122"/>
  <c r="J87" i="122"/>
  <c r="J88" i="122"/>
  <c r="J89" i="122"/>
  <c r="J90" i="122"/>
  <c r="J91" i="122"/>
  <c r="J92" i="122"/>
  <c r="J93" i="122"/>
  <c r="J94" i="122"/>
  <c r="J95" i="122"/>
  <c r="J96" i="122"/>
  <c r="J97" i="122"/>
  <c r="J98" i="122"/>
  <c r="J99" i="122"/>
  <c r="J100" i="122"/>
  <c r="J101" i="122"/>
  <c r="J102" i="122"/>
  <c r="J103" i="122"/>
  <c r="J104" i="122"/>
  <c r="J105" i="122"/>
  <c r="J106" i="122"/>
  <c r="J107" i="122"/>
  <c r="J108" i="122"/>
  <c r="J109" i="122"/>
  <c r="J110" i="122"/>
  <c r="J111" i="122"/>
  <c r="J112" i="122"/>
  <c r="J113" i="122"/>
  <c r="J114" i="122"/>
  <c r="J115" i="122"/>
  <c r="J116" i="122"/>
  <c r="J117" i="122"/>
  <c r="J118" i="122"/>
  <c r="J119" i="122"/>
  <c r="J120" i="122"/>
  <c r="J121" i="122"/>
  <c r="J122" i="122"/>
  <c r="J131" i="122"/>
  <c r="J132" i="122"/>
  <c r="J133" i="122"/>
  <c r="J134" i="122"/>
  <c r="J135" i="122"/>
  <c r="J136" i="122"/>
  <c r="J137" i="122"/>
  <c r="J138" i="122"/>
  <c r="J139" i="122"/>
  <c r="J140" i="122"/>
  <c r="J141" i="122"/>
  <c r="J142" i="122"/>
  <c r="J143" i="122"/>
  <c r="J144" i="122"/>
  <c r="J145" i="122"/>
  <c r="J146" i="122"/>
  <c r="J147" i="122"/>
  <c r="J148" i="122"/>
  <c r="J149" i="122"/>
  <c r="J150" i="122"/>
  <c r="J151" i="122"/>
  <c r="J152" i="122"/>
  <c r="J153" i="122"/>
  <c r="J154" i="122"/>
  <c r="J155" i="122"/>
  <c r="J156" i="122"/>
  <c r="J157" i="122"/>
  <c r="J158" i="122"/>
  <c r="J159" i="122"/>
  <c r="J160" i="122"/>
  <c r="J161" i="122"/>
  <c r="J162" i="122"/>
  <c r="J163" i="122"/>
  <c r="J164" i="122"/>
  <c r="J165" i="122"/>
  <c r="J166" i="122"/>
  <c r="J167" i="122"/>
  <c r="J168" i="122"/>
  <c r="J169" i="122"/>
  <c r="J170" i="122"/>
  <c r="J171" i="122"/>
  <c r="J172" i="122"/>
  <c r="J173" i="122"/>
  <c r="J174" i="122"/>
  <c r="J175" i="122"/>
  <c r="J176" i="122"/>
  <c r="J177" i="122"/>
  <c r="J178" i="122"/>
  <c r="J179" i="122"/>
  <c r="J180" i="122"/>
  <c r="J181" i="122"/>
  <c r="J182" i="122"/>
  <c r="J183" i="122"/>
  <c r="J184" i="122"/>
  <c r="J185" i="122"/>
  <c r="J186" i="122"/>
  <c r="J187" i="122"/>
  <c r="J188" i="122"/>
  <c r="J189" i="122"/>
  <c r="J190" i="122"/>
  <c r="J191" i="122"/>
  <c r="J192" i="122"/>
  <c r="J193" i="122"/>
  <c r="J194" i="122"/>
  <c r="J195" i="122"/>
  <c r="J196" i="122"/>
  <c r="J197" i="122"/>
  <c r="J198" i="122"/>
  <c r="J199" i="122"/>
  <c r="J200" i="122"/>
  <c r="J201" i="122"/>
  <c r="J202" i="122"/>
  <c r="J203" i="122"/>
  <c r="J204" i="122"/>
  <c r="J205" i="122"/>
  <c r="J206" i="122"/>
  <c r="J207" i="122"/>
  <c r="J208" i="122"/>
  <c r="J209" i="122"/>
  <c r="J210" i="122"/>
  <c r="J211" i="122"/>
  <c r="J212" i="122"/>
  <c r="J213" i="122"/>
  <c r="J214" i="122"/>
  <c r="J215" i="122"/>
  <c r="J216" i="122"/>
  <c r="J217" i="122"/>
  <c r="J218" i="122"/>
  <c r="J219" i="122"/>
  <c r="J220" i="122"/>
  <c r="J221" i="122"/>
  <c r="J222" i="122"/>
  <c r="J223" i="122"/>
  <c r="J224" i="122"/>
  <c r="J225" i="122"/>
  <c r="J226" i="122"/>
  <c r="J227" i="122"/>
  <c r="J228" i="122"/>
  <c r="J229" i="122"/>
  <c r="J230" i="122"/>
  <c r="J231" i="122"/>
  <c r="J232" i="122"/>
  <c r="J233" i="122"/>
  <c r="J234" i="122"/>
  <c r="J235" i="122"/>
  <c r="J236" i="122"/>
  <c r="J237" i="122"/>
  <c r="J238" i="122"/>
  <c r="J239" i="122"/>
  <c r="J240" i="122"/>
  <c r="J241" i="122"/>
  <c r="J242" i="122"/>
  <c r="J243" i="122"/>
  <c r="J244" i="122"/>
  <c r="J245" i="122"/>
  <c r="J246" i="122"/>
  <c r="J247" i="122"/>
  <c r="J248" i="122"/>
  <c r="J249" i="122"/>
  <c r="J250" i="122"/>
  <c r="J251" i="122"/>
  <c r="J252" i="122"/>
  <c r="J253" i="122"/>
  <c r="J254" i="122"/>
  <c r="J255" i="122"/>
  <c r="J256" i="122"/>
  <c r="J257" i="122"/>
  <c r="J258" i="122"/>
  <c r="J259" i="122"/>
  <c r="J260" i="122"/>
  <c r="J261" i="122"/>
  <c r="J262" i="122"/>
  <c r="J263" i="122"/>
  <c r="J264" i="122"/>
  <c r="J265" i="122"/>
  <c r="J266" i="122"/>
  <c r="J267" i="122"/>
  <c r="J268" i="122"/>
  <c r="J269" i="122"/>
  <c r="J270" i="122"/>
  <c r="J271" i="122"/>
  <c r="J272" i="122"/>
  <c r="J273" i="122"/>
  <c r="J274" i="122"/>
  <c r="J275" i="122"/>
  <c r="J276" i="122"/>
  <c r="J277" i="122"/>
  <c r="J278" i="122"/>
  <c r="J279" i="122"/>
  <c r="J280" i="122"/>
  <c r="J281" i="122"/>
  <c r="J282" i="122"/>
  <c r="J283" i="122"/>
  <c r="J284" i="122"/>
  <c r="J285" i="122"/>
  <c r="J286" i="122"/>
  <c r="J287" i="122"/>
  <c r="J288" i="122"/>
  <c r="J289" i="122"/>
  <c r="J290" i="122"/>
  <c r="J291" i="122"/>
  <c r="J292" i="122"/>
  <c r="J293" i="122"/>
  <c r="J294" i="122"/>
  <c r="J295" i="122"/>
  <c r="J296" i="122"/>
  <c r="J297" i="122"/>
  <c r="J298" i="122"/>
  <c r="J299" i="122"/>
  <c r="J300" i="122"/>
  <c r="J301" i="122"/>
  <c r="J302" i="122"/>
  <c r="J303" i="122"/>
  <c r="J304" i="122"/>
  <c r="J305" i="122"/>
  <c r="J306" i="122"/>
  <c r="J307" i="122"/>
  <c r="J308" i="122"/>
  <c r="J309" i="122"/>
  <c r="J310" i="122"/>
  <c r="J311" i="122"/>
  <c r="J312" i="122"/>
  <c r="J313" i="122"/>
  <c r="J314" i="122"/>
  <c r="J315" i="122"/>
  <c r="J316" i="122"/>
  <c r="J317" i="122"/>
  <c r="J318" i="122"/>
  <c r="J319" i="122"/>
  <c r="J320" i="122"/>
  <c r="J321" i="122"/>
  <c r="J322" i="122"/>
  <c r="J323" i="122"/>
  <c r="J324" i="122"/>
  <c r="J325" i="122"/>
  <c r="J326" i="122"/>
  <c r="J327" i="122"/>
  <c r="J328" i="122"/>
  <c r="J329" i="122"/>
  <c r="J330" i="122"/>
  <c r="J331" i="122"/>
  <c r="J332" i="122"/>
  <c r="J333" i="122"/>
  <c r="J334" i="122"/>
  <c r="J335" i="122"/>
  <c r="J336" i="122"/>
  <c r="J337" i="122"/>
  <c r="J338" i="122"/>
  <c r="J339" i="122"/>
  <c r="J340" i="122"/>
  <c r="J341" i="122"/>
  <c r="J342" i="122"/>
  <c r="J343" i="122"/>
  <c r="J344" i="122"/>
  <c r="J345" i="122"/>
  <c r="J346" i="122"/>
  <c r="J347" i="122"/>
  <c r="J348" i="122"/>
  <c r="J349" i="122"/>
  <c r="J350" i="122"/>
  <c r="J351" i="122"/>
  <c r="J352" i="122"/>
  <c r="J353" i="122"/>
  <c r="J354" i="122"/>
  <c r="J355" i="122"/>
  <c r="J356" i="122"/>
  <c r="J357" i="122"/>
  <c r="J358" i="122"/>
  <c r="J359" i="122"/>
  <c r="J360" i="122"/>
  <c r="J361" i="122"/>
  <c r="J362" i="122"/>
  <c r="J363" i="122"/>
  <c r="J364" i="122"/>
  <c r="J365" i="122"/>
  <c r="J366" i="122"/>
  <c r="J367" i="122"/>
  <c r="J368" i="122"/>
  <c r="J369" i="122"/>
  <c r="J370" i="122"/>
  <c r="J371" i="122"/>
  <c r="J372" i="122"/>
  <c r="J373" i="122"/>
  <c r="J374" i="122"/>
  <c r="J375" i="122"/>
  <c r="J376" i="122"/>
  <c r="J377" i="122"/>
  <c r="J378" i="122"/>
  <c r="J379" i="122"/>
  <c r="J380" i="122"/>
  <c r="J381" i="122"/>
  <c r="J382" i="122"/>
  <c r="J383" i="122"/>
  <c r="J384" i="122"/>
  <c r="J385" i="122"/>
  <c r="J386" i="122"/>
  <c r="J387" i="122"/>
  <c r="J388" i="122"/>
  <c r="J389" i="122"/>
  <c r="J390" i="122"/>
  <c r="J391" i="122"/>
  <c r="J392" i="122"/>
  <c r="J393" i="122"/>
  <c r="J394" i="122"/>
  <c r="J395" i="122"/>
  <c r="J396" i="122"/>
  <c r="J397" i="122"/>
  <c r="J398" i="122"/>
  <c r="J399" i="122"/>
  <c r="J400" i="122"/>
  <c r="J401" i="122"/>
  <c r="J402" i="122"/>
  <c r="J403" i="122"/>
  <c r="J404" i="122"/>
  <c r="J405" i="122"/>
  <c r="J406" i="122"/>
  <c r="J407" i="122"/>
  <c r="J408" i="122"/>
  <c r="J409" i="122"/>
  <c r="J410" i="122"/>
  <c r="J411" i="122"/>
  <c r="J412" i="122"/>
  <c r="J413" i="122"/>
  <c r="J414" i="122"/>
  <c r="J415" i="122"/>
  <c r="J416" i="122"/>
  <c r="J417" i="122"/>
  <c r="J418" i="122"/>
  <c r="J419" i="122"/>
  <c r="J420" i="122"/>
  <c r="J421" i="122"/>
  <c r="J422" i="122"/>
  <c r="J423" i="122"/>
  <c r="J424" i="122"/>
  <c r="J425" i="122"/>
  <c r="J426" i="122"/>
  <c r="J427" i="122"/>
  <c r="J428" i="122"/>
  <c r="J429" i="122"/>
  <c r="J430" i="122"/>
  <c r="J431" i="122"/>
  <c r="J432" i="122"/>
  <c r="J433" i="122"/>
  <c r="J434" i="122"/>
  <c r="J435" i="122"/>
  <c r="J436" i="122"/>
  <c r="J437" i="122"/>
  <c r="J438" i="122"/>
  <c r="J439" i="122"/>
  <c r="J440" i="122"/>
  <c r="J441" i="122"/>
  <c r="J442" i="122"/>
  <c r="J443" i="122"/>
  <c r="J444" i="122"/>
  <c r="J445" i="122"/>
  <c r="J446" i="122"/>
  <c r="J447" i="122"/>
  <c r="J448" i="122"/>
  <c r="J449" i="122"/>
  <c r="J450" i="122"/>
  <c r="J451" i="122"/>
  <c r="J452" i="122"/>
  <c r="J453" i="122"/>
  <c r="J454" i="122"/>
  <c r="J455" i="122"/>
  <c r="J456" i="122"/>
  <c r="J457" i="122"/>
  <c r="J458" i="122"/>
  <c r="J459" i="122"/>
  <c r="J460" i="122"/>
  <c r="J461" i="122"/>
  <c r="J462" i="122"/>
  <c r="J463" i="122"/>
  <c r="J464" i="122"/>
  <c r="J465" i="122"/>
  <c r="J466" i="122"/>
  <c r="J467" i="122"/>
  <c r="J468" i="122"/>
  <c r="J469" i="122"/>
  <c r="J470" i="122"/>
  <c r="J471" i="122"/>
  <c r="J472" i="122"/>
  <c r="J473" i="122"/>
  <c r="J474" i="122"/>
  <c r="J475" i="122"/>
  <c r="J476" i="122"/>
  <c r="J477" i="122"/>
  <c r="J478" i="122"/>
  <c r="J479" i="122"/>
  <c r="J480" i="122"/>
  <c r="J481" i="122"/>
  <c r="J482" i="122"/>
  <c r="J483" i="122"/>
  <c r="J484" i="122"/>
  <c r="J485" i="122"/>
  <c r="J486" i="122"/>
  <c r="J487" i="122"/>
  <c r="J488" i="122"/>
  <c r="J489" i="122"/>
  <c r="J490" i="122"/>
  <c r="J491" i="122"/>
  <c r="J492" i="122"/>
  <c r="J493" i="122"/>
  <c r="J494" i="122"/>
  <c r="J495" i="122"/>
  <c r="J496" i="122"/>
  <c r="I2" i="122"/>
  <c r="I3" i="122"/>
  <c r="I4" i="122"/>
  <c r="I5" i="122"/>
  <c r="I6" i="122"/>
  <c r="I7" i="122"/>
  <c r="I8" i="122"/>
  <c r="I9" i="122"/>
  <c r="I10" i="122"/>
  <c r="I11" i="122"/>
  <c r="I12" i="122"/>
  <c r="I13" i="122"/>
  <c r="I14" i="122"/>
  <c r="I15" i="122"/>
  <c r="I16" i="122"/>
  <c r="I17" i="122"/>
  <c r="I18" i="122"/>
  <c r="I19" i="122"/>
  <c r="I20" i="122"/>
  <c r="I21" i="122"/>
  <c r="I22" i="122"/>
  <c r="I23" i="122"/>
  <c r="I24" i="122"/>
  <c r="I25" i="122"/>
  <c r="I26" i="122"/>
  <c r="I27" i="122"/>
  <c r="I28" i="122"/>
  <c r="I29" i="122"/>
  <c r="I30" i="122"/>
  <c r="I31" i="122"/>
  <c r="I32" i="122"/>
  <c r="I33" i="122"/>
  <c r="I34" i="122"/>
  <c r="I35" i="122"/>
  <c r="I36" i="122"/>
  <c r="I37" i="122"/>
  <c r="I38" i="122"/>
  <c r="I39" i="122"/>
  <c r="I40" i="122"/>
  <c r="I41" i="122"/>
  <c r="I42" i="122"/>
  <c r="I43" i="122"/>
  <c r="I44" i="122"/>
  <c r="I45" i="122"/>
  <c r="I46" i="122"/>
  <c r="I47" i="122"/>
  <c r="I48" i="122"/>
  <c r="I49" i="122"/>
  <c r="I50" i="122"/>
  <c r="I51" i="122"/>
  <c r="I52" i="122"/>
  <c r="I53" i="122"/>
  <c r="I54" i="122"/>
  <c r="I55" i="122"/>
  <c r="I56" i="122"/>
  <c r="I57" i="122"/>
  <c r="I58" i="122"/>
  <c r="I59" i="122"/>
  <c r="I60" i="122"/>
  <c r="I61" i="122"/>
  <c r="I62" i="122"/>
  <c r="I63" i="122"/>
  <c r="I64" i="122"/>
  <c r="I65" i="122"/>
  <c r="I66" i="122"/>
  <c r="I67" i="122"/>
  <c r="I68" i="122"/>
  <c r="I69" i="122"/>
  <c r="I70" i="122"/>
  <c r="I71" i="122"/>
  <c r="I72" i="122"/>
  <c r="I73" i="122"/>
  <c r="I74" i="122"/>
  <c r="I75" i="122"/>
  <c r="I76" i="122"/>
  <c r="I77" i="122"/>
  <c r="I78" i="122"/>
  <c r="I79" i="122"/>
  <c r="I80" i="122"/>
  <c r="I81" i="122"/>
  <c r="I82" i="122"/>
  <c r="I83" i="122"/>
  <c r="I84" i="122"/>
  <c r="I85" i="122"/>
  <c r="I86" i="122"/>
  <c r="I87" i="122"/>
  <c r="I88" i="122"/>
  <c r="I89" i="122"/>
  <c r="I90" i="122"/>
  <c r="I91" i="122"/>
  <c r="I92" i="122"/>
  <c r="I93" i="122"/>
  <c r="I94" i="122"/>
  <c r="I95" i="122"/>
  <c r="I96" i="122"/>
  <c r="I97" i="122"/>
  <c r="I98" i="122"/>
  <c r="I99" i="122"/>
  <c r="I100" i="122"/>
  <c r="I101" i="122"/>
  <c r="I102" i="122"/>
  <c r="I103" i="122"/>
  <c r="I104" i="122"/>
  <c r="I105" i="122"/>
  <c r="I106" i="122"/>
  <c r="I107" i="122"/>
  <c r="I108" i="122"/>
  <c r="I109" i="122"/>
  <c r="I110" i="122"/>
  <c r="I111" i="122"/>
  <c r="I112" i="122"/>
  <c r="I113" i="122"/>
  <c r="I114" i="122"/>
  <c r="I115" i="122"/>
  <c r="I116" i="122"/>
  <c r="I117" i="122"/>
  <c r="I118" i="122"/>
  <c r="I119" i="122"/>
  <c r="I120" i="122"/>
  <c r="I121" i="122"/>
  <c r="I122" i="122"/>
  <c r="I131" i="122"/>
  <c r="I132" i="122"/>
  <c r="I133" i="122"/>
  <c r="I134" i="122"/>
  <c r="I135" i="122"/>
  <c r="I136" i="122"/>
  <c r="I137" i="122"/>
  <c r="I138" i="122"/>
  <c r="I139" i="122"/>
  <c r="I140" i="122"/>
  <c r="I141" i="122"/>
  <c r="I142" i="122"/>
  <c r="I143" i="122"/>
  <c r="I144" i="122"/>
  <c r="I145" i="122"/>
  <c r="I146" i="122"/>
  <c r="I147" i="122"/>
  <c r="I148" i="122"/>
  <c r="I149" i="122"/>
  <c r="I150" i="122"/>
  <c r="I151" i="122"/>
  <c r="I152" i="122"/>
  <c r="I153" i="122"/>
  <c r="I154" i="122"/>
  <c r="I155" i="122"/>
  <c r="I156" i="122"/>
  <c r="I157" i="122"/>
  <c r="I158" i="122"/>
  <c r="I159" i="122"/>
  <c r="I160" i="122"/>
  <c r="I161" i="122"/>
  <c r="I162" i="122"/>
  <c r="I163" i="122"/>
  <c r="I164" i="122"/>
  <c r="I165" i="122"/>
  <c r="I166" i="122"/>
  <c r="I167" i="122"/>
  <c r="I168" i="122"/>
  <c r="I169" i="122"/>
  <c r="I170" i="122"/>
  <c r="I171" i="122"/>
  <c r="I172" i="122"/>
  <c r="I173" i="122"/>
  <c r="I174" i="122"/>
  <c r="I175" i="122"/>
  <c r="I176" i="122"/>
  <c r="I177" i="122"/>
  <c r="I178" i="122"/>
  <c r="I179" i="122"/>
  <c r="I180" i="122"/>
  <c r="I181" i="122"/>
  <c r="I182" i="122"/>
  <c r="I183" i="122"/>
  <c r="I184" i="122"/>
  <c r="I185" i="122"/>
  <c r="I186" i="122"/>
  <c r="I187" i="122"/>
  <c r="I188" i="122"/>
  <c r="I189" i="122"/>
  <c r="I190" i="122"/>
  <c r="I191" i="122"/>
  <c r="I192" i="122"/>
  <c r="I193" i="122"/>
  <c r="I194" i="122"/>
  <c r="I195" i="122"/>
  <c r="I196" i="122"/>
  <c r="I197" i="122"/>
  <c r="I198" i="122"/>
  <c r="I199" i="122"/>
  <c r="I200" i="122"/>
  <c r="I201" i="122"/>
  <c r="I202" i="122"/>
  <c r="I203" i="122"/>
  <c r="I204" i="122"/>
  <c r="I205" i="122"/>
  <c r="I206" i="122"/>
  <c r="I207" i="122"/>
  <c r="I208" i="122"/>
  <c r="I209" i="122"/>
  <c r="I210" i="122"/>
  <c r="I211" i="122"/>
  <c r="I212" i="122"/>
  <c r="I213" i="122"/>
  <c r="I214" i="122"/>
  <c r="I215" i="122"/>
  <c r="I216" i="122"/>
  <c r="I217" i="122"/>
  <c r="I218" i="122"/>
  <c r="I219" i="122"/>
  <c r="I220" i="122"/>
  <c r="I221" i="122"/>
  <c r="I222" i="122"/>
  <c r="I223" i="122"/>
  <c r="I224" i="122"/>
  <c r="I225" i="122"/>
  <c r="I226" i="122"/>
  <c r="I227" i="122"/>
  <c r="I228" i="122"/>
  <c r="I229" i="122"/>
  <c r="I230" i="122"/>
  <c r="I231" i="122"/>
  <c r="I232" i="122"/>
  <c r="I233" i="122"/>
  <c r="I234" i="122"/>
  <c r="I235" i="122"/>
  <c r="I236" i="122"/>
  <c r="I237" i="122"/>
  <c r="I238" i="122"/>
  <c r="I239" i="122"/>
  <c r="I240" i="122"/>
  <c r="I241" i="122"/>
  <c r="I242" i="122"/>
  <c r="I243" i="122"/>
  <c r="I244" i="122"/>
  <c r="I245" i="122"/>
  <c r="I246" i="122"/>
  <c r="I247" i="122"/>
  <c r="I248" i="122"/>
  <c r="I249" i="122"/>
  <c r="I250" i="122"/>
  <c r="I251" i="122"/>
  <c r="I252" i="122"/>
  <c r="I253" i="122"/>
  <c r="I254" i="122"/>
  <c r="I255" i="122"/>
  <c r="I256" i="122"/>
  <c r="I257" i="122"/>
  <c r="I258" i="122"/>
  <c r="I259" i="122"/>
  <c r="I260" i="122"/>
  <c r="I261" i="122"/>
  <c r="I262" i="122"/>
  <c r="I263" i="122"/>
  <c r="I264" i="122"/>
  <c r="I265" i="122"/>
  <c r="I266" i="122"/>
  <c r="I267" i="122"/>
  <c r="I268" i="122"/>
  <c r="I269" i="122"/>
  <c r="I270" i="122"/>
  <c r="I271" i="122"/>
  <c r="I272" i="122"/>
  <c r="I273" i="122"/>
  <c r="I274" i="122"/>
  <c r="I275" i="122"/>
  <c r="I276" i="122"/>
  <c r="I277" i="122"/>
  <c r="I278" i="122"/>
  <c r="I279" i="122"/>
  <c r="I280" i="122"/>
  <c r="I281" i="122"/>
  <c r="I282" i="122"/>
  <c r="I283" i="122"/>
  <c r="I284" i="122"/>
  <c r="I285" i="122"/>
  <c r="I286" i="122"/>
  <c r="I287" i="122"/>
  <c r="I288" i="122"/>
  <c r="I289" i="122"/>
  <c r="I290" i="122"/>
  <c r="I291" i="122"/>
  <c r="I292" i="122"/>
  <c r="I293" i="122"/>
  <c r="I294" i="122"/>
  <c r="I295" i="122"/>
  <c r="I296" i="122"/>
  <c r="I297" i="122"/>
  <c r="I298" i="122"/>
  <c r="I299" i="122"/>
  <c r="I300" i="122"/>
  <c r="I301" i="122"/>
  <c r="I302" i="122"/>
  <c r="I303" i="122"/>
  <c r="I304" i="122"/>
  <c r="I305" i="122"/>
  <c r="I306" i="122"/>
  <c r="I307" i="122"/>
  <c r="I308" i="122"/>
  <c r="I309" i="122"/>
  <c r="I310" i="122"/>
  <c r="I311" i="122"/>
  <c r="I312" i="122"/>
  <c r="I313" i="122"/>
  <c r="I314" i="122"/>
  <c r="I315" i="122"/>
  <c r="I316" i="122"/>
  <c r="I317" i="122"/>
  <c r="I318" i="122"/>
  <c r="I319" i="122"/>
  <c r="I320" i="122"/>
  <c r="I321" i="122"/>
  <c r="I322" i="122"/>
  <c r="I323" i="122"/>
  <c r="I324" i="122"/>
  <c r="I325" i="122"/>
  <c r="I326" i="122"/>
  <c r="I327" i="122"/>
  <c r="I328" i="122"/>
  <c r="I329" i="122"/>
  <c r="I330" i="122"/>
  <c r="I331" i="122"/>
  <c r="I332" i="122"/>
  <c r="I333" i="122"/>
  <c r="I334" i="122"/>
  <c r="I335" i="122"/>
  <c r="I336" i="122"/>
  <c r="I337" i="122"/>
  <c r="I338" i="122"/>
  <c r="I339" i="122"/>
  <c r="I340" i="122"/>
  <c r="I341" i="122"/>
  <c r="I342" i="122"/>
  <c r="I343" i="122"/>
  <c r="I344" i="122"/>
  <c r="I345" i="122"/>
  <c r="I346" i="122"/>
  <c r="I347" i="122"/>
  <c r="I348" i="122"/>
  <c r="I349" i="122"/>
  <c r="I350" i="122"/>
  <c r="I351" i="122"/>
  <c r="I352" i="122"/>
  <c r="I353" i="122"/>
  <c r="I354" i="122"/>
  <c r="I355" i="122"/>
  <c r="I356" i="122"/>
  <c r="I357" i="122"/>
  <c r="I358" i="122"/>
  <c r="I359" i="122"/>
  <c r="I360" i="122"/>
  <c r="I361" i="122"/>
  <c r="I362" i="122"/>
  <c r="I363" i="122"/>
  <c r="I364" i="122"/>
  <c r="I365" i="122"/>
  <c r="I366" i="122"/>
  <c r="I367" i="122"/>
  <c r="I368" i="122"/>
  <c r="I369" i="122"/>
  <c r="I370" i="122"/>
  <c r="I371" i="122"/>
  <c r="I372" i="122"/>
  <c r="I373" i="122"/>
  <c r="I374" i="122"/>
  <c r="I375" i="122"/>
  <c r="I376" i="122"/>
  <c r="I377" i="122"/>
  <c r="I378" i="122"/>
  <c r="I379" i="122"/>
  <c r="I380" i="122"/>
  <c r="I381" i="122"/>
  <c r="I382" i="122"/>
  <c r="I383" i="122"/>
  <c r="I384" i="122"/>
  <c r="I385" i="122"/>
  <c r="I386" i="122"/>
  <c r="I387" i="122"/>
  <c r="I388" i="122"/>
  <c r="I389" i="122"/>
  <c r="I390" i="122"/>
  <c r="I391" i="122"/>
  <c r="I392" i="122"/>
  <c r="I393" i="122"/>
  <c r="I394" i="122"/>
  <c r="I395" i="122"/>
  <c r="I396" i="122"/>
  <c r="I397" i="122"/>
  <c r="I398" i="122"/>
  <c r="I399" i="122"/>
  <c r="I400" i="122"/>
  <c r="I401" i="122"/>
  <c r="I402" i="122"/>
  <c r="I403" i="122"/>
  <c r="I404" i="122"/>
  <c r="I405" i="122"/>
  <c r="I406" i="122"/>
  <c r="I407" i="122"/>
  <c r="I408" i="122"/>
  <c r="I409" i="122"/>
  <c r="I410" i="122"/>
  <c r="I411" i="122"/>
  <c r="I412" i="122"/>
  <c r="I413" i="122"/>
  <c r="I414" i="122"/>
  <c r="I415" i="122"/>
  <c r="I416" i="122"/>
  <c r="I417" i="122"/>
  <c r="I418" i="122"/>
  <c r="I419" i="122"/>
  <c r="I420" i="122"/>
  <c r="I421" i="122"/>
  <c r="I422" i="122"/>
  <c r="I423" i="122"/>
  <c r="I424" i="122"/>
  <c r="I425" i="122"/>
  <c r="I426" i="122"/>
  <c r="I427" i="122"/>
  <c r="I428" i="122"/>
  <c r="I429" i="122"/>
  <c r="I430" i="122"/>
  <c r="I431" i="122"/>
  <c r="I432" i="122"/>
  <c r="I433" i="122"/>
  <c r="I434" i="122"/>
  <c r="I435" i="122"/>
  <c r="I436" i="122"/>
  <c r="I437" i="122"/>
  <c r="I438" i="122"/>
  <c r="I439" i="122"/>
  <c r="I440" i="122"/>
  <c r="I441" i="122"/>
  <c r="I442" i="122"/>
  <c r="I443" i="122"/>
  <c r="I444" i="122"/>
  <c r="I445" i="122"/>
  <c r="I446" i="122"/>
  <c r="I447" i="122"/>
  <c r="I448" i="122"/>
  <c r="I449" i="122"/>
  <c r="I450" i="122"/>
  <c r="I451" i="122"/>
  <c r="I452" i="122"/>
  <c r="I453" i="122"/>
  <c r="I454" i="122"/>
  <c r="I455" i="122"/>
  <c r="I456" i="122"/>
  <c r="I457" i="122"/>
  <c r="I458" i="122"/>
  <c r="I459" i="122"/>
  <c r="I460" i="122"/>
  <c r="I461" i="122"/>
  <c r="I462" i="122"/>
  <c r="I463" i="122"/>
  <c r="I464" i="122"/>
  <c r="I465" i="122"/>
  <c r="I466" i="122"/>
  <c r="I467" i="122"/>
  <c r="I468" i="122"/>
  <c r="I469" i="122"/>
  <c r="I470" i="122"/>
  <c r="I471" i="122"/>
  <c r="I472" i="122"/>
  <c r="I473" i="122"/>
  <c r="I474" i="122"/>
  <c r="I475" i="122"/>
  <c r="I476" i="122"/>
  <c r="I477" i="122"/>
  <c r="I478" i="122"/>
  <c r="I479" i="122"/>
  <c r="I480" i="122"/>
  <c r="I481" i="122"/>
  <c r="I482" i="122"/>
  <c r="I483" i="122"/>
  <c r="I484" i="122"/>
  <c r="I485" i="122"/>
  <c r="I486" i="122"/>
  <c r="I487" i="122"/>
  <c r="I488" i="122"/>
  <c r="I489" i="122"/>
  <c r="I490" i="122"/>
  <c r="I491" i="122"/>
  <c r="I492" i="122"/>
  <c r="I493" i="122"/>
  <c r="I494" i="122"/>
  <c r="I495" i="122"/>
  <c r="I496" i="122"/>
  <c r="E3" i="59"/>
  <c r="E4" i="59"/>
  <c r="E5" i="59"/>
  <c r="E7" i="59"/>
  <c r="E8" i="59"/>
  <c r="E9" i="59"/>
  <c r="E10" i="59"/>
  <c r="E12" i="59"/>
  <c r="E13" i="59"/>
  <c r="E14" i="59"/>
  <c r="E15" i="59"/>
  <c r="E16" i="59"/>
  <c r="E17" i="59"/>
  <c r="E18" i="59"/>
  <c r="E19" i="59"/>
  <c r="E20" i="59"/>
  <c r="E21" i="59"/>
  <c r="E22" i="59"/>
  <c r="E23" i="59"/>
  <c r="E24" i="59"/>
  <c r="E25" i="59"/>
  <c r="E26" i="59"/>
  <c r="E27" i="59"/>
  <c r="E28" i="59"/>
  <c r="E29" i="59"/>
  <c r="E30" i="59"/>
  <c r="E31" i="59"/>
  <c r="E32" i="59"/>
  <c r="E33" i="59"/>
  <c r="E34" i="59"/>
  <c r="E35" i="59"/>
  <c r="D3" i="59"/>
  <c r="D4" i="59"/>
  <c r="D5" i="59"/>
  <c r="D6" i="59"/>
  <c r="D7" i="59"/>
  <c r="D8" i="59"/>
  <c r="D9" i="59"/>
  <c r="D10" i="59"/>
  <c r="D12" i="59"/>
  <c r="D13" i="59"/>
  <c r="D14" i="59"/>
  <c r="D15" i="59"/>
  <c r="D16" i="59"/>
  <c r="D17" i="59"/>
  <c r="D18" i="59"/>
  <c r="D19" i="59"/>
  <c r="D20" i="59"/>
  <c r="D21" i="59"/>
  <c r="D22" i="59"/>
  <c r="D23" i="59"/>
  <c r="D24" i="59"/>
  <c r="D25" i="59"/>
  <c r="D26" i="59"/>
  <c r="D27" i="59"/>
  <c r="D28" i="59"/>
  <c r="D29" i="59"/>
  <c r="D30" i="59"/>
  <c r="D31" i="59"/>
  <c r="D32" i="59"/>
  <c r="D33" i="59"/>
  <c r="D34" i="59"/>
  <c r="D35" i="59"/>
  <c r="C5" i="59"/>
  <c r="C7" i="59"/>
  <c r="C8" i="59"/>
  <c r="C9" i="59"/>
  <c r="C10" i="59"/>
  <c r="C12" i="59"/>
  <c r="C13" i="59"/>
  <c r="C14" i="59"/>
  <c r="C15" i="59"/>
  <c r="C16" i="59"/>
  <c r="C17" i="59"/>
  <c r="C18" i="59"/>
  <c r="C19" i="59"/>
  <c r="C20" i="59"/>
  <c r="C21" i="59"/>
  <c r="C22" i="59"/>
  <c r="C23" i="59"/>
  <c r="C24" i="59"/>
  <c r="C25" i="59"/>
  <c r="C26" i="59"/>
  <c r="C27" i="59"/>
  <c r="C28" i="59"/>
  <c r="C29" i="59"/>
  <c r="C30" i="59"/>
  <c r="C31" i="59"/>
  <c r="C32" i="59"/>
  <c r="C33" i="59"/>
  <c r="C34" i="59"/>
  <c r="C35" i="59"/>
  <c r="H4" i="59" l="1"/>
  <c r="C6" i="59"/>
  <c r="H8" i="59"/>
  <c r="E6" i="59"/>
  <c r="G6" i="59" a="1"/>
  <c r="G6" i="59" s="1"/>
  <c r="A2" i="56"/>
  <c r="B2" i="56"/>
  <c r="D2" i="56"/>
  <c r="G2" i="56"/>
  <c r="A2" i="60"/>
  <c r="B3" i="60" s="1"/>
  <c r="Y3" i="60" s="1"/>
  <c r="Q2" i="69"/>
  <c r="Q2" i="60"/>
  <c r="A3" i="72"/>
  <c r="E3" i="72"/>
  <c r="G3" i="72"/>
  <c r="K3" i="72"/>
  <c r="L3" i="72"/>
  <c r="A3" i="119"/>
  <c r="F3" i="119"/>
  <c r="G3" i="119"/>
  <c r="I3" i="119"/>
  <c r="M3" i="119"/>
  <c r="N3" i="119"/>
  <c r="O3" i="119"/>
  <c r="R2" i="57"/>
  <c r="AD2" i="69" s="1"/>
  <c r="R3" i="57"/>
  <c r="AD3" i="69" s="1"/>
  <c r="AD3" i="60" l="1"/>
  <c r="R3" i="72"/>
  <c r="R3" i="73"/>
  <c r="AD2" i="60"/>
  <c r="R2" i="73"/>
  <c r="I2" i="56"/>
  <c r="U2" i="119"/>
  <c r="R2" i="72"/>
  <c r="U3" i="119"/>
  <c r="G414" i="122" a="1"/>
  <c r="G235" i="122" a="1"/>
  <c r="G179" i="122" a="1"/>
  <c r="G12" i="122" a="1"/>
  <c r="G402" i="122" a="1"/>
  <c r="G310" i="122" a="1"/>
  <c r="G182" i="122" a="1"/>
  <c r="G418" i="122" a="1"/>
  <c r="G449" i="122" a="1"/>
  <c r="G155" i="122" a="1"/>
  <c r="G251" i="122" a="1"/>
  <c r="G59" i="122" a="1"/>
  <c r="G190" i="122" a="1"/>
  <c r="G132" i="122" a="1"/>
  <c r="G181" i="122" a="1"/>
  <c r="G26" i="122" a="1"/>
  <c r="G425" i="122" a="1"/>
  <c r="G411" i="122" a="1"/>
  <c r="G203" i="122" a="1"/>
  <c r="G377" i="122" a="1"/>
  <c r="G477" i="122" a="1"/>
  <c r="G493" i="122" a="1"/>
  <c r="G253" i="122" a="1"/>
  <c r="G354" i="122" a="1"/>
  <c r="G169" i="122" a="1"/>
  <c r="G122" i="122" a="1"/>
  <c r="G40" i="122" a="1"/>
  <c r="G453" i="122" a="1"/>
  <c r="G317" i="122" a="1"/>
  <c r="G99" i="122" a="1"/>
  <c r="G204" i="122" a="1"/>
  <c r="G432" i="122" a="1"/>
  <c r="G164" i="122" a="1"/>
  <c r="G63" i="122" a="1"/>
  <c r="G173" i="122" a="1"/>
  <c r="G131" i="122" a="1"/>
  <c r="G218" i="122" a="1"/>
  <c r="G56" i="122" a="1"/>
  <c r="G176" i="122" a="1"/>
  <c r="G282" i="122" a="1"/>
  <c r="G448" i="122" a="1"/>
  <c r="G58" i="122" a="1"/>
  <c r="G281" i="122" a="1"/>
  <c r="G32" i="122" a="1"/>
  <c r="G456" i="122" a="1"/>
  <c r="E8" i="120" a="1"/>
  <c r="G102" i="122" a="1"/>
  <c r="G298" i="122" a="1"/>
  <c r="G83" i="122" a="1"/>
  <c r="G389" i="122" a="1"/>
  <c r="G445" i="122" a="1"/>
  <c r="G280" i="122" a="1"/>
  <c r="G215" i="122" a="1"/>
  <c r="G219" i="122" a="1"/>
  <c r="G383" i="122" a="1"/>
  <c r="G325" i="122" a="1"/>
  <c r="G212" i="122" a="1"/>
  <c r="G16" i="122" a="1"/>
  <c r="G150" i="122" a="1"/>
  <c r="G207" i="122" a="1"/>
  <c r="G98" i="122" a="1"/>
  <c r="G43" i="122" a="1"/>
  <c r="G146" i="122" a="1"/>
  <c r="G112" i="122" a="1"/>
  <c r="G406" i="122" a="1"/>
  <c r="G252" i="122" a="1"/>
  <c r="G322" i="122" a="1"/>
  <c r="G44" i="122" a="1"/>
  <c r="E10" i="120" a="1"/>
  <c r="G168" i="122" a="1"/>
  <c r="G17" i="122" a="1"/>
  <c r="G494" i="122" a="1"/>
  <c r="G286" i="122" a="1"/>
  <c r="G401" i="122" a="1"/>
  <c r="G267" i="122" a="1"/>
  <c r="G318" i="122" a="1"/>
  <c r="G38" i="122" a="1"/>
  <c r="G476" i="122" a="1"/>
  <c r="G296" i="122" a="1"/>
  <c r="G135" i="122" a="1"/>
  <c r="G471" i="122" a="1"/>
  <c r="G455" i="122" a="1"/>
  <c r="G333" i="122" a="1"/>
  <c r="G244" i="122" a="1"/>
  <c r="G331" i="122" a="1"/>
  <c r="G272" i="122" a="1"/>
  <c r="G205" i="122" a="1"/>
  <c r="G66" i="122" a="1"/>
  <c r="G415" i="122" a="1"/>
  <c r="G64" i="122" a="1"/>
  <c r="G152" i="122" a="1"/>
  <c r="G121" i="122" a="1"/>
  <c r="G183" i="122" a="1"/>
  <c r="G291" i="122" a="1"/>
  <c r="G143" i="122" a="1"/>
  <c r="G387" i="122" a="1"/>
  <c r="G463" i="122" a="1"/>
  <c r="G133" i="122" a="1"/>
  <c r="G151" i="122" a="1"/>
  <c r="G255" i="122" a="1"/>
  <c r="G60" i="122" a="1"/>
  <c r="G323" i="122" a="1"/>
  <c r="G273" i="122" a="1"/>
  <c r="G382" i="122" a="1"/>
  <c r="G420" i="122" a="1"/>
  <c r="G461" i="122" a="1"/>
  <c r="G222" i="122" a="1"/>
  <c r="G5" i="122" a="1"/>
  <c r="G119" i="122" a="1"/>
  <c r="G412" i="122" a="1"/>
  <c r="G357" i="122" a="1"/>
  <c r="G96" i="122" a="1"/>
  <c r="G221" i="122" a="1"/>
  <c r="G339" i="122" a="1"/>
  <c r="G209" i="122" a="1"/>
  <c r="G328" i="122" a="1"/>
  <c r="G433" i="122" a="1"/>
  <c r="G302" i="122" a="1"/>
  <c r="G81" i="122" a="1"/>
  <c r="G220" i="122" a="1"/>
  <c r="G231" i="122" a="1"/>
  <c r="G385" i="122" a="1"/>
  <c r="G305" i="122" a="1"/>
  <c r="G319" i="122" a="1"/>
  <c r="G492" i="122" a="1"/>
  <c r="G342" i="122" a="1"/>
  <c r="G153" i="122" a="1"/>
  <c r="E5" i="120" a="1"/>
  <c r="G95" i="122" a="1"/>
  <c r="G373" i="122" a="1"/>
  <c r="G359" i="122" a="1"/>
  <c r="G163" i="122" a="1"/>
  <c r="G240" i="122" a="1"/>
  <c r="G436" i="122" a="1"/>
  <c r="G142" i="122" a="1"/>
  <c r="G148" i="122" a="1"/>
  <c r="G27" i="122" a="1"/>
  <c r="G473" i="122" a="1"/>
  <c r="G442" i="122" a="1"/>
  <c r="G45" i="122" a="1"/>
  <c r="G423" i="122" a="1"/>
  <c r="G147" i="122" a="1"/>
  <c r="G443" i="122" a="1"/>
  <c r="G349" i="122" a="1"/>
  <c r="G87" i="122" a="1"/>
  <c r="G403" i="122" a="1"/>
  <c r="G241" i="122" a="1"/>
  <c r="G239" i="122" a="1"/>
  <c r="G450" i="122" a="1"/>
  <c r="G380" i="122" a="1"/>
  <c r="G458" i="122" a="1"/>
  <c r="G245" i="122" a="1"/>
  <c r="G210" i="122" a="1"/>
  <c r="G439" i="122" a="1"/>
  <c r="G211" i="122" a="1"/>
  <c r="G353" i="122" a="1"/>
  <c r="G467" i="122" a="1"/>
  <c r="G266" i="122" a="1"/>
  <c r="G106" i="122" a="1"/>
  <c r="G3" i="57" a="1"/>
  <c r="G306" i="122" a="1"/>
  <c r="G115" i="122" a="1"/>
  <c r="G172" i="122" a="1"/>
  <c r="G430" i="122" a="1"/>
  <c r="G6" i="122" a="1"/>
  <c r="G421" i="122" a="1"/>
  <c r="G351" i="122" a="1"/>
  <c r="G246" i="122" a="1"/>
  <c r="G42" i="122" a="1"/>
  <c r="G195" i="122" a="1"/>
  <c r="G86" i="122" a="1"/>
  <c r="G358" i="122" a="1"/>
  <c r="G488" i="122" a="1"/>
  <c r="G72" i="122" a="1"/>
  <c r="G74" i="122" a="1"/>
  <c r="G427" i="122" a="1"/>
  <c r="G228" i="122" a="1"/>
  <c r="G345" i="122" a="1"/>
  <c r="G460" i="122" a="1"/>
  <c r="G465" i="122" a="1"/>
  <c r="G426" i="122" a="1"/>
  <c r="J3" i="72" a="1"/>
  <c r="G22" i="122" a="1"/>
  <c r="G372" i="122" a="1"/>
  <c r="G19" i="122" a="1"/>
  <c r="G309" i="122" a="1"/>
  <c r="G438" i="122" a="1"/>
  <c r="G485" i="122" a="1"/>
  <c r="G475" i="122" a="1"/>
  <c r="G386" i="122" a="1"/>
  <c r="G10" i="122" a="1"/>
  <c r="G363" i="122" a="1"/>
  <c r="G14" i="122" a="1"/>
  <c r="G197" i="122" a="1"/>
  <c r="G4" i="122" a="1"/>
  <c r="G350" i="122" a="1"/>
  <c r="G217" i="122" a="1"/>
  <c r="G117" i="122" a="1"/>
  <c r="G495" i="122" a="1"/>
  <c r="G92" i="122" a="1"/>
  <c r="G57" i="122" a="1"/>
  <c r="G490" i="122" a="1"/>
  <c r="G91" i="122" a="1"/>
  <c r="G314" i="122" a="1"/>
  <c r="G224" i="122" a="1"/>
  <c r="G111" i="122" a="1"/>
  <c r="G35" i="122" a="1"/>
  <c r="G313" i="122" a="1"/>
  <c r="G34" i="122" a="1"/>
  <c r="G11" i="122" a="1"/>
  <c r="G288" i="122" a="1"/>
  <c r="G110" i="122" a="1"/>
  <c r="G36" i="122" a="1"/>
  <c r="G419" i="122" a="1"/>
  <c r="G290" i="122" a="1"/>
  <c r="C4" i="56" a="1"/>
  <c r="G367" i="122" a="1"/>
  <c r="G250" i="122" a="1"/>
  <c r="G397" i="122" a="1"/>
  <c r="G348" i="122" a="1"/>
  <c r="G316" i="122" a="1"/>
  <c r="G464" i="122" a="1"/>
  <c r="G431" i="122" a="1"/>
  <c r="G188" i="122" a="1"/>
  <c r="G424" i="122" a="1"/>
  <c r="G470" i="122" a="1"/>
  <c r="G67" i="122" a="1"/>
  <c r="G379" i="122" a="1"/>
  <c r="G187" i="122" a="1"/>
  <c r="G293" i="122" a="1"/>
  <c r="G213" i="122" a="1"/>
  <c r="G33" i="122" a="1"/>
  <c r="G41" i="122" a="1"/>
  <c r="G482" i="122" a="1"/>
  <c r="G295" i="122" a="1"/>
  <c r="G256" i="122" a="1"/>
  <c r="G334" i="122" a="1"/>
  <c r="G409" i="122" a="1"/>
  <c r="G69" i="122" a="1"/>
  <c r="G487" i="122" a="1"/>
  <c r="G391" i="122" a="1"/>
  <c r="G422" i="122" a="1"/>
  <c r="G360" i="122" a="1"/>
  <c r="G208" i="122" a="1"/>
  <c r="G104" i="122" a="1"/>
  <c r="G283" i="122" a="1"/>
  <c r="G264" i="122" a="1"/>
  <c r="G243" i="122" a="1"/>
  <c r="G49" i="122" a="1"/>
  <c r="T3" i="69" a="1"/>
  <c r="G366" i="122" a="1"/>
  <c r="G254" i="122" a="1"/>
  <c r="G381" i="122" a="1"/>
  <c r="G196" i="122" a="1"/>
  <c r="G138" i="122" a="1"/>
  <c r="G107" i="122" a="1"/>
  <c r="G269" i="122" a="1"/>
  <c r="G396" i="122" a="1"/>
  <c r="G365" i="122" a="1"/>
  <c r="G392" i="122" a="1"/>
  <c r="G93" i="122" a="1"/>
  <c r="G468" i="122" a="1"/>
  <c r="G247" i="122" a="1"/>
  <c r="G362" i="122" a="1"/>
  <c r="G474" i="122" a="1"/>
  <c r="E7" i="120" a="1"/>
  <c r="G375" i="122" a="1"/>
  <c r="G416" i="122" a="1"/>
  <c r="G31" i="122" a="1"/>
  <c r="G15" i="122" a="1"/>
  <c r="G292" i="122" a="1"/>
  <c r="G230" i="122" a="1"/>
  <c r="G233" i="122" a="1"/>
  <c r="G229" i="122" a="1"/>
  <c r="G274" i="122" a="1"/>
  <c r="G85" i="122" a="1"/>
  <c r="G444" i="122" a="1"/>
  <c r="G271" i="122" a="1"/>
  <c r="G459" i="122" a="1"/>
  <c r="G356" i="122" a="1"/>
  <c r="G481" i="122" a="1"/>
  <c r="G279" i="122" a="1"/>
  <c r="G303" i="122" a="1"/>
  <c r="G47" i="122" a="1"/>
  <c r="G378" i="122" a="1"/>
  <c r="G395" i="122" a="1"/>
  <c r="G469" i="122" a="1"/>
  <c r="G161" i="122" a="1"/>
  <c r="G101" i="122" a="1"/>
  <c r="G192" i="122" a="1"/>
  <c r="G48" i="122" a="1"/>
  <c r="G199" i="122" a="1"/>
  <c r="G189" i="122" a="1"/>
  <c r="G232" i="122" a="1"/>
  <c r="G145" i="122" a="1"/>
  <c r="L3" i="119" a="1"/>
  <c r="G489" i="122" a="1"/>
  <c r="G79" i="122" a="1"/>
  <c r="G289" i="122" a="1"/>
  <c r="G167" i="122" a="1"/>
  <c r="G260" i="122" a="1"/>
  <c r="G178" i="122" a="1"/>
  <c r="E11" i="120" a="1"/>
  <c r="G417" i="122" a="1"/>
  <c r="G478" i="122" a="1"/>
  <c r="G284" i="122" a="1"/>
  <c r="G20" i="122" a="1"/>
  <c r="G400" i="122" a="1"/>
  <c r="G408" i="122" a="1"/>
  <c r="G484" i="122" a="1"/>
  <c r="E3" i="120" a="1"/>
  <c r="G364" i="122" a="1"/>
  <c r="G162" i="122" a="1"/>
  <c r="G472" i="122" a="1"/>
  <c r="G466" i="122" a="1"/>
  <c r="G3" i="122" a="1"/>
  <c r="G75" i="122" a="1"/>
  <c r="G157" i="122" a="1"/>
  <c r="G374" i="122" a="1"/>
  <c r="G457" i="122" a="1"/>
  <c r="G55" i="122" a="1"/>
  <c r="G186" i="122" a="1"/>
  <c r="G451" i="122" a="1"/>
  <c r="G410" i="122" a="1"/>
  <c r="G185" i="122" a="1"/>
  <c r="G338" i="122" a="1"/>
  <c r="G301" i="122" a="1"/>
  <c r="G159" i="122" a="1"/>
  <c r="E6" i="120" a="1"/>
  <c r="G149" i="122" a="1"/>
  <c r="G307" i="122" a="1"/>
  <c r="G369" i="122" a="1"/>
  <c r="G28" i="122" a="1"/>
  <c r="G73" i="122" a="1"/>
  <c r="G312" i="122" a="1"/>
  <c r="G84" i="122" a="1"/>
  <c r="G276" i="122" a="1"/>
  <c r="G62" i="122" a="1"/>
  <c r="G326" i="122" a="1"/>
  <c r="G114" i="122" a="1"/>
  <c r="G327" i="122" a="1"/>
  <c r="G24" i="122" a="1"/>
  <c r="G440" i="122" a="1"/>
  <c r="G23" i="122" a="1"/>
  <c r="G249" i="122" a="1"/>
  <c r="G77" i="122" a="1"/>
  <c r="G170" i="122" a="1"/>
  <c r="G270" i="122" a="1"/>
  <c r="G82" i="122" a="1"/>
  <c r="G202" i="122" a="1"/>
  <c r="G237" i="122" a="1"/>
  <c r="G479" i="122" a="1"/>
  <c r="G18" i="122" a="1"/>
  <c r="G141" i="122" a="1"/>
  <c r="G413" i="122" a="1"/>
  <c r="G191" i="122" a="1"/>
  <c r="G13" i="122" a="1"/>
  <c r="G89" i="122" a="1"/>
  <c r="G88" i="122" a="1"/>
  <c r="G285" i="122" a="1"/>
  <c r="G299" i="122" a="1"/>
  <c r="G7" i="122" a="1"/>
  <c r="G165" i="122" a="1"/>
  <c r="G268" i="122" a="1"/>
  <c r="G337" i="122" a="1"/>
  <c r="G180" i="122" a="1"/>
  <c r="G9" i="122" a="1"/>
  <c r="G184" i="122" a="1"/>
  <c r="G486" i="122" a="1"/>
  <c r="G120" i="122" a="1"/>
  <c r="G25" i="122" a="1"/>
  <c r="G341" i="122" a="1"/>
  <c r="G100" i="122" a="1"/>
  <c r="G320" i="122" a="1"/>
  <c r="G435" i="122" a="1"/>
  <c r="G446" i="122" a="1"/>
  <c r="G393" i="122" a="1"/>
  <c r="G144" i="122" a="1"/>
  <c r="G174" i="122" a="1"/>
  <c r="G97" i="122" a="1"/>
  <c r="G156" i="122" a="1"/>
  <c r="G265" i="122" a="1"/>
  <c r="G171" i="122" a="1"/>
  <c r="G454" i="122" a="1"/>
  <c r="G355" i="122" a="1"/>
  <c r="G361" i="122" a="1"/>
  <c r="G51" i="122" a="1"/>
  <c r="G30" i="122" a="1"/>
  <c r="G226" i="122" a="1"/>
  <c r="G371" i="122" a="1"/>
  <c r="G223" i="122" a="1"/>
  <c r="G277" i="122" a="1"/>
  <c r="G68" i="122" a="1"/>
  <c r="G116" i="122" a="1"/>
  <c r="G225" i="122" a="1"/>
  <c r="G297" i="122" a="1"/>
  <c r="G340" i="122" a="1"/>
  <c r="G80" i="122" a="1"/>
  <c r="G160" i="122" a="1"/>
  <c r="G441" i="122" a="1"/>
  <c r="G434" i="122" a="1"/>
  <c r="G53" i="122" a="1"/>
  <c r="G50" i="122" a="1"/>
  <c r="G113" i="122" a="1"/>
  <c r="G154" i="122" a="1"/>
  <c r="G376" i="122" a="1"/>
  <c r="G346" i="122" a="1"/>
  <c r="G332" i="122" a="1"/>
  <c r="G37" i="122" a="1"/>
  <c r="G399" i="122" a="1"/>
  <c r="G177" i="122" a="1"/>
  <c r="G8" i="122" a="1"/>
  <c r="G193" i="122" a="1"/>
  <c r="G201" i="122" a="1"/>
  <c r="G118" i="122" a="1"/>
  <c r="G242" i="122" a="1"/>
  <c r="G139" i="122" a="1"/>
  <c r="G236" i="122" a="1"/>
  <c r="G94" i="122" a="1"/>
  <c r="G428" i="122" a="1"/>
  <c r="G76" i="122" a="1"/>
  <c r="G134" i="122" a="1"/>
  <c r="G258" i="122" a="1"/>
  <c r="G343" i="122" a="1"/>
  <c r="G404" i="122" a="1"/>
  <c r="G437" i="122" a="1"/>
  <c r="G321" i="122" a="1"/>
  <c r="G238" i="122" a="1"/>
  <c r="G394" i="122" a="1"/>
  <c r="G65" i="122" a="1"/>
  <c r="G330" i="122" a="1"/>
  <c r="G198" i="122" a="1"/>
  <c r="G29" i="122" a="1"/>
  <c r="G304" i="122" a="1"/>
  <c r="G70" i="122" a="1"/>
  <c r="G103" i="122" a="1"/>
  <c r="G398" i="122" a="1"/>
  <c r="G71" i="122" a="1"/>
  <c r="G21" i="122" a="1"/>
  <c r="G324" i="122" a="1"/>
  <c r="G261" i="122" a="1"/>
  <c r="G158" i="122" a="1"/>
  <c r="E4" i="120" a="1"/>
  <c r="G275" i="122" a="1"/>
  <c r="G200" i="122" a="1"/>
  <c r="G407" i="122" a="1"/>
  <c r="G54" i="122" a="1"/>
  <c r="G336" i="122" a="1"/>
  <c r="G109" i="122" a="1"/>
  <c r="G78" i="122" a="1"/>
  <c r="G335" i="122" a="1"/>
  <c r="G390" i="122" a="1"/>
  <c r="G388" i="122" a="1"/>
  <c r="G329" i="122" a="1"/>
  <c r="G308" i="122" a="1"/>
  <c r="G216" i="122" a="1"/>
  <c r="G214" i="122" a="1"/>
  <c r="G259" i="122" a="1"/>
  <c r="G90" i="122" a="1"/>
  <c r="G462" i="122" a="1"/>
  <c r="G384" i="122" a="1"/>
  <c r="G287" i="122" a="1"/>
  <c r="G447" i="122" a="1"/>
  <c r="G368" i="122" a="1"/>
  <c r="G194" i="122" a="1"/>
  <c r="G483" i="122" a="1"/>
  <c r="G39" i="122" a="1"/>
  <c r="G491" i="122" a="1"/>
  <c r="G227" i="122" a="1"/>
  <c r="G136" i="122" a="1"/>
  <c r="G405" i="122" a="1"/>
  <c r="G480" i="122" a="1"/>
  <c r="G108" i="122" a="1"/>
  <c r="G496" i="122" a="1"/>
  <c r="G46" i="122" a="1"/>
  <c r="G137" i="122" a="1"/>
  <c r="G352" i="122" a="1"/>
  <c r="G140" i="122" a="1"/>
  <c r="G248" i="122" a="1"/>
  <c r="C3" i="56" a="1"/>
  <c r="G452" i="122" a="1"/>
  <c r="G52" i="122" a="1"/>
  <c r="G347" i="122" a="1"/>
  <c r="G206" i="122" a="1"/>
  <c r="G175" i="122" a="1"/>
  <c r="G311" i="122" a="1"/>
  <c r="G257" i="122" a="1"/>
  <c r="G278" i="122" a="1"/>
  <c r="G263" i="122" a="1"/>
  <c r="G61" i="122" a="1"/>
  <c r="G166" i="122" a="1"/>
  <c r="G262" i="122" a="1"/>
  <c r="G315" i="122" a="1"/>
  <c r="G429" i="122" a="1"/>
  <c r="E9" i="120" a="1"/>
  <c r="G300" i="122" a="1"/>
  <c r="G294" i="122" a="1"/>
  <c r="G234" i="122" a="1"/>
  <c r="G105" i="122" a="1"/>
  <c r="G344" i="122" a="1"/>
  <c r="G370" i="122" a="1"/>
  <c r="G464" i="122" l="1"/>
  <c r="G452" i="122"/>
  <c r="G493" i="122"/>
  <c r="G325" i="122"/>
  <c r="G278" i="122"/>
  <c r="G364" i="122"/>
  <c r="G283" i="122"/>
  <c r="G200" i="122"/>
  <c r="G367" i="122"/>
  <c r="G450" i="122"/>
  <c r="G175" i="122"/>
  <c r="G415" i="122"/>
  <c r="G488" i="122"/>
  <c r="G416" i="122"/>
  <c r="G168" i="122"/>
  <c r="G167" i="122"/>
  <c r="G299" i="122"/>
  <c r="G456" i="122"/>
  <c r="G90" i="122"/>
  <c r="G227" i="122"/>
  <c r="G23" i="122"/>
  <c r="G201" i="122"/>
  <c r="G104" i="122"/>
  <c r="G235" i="122"/>
  <c r="G320" i="122"/>
  <c r="G48" i="122"/>
  <c r="E6" i="120"/>
  <c r="G251" i="122"/>
  <c r="G413" i="122"/>
  <c r="G429" i="122"/>
  <c r="G438" i="122"/>
  <c r="G64" i="122"/>
  <c r="E10" i="120"/>
  <c r="G96" i="122"/>
  <c r="G98" i="122"/>
  <c r="G140" i="122"/>
  <c r="G280" i="122"/>
  <c r="G470" i="122"/>
  <c r="G321" i="122"/>
  <c r="G42" i="122"/>
  <c r="G3" i="122"/>
  <c r="G231" i="122"/>
  <c r="G437" i="122"/>
  <c r="G79" i="122"/>
  <c r="G118" i="122"/>
  <c r="G73" i="122"/>
  <c r="G51" i="122"/>
  <c r="G328" i="122"/>
  <c r="G83" i="122"/>
  <c r="G210" i="122"/>
  <c r="G405" i="122"/>
  <c r="G495" i="122"/>
  <c r="G322" i="122"/>
  <c r="G100" i="122"/>
  <c r="G190" i="122"/>
  <c r="G245" i="122"/>
  <c r="G205" i="122"/>
  <c r="G158" i="122"/>
  <c r="G362" i="122"/>
  <c r="G436" i="122"/>
  <c r="G63" i="122"/>
  <c r="G483" i="122"/>
  <c r="G232" i="122"/>
  <c r="G256" i="122"/>
  <c r="G458" i="122"/>
  <c r="G479" i="122"/>
  <c r="G195" i="122"/>
  <c r="G25" i="122"/>
  <c r="G471" i="122"/>
  <c r="G359" i="122"/>
  <c r="G383" i="122"/>
  <c r="G412" i="122"/>
  <c r="G54" i="122"/>
  <c r="C4" i="56"/>
  <c r="G312" i="122"/>
  <c r="G445" i="122"/>
  <c r="G97" i="122"/>
  <c r="G13" i="122"/>
  <c r="G68" i="122"/>
  <c r="G463" i="122"/>
  <c r="G160" i="122"/>
  <c r="G243" i="122"/>
  <c r="G15" i="122"/>
  <c r="G151" i="122"/>
  <c r="G297" i="122"/>
  <c r="G242" i="122"/>
  <c r="G342" i="122"/>
  <c r="G356" i="122"/>
  <c r="G389" i="122"/>
  <c r="G27" i="122"/>
  <c r="G291" i="122"/>
  <c r="G70" i="122"/>
  <c r="G468" i="122"/>
  <c r="G103" i="122"/>
  <c r="G491" i="122"/>
  <c r="G440" i="122"/>
  <c r="G318" i="122"/>
  <c r="G370" i="122"/>
  <c r="G270" i="122"/>
  <c r="G425" i="122"/>
  <c r="G146" i="122"/>
  <c r="G230" i="122"/>
  <c r="G271" i="122"/>
  <c r="G153" i="122"/>
  <c r="G166" i="122"/>
  <c r="G69" i="122"/>
  <c r="G292" i="122"/>
  <c r="G225" i="122"/>
  <c r="G447" i="122"/>
  <c r="G148" i="122"/>
  <c r="G250" i="122"/>
  <c r="E8" i="120"/>
  <c r="E9" i="120"/>
  <c r="G171" i="122"/>
  <c r="G173" i="122"/>
  <c r="G296" i="122"/>
  <c r="G155" i="122"/>
  <c r="G427" i="122"/>
  <c r="G188" i="122"/>
  <c r="G30" i="122"/>
  <c r="G289" i="122"/>
  <c r="G355" i="122"/>
  <c r="G36" i="122"/>
  <c r="G393" i="122"/>
  <c r="G59" i="122"/>
  <c r="G454" i="122"/>
  <c r="G426" i="122"/>
  <c r="G434" i="122"/>
  <c r="G95" i="122"/>
  <c r="G332" i="122"/>
  <c r="G339" i="122"/>
  <c r="G469" i="122"/>
  <c r="G76" i="122"/>
  <c r="G202" i="122"/>
  <c r="G334" i="122"/>
  <c r="G422" i="122"/>
  <c r="G444" i="122"/>
  <c r="G385" i="122"/>
  <c r="G181" i="122"/>
  <c r="G421" i="122"/>
  <c r="G295" i="122"/>
  <c r="G316" i="122"/>
  <c r="G8" i="122"/>
  <c r="G401" i="122"/>
  <c r="G206" i="122"/>
  <c r="G294" i="122"/>
  <c r="G267" i="122"/>
  <c r="G485" i="122"/>
  <c r="L3" i="119"/>
  <c r="G410" i="122"/>
  <c r="G473" i="122"/>
  <c r="G62" i="122"/>
  <c r="G319" i="122"/>
  <c r="G7" i="122"/>
  <c r="G459" i="122"/>
  <c r="G101" i="122"/>
  <c r="G279" i="122"/>
  <c r="G144" i="122"/>
  <c r="G119" i="122"/>
  <c r="G307" i="122"/>
  <c r="G134" i="122"/>
  <c r="G85" i="122"/>
  <c r="G373" i="122"/>
  <c r="G212" i="122"/>
  <c r="G353" i="122"/>
  <c r="G402" i="122"/>
  <c r="G354" i="122"/>
  <c r="G374" i="122"/>
  <c r="G102" i="122"/>
  <c r="G159" i="122"/>
  <c r="G19" i="122"/>
  <c r="G77" i="122"/>
  <c r="G361" i="122"/>
  <c r="G222" i="122"/>
  <c r="G214" i="122"/>
  <c r="G114" i="122"/>
  <c r="G180" i="122"/>
  <c r="G178" i="122"/>
  <c r="G441" i="122"/>
  <c r="G40" i="122"/>
  <c r="G368" i="122"/>
  <c r="G183" i="122"/>
  <c r="G315" i="122"/>
  <c r="G246" i="122"/>
  <c r="G269" i="122"/>
  <c r="G336" i="122"/>
  <c r="G31" i="122"/>
  <c r="G287" i="122"/>
  <c r="G327" i="122"/>
  <c r="G340" i="122"/>
  <c r="G20" i="122"/>
  <c r="G398" i="122"/>
  <c r="G433" i="122"/>
  <c r="G108" i="122"/>
  <c r="G352" i="122"/>
  <c r="G174" i="122"/>
  <c r="G272" i="122"/>
  <c r="G391" i="122"/>
  <c r="G169" i="122"/>
  <c r="G284" i="122"/>
  <c r="G388" i="122"/>
  <c r="G39" i="122"/>
  <c r="G4" i="122"/>
  <c r="G9" i="122"/>
  <c r="G455" i="122"/>
  <c r="G486" i="122"/>
  <c r="G496" i="122"/>
  <c r="G344" i="122"/>
  <c r="G198" i="122"/>
  <c r="G259" i="122"/>
  <c r="G84" i="122"/>
  <c r="G282" i="122"/>
  <c r="G52" i="122"/>
  <c r="G56" i="122"/>
  <c r="G94" i="122"/>
  <c r="E3" i="120"/>
  <c r="G308" i="122"/>
  <c r="G22" i="122"/>
  <c r="G430" i="122"/>
  <c r="G477" i="122"/>
  <c r="G472" i="122"/>
  <c r="G46" i="122"/>
  <c r="G179" i="122"/>
  <c r="G143" i="122"/>
  <c r="G37" i="122"/>
  <c r="G237" i="122"/>
  <c r="G264" i="122"/>
  <c r="G309" i="122"/>
  <c r="G89" i="122"/>
  <c r="G492" i="122"/>
  <c r="G414" i="122"/>
  <c r="G204" i="122"/>
  <c r="G78" i="122"/>
  <c r="G380" i="122"/>
  <c r="G249" i="122"/>
  <c r="G203" i="122"/>
  <c r="G213" i="122"/>
  <c r="G45" i="122"/>
  <c r="G317" i="122"/>
  <c r="G53" i="122"/>
  <c r="G193" i="122"/>
  <c r="G409" i="122"/>
  <c r="G11" i="122"/>
  <c r="G420" i="122"/>
  <c r="G377" i="122"/>
  <c r="G266" i="122"/>
  <c r="G14" i="122"/>
  <c r="G329" i="122"/>
  <c r="G306" i="122"/>
  <c r="G111" i="122"/>
  <c r="J3" i="72"/>
  <c r="G34" i="122"/>
  <c r="G145" i="122"/>
  <c r="G88" i="122"/>
  <c r="G300" i="122"/>
  <c r="G394" i="122"/>
  <c r="G382" i="122"/>
  <c r="G348" i="122"/>
  <c r="G49" i="122"/>
  <c r="G461" i="122"/>
  <c r="G273" i="122"/>
  <c r="G247" i="122"/>
  <c r="G446" i="122"/>
  <c r="G67" i="122"/>
  <c r="G244" i="122"/>
  <c r="G117" i="122"/>
  <c r="G424" i="122"/>
  <c r="G346" i="122"/>
  <c r="G392" i="122"/>
  <c r="G449" i="122"/>
  <c r="G341" i="122"/>
  <c r="G50" i="122"/>
  <c r="G288" i="122"/>
  <c r="G60" i="122"/>
  <c r="G147" i="122"/>
  <c r="G112" i="122"/>
  <c r="G323" i="122"/>
  <c r="G220" i="122"/>
  <c r="G494" i="122"/>
  <c r="G399" i="122"/>
  <c r="G451" i="122"/>
  <c r="G358" i="122"/>
  <c r="T3" i="69"/>
  <c r="G131" i="122"/>
  <c r="G390" i="122"/>
  <c r="G311" i="122"/>
  <c r="G331" i="122"/>
  <c r="G277" i="122"/>
  <c r="G133" i="122"/>
  <c r="G26" i="122"/>
  <c r="G61" i="122"/>
  <c r="G211" i="122"/>
  <c r="G71" i="122"/>
  <c r="G343" i="122"/>
  <c r="G152" i="122"/>
  <c r="G12" i="122"/>
  <c r="G194" i="122"/>
  <c r="G55" i="122"/>
  <c r="G226" i="122"/>
  <c r="G465" i="122"/>
  <c r="G281" i="122"/>
  <c r="G120" i="122"/>
  <c r="G192" i="122"/>
  <c r="G371" i="122"/>
  <c r="G86" i="122"/>
  <c r="G439" i="122"/>
  <c r="G274" i="122"/>
  <c r="G21" i="122"/>
  <c r="G428" i="122"/>
  <c r="G75" i="122"/>
  <c r="G406" i="122"/>
  <c r="G375" i="122"/>
  <c r="G47" i="122"/>
  <c r="G254" i="122"/>
  <c r="G139" i="122"/>
  <c r="G87" i="122"/>
  <c r="G474" i="122"/>
  <c r="G484" i="122"/>
  <c r="G304" i="122"/>
  <c r="G187" i="122"/>
  <c r="G236" i="122"/>
  <c r="G253" i="122"/>
  <c r="G396" i="122"/>
  <c r="G29" i="122"/>
  <c r="G164" i="122"/>
  <c r="G16" i="122"/>
  <c r="G418" i="122"/>
  <c r="G162" i="122"/>
  <c r="G432" i="122"/>
  <c r="G43" i="122"/>
  <c r="G163" i="122"/>
  <c r="G132" i="122"/>
  <c r="G357" i="122"/>
  <c r="G176" i="122"/>
  <c r="G386" i="122"/>
  <c r="G301" i="122"/>
  <c r="G82" i="122"/>
  <c r="G74" i="122"/>
  <c r="G258" i="122"/>
  <c r="G482" i="122"/>
  <c r="G462" i="122"/>
  <c r="G490" i="122"/>
  <c r="G360" i="122"/>
  <c r="G149" i="122"/>
  <c r="G170" i="122"/>
  <c r="G196" i="122"/>
  <c r="G480" i="122"/>
  <c r="G268" i="122"/>
  <c r="C3" i="56"/>
  <c r="G189" i="122"/>
  <c r="G442" i="122"/>
  <c r="G218" i="122"/>
  <c r="G276" i="122"/>
  <c r="G81" i="122"/>
  <c r="G457" i="122"/>
  <c r="G137" i="122"/>
  <c r="G347" i="122"/>
  <c r="G207" i="122"/>
  <c r="G109" i="122"/>
  <c r="G224" i="122"/>
  <c r="G286" i="122"/>
  <c r="G489" i="122"/>
  <c r="G10" i="122"/>
  <c r="G199" i="122"/>
  <c r="G369" i="122"/>
  <c r="G105" i="122"/>
  <c r="G333" i="122"/>
  <c r="G293" i="122"/>
  <c r="G191" i="122"/>
  <c r="G33" i="122"/>
  <c r="G302" i="122"/>
  <c r="G154" i="122"/>
  <c r="G66" i="122"/>
  <c r="G466" i="122"/>
  <c r="G265" i="122"/>
  <c r="G122" i="122"/>
  <c r="G453" i="122"/>
  <c r="G5" i="122"/>
  <c r="G197" i="122"/>
  <c r="G475" i="122"/>
  <c r="G285" i="122"/>
  <c r="G419" i="122"/>
  <c r="G248" i="122"/>
  <c r="G38" i="122"/>
  <c r="G262" i="122"/>
  <c r="G6" i="122"/>
  <c r="G3" i="57"/>
  <c r="G387" i="122"/>
  <c r="G18" i="122"/>
  <c r="G107" i="122"/>
  <c r="G99" i="122"/>
  <c r="G275" i="122"/>
  <c r="G116" i="122"/>
  <c r="G314" i="122"/>
  <c r="G303" i="122"/>
  <c r="G290" i="122"/>
  <c r="G467" i="122"/>
  <c r="G363" i="122"/>
  <c r="G209" i="122"/>
  <c r="G208" i="122"/>
  <c r="G228" i="122"/>
  <c r="E4" i="120"/>
  <c r="G157" i="122"/>
  <c r="G330" i="122"/>
  <c r="G408" i="122"/>
  <c r="G41" i="122"/>
  <c r="G335" i="122"/>
  <c r="G298" i="122"/>
  <c r="G216" i="122"/>
  <c r="G172" i="122"/>
  <c r="G186" i="122"/>
  <c r="G407" i="122"/>
  <c r="G35" i="122"/>
  <c r="G17" i="122"/>
  <c r="G223" i="122"/>
  <c r="G239" i="122"/>
  <c r="G263" i="122"/>
  <c r="G404" i="122"/>
  <c r="G92" i="122"/>
  <c r="G135" i="122"/>
  <c r="G91" i="122"/>
  <c r="G219" i="122"/>
  <c r="E11" i="120"/>
  <c r="G400" i="122"/>
  <c r="G217" i="122"/>
  <c r="G431" i="122"/>
  <c r="G113" i="122"/>
  <c r="G80" i="122"/>
  <c r="G156" i="122"/>
  <c r="G142" i="122"/>
  <c r="G110" i="122"/>
  <c r="G366" i="122"/>
  <c r="G58" i="122"/>
  <c r="G326" i="122"/>
  <c r="G241" i="122"/>
  <c r="G310" i="122"/>
  <c r="G478" i="122"/>
  <c r="G411" i="122"/>
  <c r="G305" i="122"/>
  <c r="G252" i="122"/>
  <c r="G255" i="122"/>
  <c r="E5" i="120"/>
  <c r="G93" i="122"/>
  <c r="G138" i="122"/>
  <c r="G349" i="122"/>
  <c r="G177" i="122"/>
  <c r="G481" i="122"/>
  <c r="G384" i="122"/>
  <c r="G24" i="122"/>
  <c r="G443" i="122"/>
  <c r="G350" i="122"/>
  <c r="G182" i="122"/>
  <c r="G233" i="122"/>
  <c r="G185" i="122"/>
  <c r="G376" i="122"/>
  <c r="G435" i="122"/>
  <c r="G234" i="122"/>
  <c r="G448" i="122"/>
  <c r="G229" i="122"/>
  <c r="G372" i="122"/>
  <c r="G365" i="122"/>
  <c r="G28" i="122"/>
  <c r="G150" i="122"/>
  <c r="G240" i="122"/>
  <c r="G476" i="122"/>
  <c r="G215" i="122"/>
  <c r="G165" i="122"/>
  <c r="G338" i="122"/>
  <c r="G460" i="122"/>
  <c r="G221" i="122"/>
  <c r="G161" i="122"/>
  <c r="G261" i="122"/>
  <c r="G381" i="122"/>
  <c r="G136" i="122"/>
  <c r="G32" i="122"/>
  <c r="G423" i="122"/>
  <c r="G487" i="122"/>
  <c r="G313" i="122"/>
  <c r="G379" i="122"/>
  <c r="G115" i="122"/>
  <c r="G337" i="122"/>
  <c r="G378" i="122"/>
  <c r="G395" i="122"/>
  <c r="G184" i="122"/>
  <c r="G57" i="122"/>
  <c r="G351" i="122"/>
  <c r="G72" i="122"/>
  <c r="G44" i="122"/>
  <c r="G121" i="122"/>
  <c r="G257" i="122"/>
  <c r="G238" i="122"/>
  <c r="G417" i="122"/>
  <c r="E7" i="120"/>
  <c r="G260" i="122"/>
  <c r="G345" i="122"/>
  <c r="G403" i="122"/>
  <c r="G397" i="122"/>
  <c r="G141" i="122"/>
  <c r="G106" i="122"/>
  <c r="G324" i="122"/>
  <c r="G65" i="122"/>
  <c r="K2" i="57"/>
  <c r="K3" i="57"/>
  <c r="H3" i="119"/>
  <c r="A2" i="72"/>
  <c r="F3" i="72"/>
  <c r="A3" i="57" l="1"/>
  <c r="C3" i="57"/>
  <c r="D3" i="57"/>
  <c r="E3" i="57"/>
  <c r="F3" i="57"/>
  <c r="H3" i="57"/>
  <c r="I3" i="57"/>
  <c r="J3" i="57"/>
  <c r="F289" i="122"/>
  <c r="F290" i="122"/>
  <c r="F291" i="122"/>
  <c r="F292" i="122"/>
  <c r="F293" i="122"/>
  <c r="F294" i="122"/>
  <c r="F295" i="122"/>
  <c r="F296" i="122"/>
  <c r="F297" i="122"/>
  <c r="F298" i="122"/>
  <c r="F299" i="122"/>
  <c r="F300" i="122"/>
  <c r="F301" i="122"/>
  <c r="F302" i="122"/>
  <c r="F303" i="122"/>
  <c r="F304" i="122"/>
  <c r="F305" i="122"/>
  <c r="F306" i="122"/>
  <c r="F307" i="122"/>
  <c r="F308" i="122"/>
  <c r="F309" i="122"/>
  <c r="F310" i="122"/>
  <c r="F311" i="122"/>
  <c r="F312" i="122"/>
  <c r="F313" i="122"/>
  <c r="F314" i="122"/>
  <c r="F315" i="122"/>
  <c r="F316" i="122"/>
  <c r="F317" i="122"/>
  <c r="F318" i="122"/>
  <c r="F319" i="122"/>
  <c r="F320" i="122"/>
  <c r="F321" i="122"/>
  <c r="F322" i="122"/>
  <c r="F323" i="122"/>
  <c r="F324" i="122"/>
  <c r="F325" i="122"/>
  <c r="F326" i="122"/>
  <c r="F327" i="122"/>
  <c r="F328" i="122"/>
  <c r="F329" i="122"/>
  <c r="F330" i="122"/>
  <c r="F331" i="122"/>
  <c r="F332" i="122"/>
  <c r="F333" i="122"/>
  <c r="F334" i="122"/>
  <c r="F335" i="122"/>
  <c r="F336" i="122"/>
  <c r="F337" i="122"/>
  <c r="F338" i="122"/>
  <c r="F339" i="122"/>
  <c r="F340" i="122"/>
  <c r="F341" i="122"/>
  <c r="F342" i="122"/>
  <c r="F343" i="122"/>
  <c r="F344" i="122"/>
  <c r="F345" i="122"/>
  <c r="F346" i="122"/>
  <c r="F347" i="122"/>
  <c r="F348" i="122"/>
  <c r="F349" i="122"/>
  <c r="F350" i="122"/>
  <c r="F351" i="122"/>
  <c r="F352" i="122"/>
  <c r="F353" i="122"/>
  <c r="H289" i="122"/>
  <c r="H290" i="122"/>
  <c r="H291" i="122"/>
  <c r="H292" i="122"/>
  <c r="H293" i="122"/>
  <c r="H294" i="122"/>
  <c r="H295" i="122"/>
  <c r="H296" i="122"/>
  <c r="H297" i="122"/>
  <c r="H298" i="122"/>
  <c r="H299" i="122"/>
  <c r="H300" i="122"/>
  <c r="H301" i="122"/>
  <c r="H302" i="122"/>
  <c r="H303" i="122"/>
  <c r="H304" i="122"/>
  <c r="H305" i="122"/>
  <c r="H306" i="122"/>
  <c r="H307" i="122"/>
  <c r="H308" i="122"/>
  <c r="H309" i="122"/>
  <c r="H310" i="122"/>
  <c r="H311" i="122"/>
  <c r="H312" i="122"/>
  <c r="H313" i="122"/>
  <c r="H314" i="122"/>
  <c r="H315" i="122"/>
  <c r="H316" i="122"/>
  <c r="H317" i="122"/>
  <c r="H318" i="122"/>
  <c r="H319" i="122"/>
  <c r="H320" i="122"/>
  <c r="H321" i="122"/>
  <c r="H322" i="122"/>
  <c r="H323" i="122"/>
  <c r="H324" i="122"/>
  <c r="H325" i="122"/>
  <c r="H326" i="122"/>
  <c r="H327" i="122"/>
  <c r="H328" i="122"/>
  <c r="H329" i="122"/>
  <c r="H330" i="122"/>
  <c r="H331" i="122"/>
  <c r="H332" i="122"/>
  <c r="H333" i="122"/>
  <c r="H334" i="122"/>
  <c r="H335" i="122"/>
  <c r="H336" i="122"/>
  <c r="H337" i="122"/>
  <c r="H338" i="122"/>
  <c r="H339" i="122"/>
  <c r="H340" i="122"/>
  <c r="H341" i="122"/>
  <c r="H342" i="122"/>
  <c r="H343" i="122"/>
  <c r="H344" i="122"/>
  <c r="H345" i="122"/>
  <c r="H346" i="122"/>
  <c r="H347" i="122"/>
  <c r="H348" i="122"/>
  <c r="H349" i="122"/>
  <c r="H350" i="122"/>
  <c r="H351" i="122"/>
  <c r="H352" i="122"/>
  <c r="H353" i="122"/>
  <c r="K289" i="122"/>
  <c r="K290" i="122"/>
  <c r="K291" i="122"/>
  <c r="K292" i="122"/>
  <c r="K293" i="122"/>
  <c r="K294" i="122"/>
  <c r="K295" i="122"/>
  <c r="K296" i="122"/>
  <c r="K297" i="122"/>
  <c r="K298" i="122"/>
  <c r="K299" i="122"/>
  <c r="K300" i="122"/>
  <c r="K301" i="122"/>
  <c r="K302" i="122"/>
  <c r="K303" i="122"/>
  <c r="K304" i="122"/>
  <c r="K305" i="122"/>
  <c r="K306" i="122"/>
  <c r="K307" i="122"/>
  <c r="K308" i="122"/>
  <c r="K309" i="122"/>
  <c r="K310" i="122"/>
  <c r="K311" i="122"/>
  <c r="K312" i="122"/>
  <c r="K313" i="122"/>
  <c r="K314" i="122"/>
  <c r="K315" i="122"/>
  <c r="K316" i="122"/>
  <c r="K317" i="122"/>
  <c r="K318" i="122"/>
  <c r="K319" i="122"/>
  <c r="K320" i="122"/>
  <c r="K321" i="122"/>
  <c r="K322" i="122"/>
  <c r="K323" i="122"/>
  <c r="K324" i="122"/>
  <c r="K325" i="122"/>
  <c r="K326" i="122"/>
  <c r="K327" i="122"/>
  <c r="K328" i="122"/>
  <c r="K329" i="122"/>
  <c r="K330" i="122"/>
  <c r="K331" i="122"/>
  <c r="K332" i="122"/>
  <c r="K333" i="122"/>
  <c r="K334" i="122"/>
  <c r="K335" i="122"/>
  <c r="K336" i="122"/>
  <c r="K337" i="122"/>
  <c r="K338" i="122"/>
  <c r="K339" i="122"/>
  <c r="K340" i="122"/>
  <c r="K341" i="122"/>
  <c r="K342" i="122"/>
  <c r="K343" i="122"/>
  <c r="K344" i="122"/>
  <c r="K345" i="122"/>
  <c r="K346" i="122"/>
  <c r="K347" i="122"/>
  <c r="K348" i="122"/>
  <c r="K349" i="122"/>
  <c r="K350" i="122"/>
  <c r="K351" i="122"/>
  <c r="K352" i="122"/>
  <c r="K353" i="122"/>
  <c r="Q289" i="122"/>
  <c r="Q290" i="122"/>
  <c r="Q291" i="122"/>
  <c r="Q292" i="122"/>
  <c r="Q293" i="122"/>
  <c r="Q294" i="122"/>
  <c r="Q295" i="122"/>
  <c r="Q296" i="122"/>
  <c r="Q297" i="122"/>
  <c r="Q298" i="122"/>
  <c r="Q299" i="122"/>
  <c r="Q300" i="122"/>
  <c r="Q301" i="122"/>
  <c r="Q302" i="122"/>
  <c r="Q303" i="122"/>
  <c r="Q304" i="122"/>
  <c r="Q305" i="122"/>
  <c r="Q306" i="122"/>
  <c r="Q307" i="122"/>
  <c r="Q308" i="122"/>
  <c r="Q309" i="122"/>
  <c r="Q310" i="122"/>
  <c r="Q311" i="122"/>
  <c r="Q312" i="122"/>
  <c r="Q313" i="122"/>
  <c r="Q314" i="122"/>
  <c r="Q315" i="122"/>
  <c r="Q316" i="122"/>
  <c r="Q317" i="122"/>
  <c r="Q318" i="122"/>
  <c r="Q319" i="122"/>
  <c r="Q320" i="122"/>
  <c r="Q321" i="122"/>
  <c r="Q322" i="122"/>
  <c r="Q323" i="122"/>
  <c r="Q324" i="122"/>
  <c r="Q325" i="122"/>
  <c r="Q326" i="122"/>
  <c r="Q327" i="122"/>
  <c r="Q328" i="122"/>
  <c r="Q329" i="122"/>
  <c r="Q330" i="122"/>
  <c r="Q331" i="122"/>
  <c r="Q332" i="122"/>
  <c r="Q333" i="122"/>
  <c r="Q334" i="122"/>
  <c r="Q335" i="122"/>
  <c r="Q336" i="122"/>
  <c r="Q337" i="122"/>
  <c r="Q338" i="122"/>
  <c r="Q339" i="122"/>
  <c r="Q340" i="122"/>
  <c r="Q341" i="122"/>
  <c r="Q342" i="122"/>
  <c r="Q343" i="122"/>
  <c r="Q344" i="122"/>
  <c r="Q345" i="122"/>
  <c r="Q346" i="122"/>
  <c r="Q347" i="122"/>
  <c r="Q348" i="122"/>
  <c r="Q349" i="122"/>
  <c r="Q350" i="122"/>
  <c r="Q351" i="122"/>
  <c r="Q352" i="122"/>
  <c r="Q353" i="122"/>
  <c r="Q432" i="122"/>
  <c r="Q433" i="122"/>
  <c r="Q434" i="122"/>
  <c r="Q435" i="122"/>
  <c r="Q436" i="122"/>
  <c r="Q437" i="122"/>
  <c r="Q438" i="122"/>
  <c r="Q439" i="122"/>
  <c r="Q440" i="122"/>
  <c r="Q441" i="122"/>
  <c r="Q442" i="122"/>
  <c r="Q443" i="122"/>
  <c r="Q444" i="122"/>
  <c r="Q445" i="122"/>
  <c r="Q446" i="122"/>
  <c r="Q447" i="122"/>
  <c r="Q448" i="122"/>
  <c r="Q449" i="122"/>
  <c r="Q450" i="122"/>
  <c r="Q451" i="122"/>
  <c r="Q452" i="122"/>
  <c r="Q453" i="122"/>
  <c r="Q454" i="122"/>
  <c r="Q455" i="122"/>
  <c r="Q456" i="122"/>
  <c r="Q457" i="122"/>
  <c r="Q458" i="122"/>
  <c r="Q459" i="122"/>
  <c r="Q460" i="122"/>
  <c r="Q461" i="122"/>
  <c r="Q462" i="122"/>
  <c r="Q463" i="122"/>
  <c r="Q464" i="122"/>
  <c r="Q465" i="122"/>
  <c r="Q466" i="122"/>
  <c r="Q467" i="122"/>
  <c r="Q468" i="122"/>
  <c r="Q469" i="122"/>
  <c r="Q470" i="122"/>
  <c r="Q471" i="122"/>
  <c r="Q472" i="122"/>
  <c r="Q473" i="122"/>
  <c r="Q474" i="122"/>
  <c r="Q475" i="122"/>
  <c r="Q476" i="122"/>
  <c r="Q477" i="122"/>
  <c r="Q478" i="122"/>
  <c r="Q479" i="122"/>
  <c r="Q480" i="122"/>
  <c r="Q481" i="122"/>
  <c r="Q482" i="122"/>
  <c r="Q483" i="122"/>
  <c r="Q484" i="122"/>
  <c r="Q485" i="122"/>
  <c r="Q486" i="122"/>
  <c r="Q487" i="122"/>
  <c r="Q488" i="122"/>
  <c r="Q489" i="122"/>
  <c r="Q490" i="122"/>
  <c r="Q491" i="122"/>
  <c r="Q492" i="122"/>
  <c r="Q493" i="122"/>
  <c r="Q494" i="122"/>
  <c r="Q495" i="122"/>
  <c r="Q496" i="122"/>
  <c r="F432" i="122"/>
  <c r="F433" i="122"/>
  <c r="F434" i="122"/>
  <c r="F435" i="122"/>
  <c r="F436" i="122"/>
  <c r="F437" i="122"/>
  <c r="F438" i="122"/>
  <c r="F439" i="122"/>
  <c r="F440" i="122"/>
  <c r="F441" i="122"/>
  <c r="F442" i="122"/>
  <c r="F443" i="122"/>
  <c r="F444" i="122"/>
  <c r="F445" i="122"/>
  <c r="F446" i="122"/>
  <c r="F447" i="122"/>
  <c r="F448" i="122"/>
  <c r="F449" i="122"/>
  <c r="F450" i="122"/>
  <c r="F451" i="122"/>
  <c r="F452" i="122"/>
  <c r="F453" i="122"/>
  <c r="F454" i="122"/>
  <c r="F455" i="122"/>
  <c r="F456" i="122"/>
  <c r="F457" i="122"/>
  <c r="F458" i="122"/>
  <c r="F459" i="122"/>
  <c r="F460" i="122"/>
  <c r="F461" i="122"/>
  <c r="F462" i="122"/>
  <c r="F463" i="122"/>
  <c r="F464" i="122"/>
  <c r="F465" i="122"/>
  <c r="F466" i="122"/>
  <c r="F467" i="122"/>
  <c r="F468" i="122"/>
  <c r="F469" i="122"/>
  <c r="F470" i="122"/>
  <c r="F471" i="122"/>
  <c r="F472" i="122"/>
  <c r="F473" i="122"/>
  <c r="F474" i="122"/>
  <c r="F475" i="122"/>
  <c r="F476" i="122"/>
  <c r="F477" i="122"/>
  <c r="F478" i="122"/>
  <c r="F479" i="122"/>
  <c r="F480" i="122"/>
  <c r="F481" i="122"/>
  <c r="F482" i="122"/>
  <c r="F483" i="122"/>
  <c r="F484" i="122"/>
  <c r="F485" i="122"/>
  <c r="F486" i="122"/>
  <c r="F487" i="122"/>
  <c r="F488" i="122"/>
  <c r="F489" i="122"/>
  <c r="F490" i="122"/>
  <c r="F491" i="122"/>
  <c r="F492" i="122"/>
  <c r="F493" i="122"/>
  <c r="F494" i="122"/>
  <c r="F495" i="122"/>
  <c r="F496" i="122"/>
  <c r="H432" i="122"/>
  <c r="H433" i="122"/>
  <c r="H434" i="122"/>
  <c r="H435" i="122"/>
  <c r="H436" i="122"/>
  <c r="H437" i="122"/>
  <c r="H438" i="122"/>
  <c r="H439" i="122"/>
  <c r="H440" i="122"/>
  <c r="H441" i="122"/>
  <c r="H442" i="122"/>
  <c r="H443" i="122"/>
  <c r="H444" i="122"/>
  <c r="H445" i="122"/>
  <c r="H446" i="122"/>
  <c r="H447" i="122"/>
  <c r="H448" i="122"/>
  <c r="H449" i="122"/>
  <c r="H450" i="122"/>
  <c r="H451" i="122"/>
  <c r="H452" i="122"/>
  <c r="H453" i="122"/>
  <c r="H454" i="122"/>
  <c r="H455" i="122"/>
  <c r="H456" i="122"/>
  <c r="H457" i="122"/>
  <c r="H458" i="122"/>
  <c r="H459" i="122"/>
  <c r="H460" i="122"/>
  <c r="H461" i="122"/>
  <c r="H462" i="122"/>
  <c r="H463" i="122"/>
  <c r="H464" i="122"/>
  <c r="H465" i="122"/>
  <c r="H466" i="122"/>
  <c r="H467" i="122"/>
  <c r="H468" i="122"/>
  <c r="H469" i="122"/>
  <c r="H470" i="122"/>
  <c r="H471" i="122"/>
  <c r="H472" i="122"/>
  <c r="H473" i="122"/>
  <c r="H474" i="122"/>
  <c r="H475" i="122"/>
  <c r="H476" i="122"/>
  <c r="H477" i="122"/>
  <c r="H478" i="122"/>
  <c r="H479" i="122"/>
  <c r="H480" i="122"/>
  <c r="H481" i="122"/>
  <c r="H482" i="122"/>
  <c r="H483" i="122"/>
  <c r="H484" i="122"/>
  <c r="H485" i="122"/>
  <c r="H486" i="122"/>
  <c r="H487" i="122"/>
  <c r="H488" i="122"/>
  <c r="H489" i="122"/>
  <c r="H490" i="122"/>
  <c r="H491" i="122"/>
  <c r="H492" i="122"/>
  <c r="H493" i="122"/>
  <c r="H494" i="122"/>
  <c r="H495" i="122"/>
  <c r="H496" i="122"/>
  <c r="K432" i="122"/>
  <c r="K433" i="122"/>
  <c r="K434" i="122"/>
  <c r="K435" i="122"/>
  <c r="K436" i="122"/>
  <c r="K437" i="122"/>
  <c r="K438" i="122"/>
  <c r="K439" i="122"/>
  <c r="K440" i="122"/>
  <c r="K441" i="122"/>
  <c r="K442" i="122"/>
  <c r="K443" i="122"/>
  <c r="K444" i="122"/>
  <c r="K445" i="122"/>
  <c r="K446" i="122"/>
  <c r="K447" i="122"/>
  <c r="K448" i="122"/>
  <c r="K449" i="122"/>
  <c r="K450" i="122"/>
  <c r="K451" i="122"/>
  <c r="K452" i="122"/>
  <c r="K453" i="122"/>
  <c r="K454" i="122"/>
  <c r="K455" i="122"/>
  <c r="K456" i="122"/>
  <c r="K457" i="122"/>
  <c r="K458" i="122"/>
  <c r="K459" i="122"/>
  <c r="K460" i="122"/>
  <c r="K461" i="122"/>
  <c r="K462" i="122"/>
  <c r="K463" i="122"/>
  <c r="K464" i="122"/>
  <c r="K465" i="122"/>
  <c r="K466" i="122"/>
  <c r="K467" i="122"/>
  <c r="K468" i="122"/>
  <c r="K469" i="122"/>
  <c r="K470" i="122"/>
  <c r="K471" i="122"/>
  <c r="K472" i="122"/>
  <c r="K473" i="122"/>
  <c r="K474" i="122"/>
  <c r="K475" i="122"/>
  <c r="K476" i="122"/>
  <c r="K477" i="122"/>
  <c r="K478" i="122"/>
  <c r="K479" i="122"/>
  <c r="K480" i="122"/>
  <c r="K481" i="122"/>
  <c r="K482" i="122"/>
  <c r="K483" i="122"/>
  <c r="K484" i="122"/>
  <c r="K485" i="122"/>
  <c r="K486" i="122"/>
  <c r="K487" i="122"/>
  <c r="K488" i="122"/>
  <c r="K489" i="122"/>
  <c r="K490" i="122"/>
  <c r="K491" i="122"/>
  <c r="K492" i="122"/>
  <c r="K493" i="122"/>
  <c r="K494" i="122"/>
  <c r="K495" i="122"/>
  <c r="K496" i="122"/>
  <c r="Q134" i="122"/>
  <c r="Q135" i="122"/>
  <c r="Q136" i="122"/>
  <c r="Q137" i="122"/>
  <c r="Q138" i="122"/>
  <c r="Q139" i="122"/>
  <c r="Q140" i="122"/>
  <c r="Q141" i="122"/>
  <c r="Q142" i="122"/>
  <c r="Q143" i="122"/>
  <c r="Q144" i="122"/>
  <c r="Q145" i="122"/>
  <c r="Q146" i="122"/>
  <c r="Q147" i="122"/>
  <c r="Q148" i="122"/>
  <c r="Q149" i="122"/>
  <c r="Q150" i="122"/>
  <c r="Q151" i="122"/>
  <c r="Q152" i="122"/>
  <c r="Q153" i="122"/>
  <c r="Q154" i="122"/>
  <c r="Q155" i="122"/>
  <c r="Q156" i="122"/>
  <c r="Q157" i="122"/>
  <c r="Q158" i="122"/>
  <c r="Q159" i="122"/>
  <c r="Q160" i="122"/>
  <c r="Q161" i="122"/>
  <c r="Q162" i="122"/>
  <c r="Q163" i="122"/>
  <c r="Q164" i="122"/>
  <c r="Q165" i="122"/>
  <c r="Q166" i="122"/>
  <c r="Q167" i="122"/>
  <c r="Q168" i="122"/>
  <c r="Q169" i="122"/>
  <c r="Q170" i="122"/>
  <c r="Q171" i="122"/>
  <c r="Q172" i="122"/>
  <c r="Q173" i="122"/>
  <c r="Q174" i="122"/>
  <c r="Q175" i="122"/>
  <c r="Q176" i="122"/>
  <c r="Q177" i="122"/>
  <c r="Q178" i="122"/>
  <c r="Q179" i="122"/>
  <c r="Q180" i="122"/>
  <c r="Q181" i="122"/>
  <c r="Q182" i="122"/>
  <c r="Q183" i="122"/>
  <c r="Q184" i="122"/>
  <c r="Q185" i="122"/>
  <c r="Q186" i="122"/>
  <c r="Q187" i="122"/>
  <c r="Q188" i="122"/>
  <c r="Q189" i="122"/>
  <c r="Q190" i="122"/>
  <c r="Q191" i="122"/>
  <c r="Q192" i="122"/>
  <c r="Q193" i="122"/>
  <c r="Q194" i="122"/>
  <c r="Q195" i="122"/>
  <c r="Q196" i="122"/>
  <c r="Q197" i="122"/>
  <c r="Q198" i="122"/>
  <c r="Q199" i="122"/>
  <c r="Q200" i="122"/>
  <c r="Q201" i="122"/>
  <c r="Q202" i="122"/>
  <c r="Q203" i="122"/>
  <c r="Q204" i="122"/>
  <c r="Q205" i="122"/>
  <c r="Q206" i="122"/>
  <c r="Q207" i="122"/>
  <c r="Q208" i="122"/>
  <c r="Q209" i="122"/>
  <c r="Q210" i="122"/>
  <c r="Q211" i="122"/>
  <c r="Q212" i="122"/>
  <c r="Q213" i="122"/>
  <c r="Q214" i="122"/>
  <c r="Q215" i="122"/>
  <c r="Q216" i="122"/>
  <c r="Q217" i="122"/>
  <c r="Q218" i="122"/>
  <c r="Q219" i="122"/>
  <c r="Q220" i="122"/>
  <c r="Q221" i="122"/>
  <c r="Q222" i="122"/>
  <c r="Q223" i="122"/>
  <c r="Q224" i="122"/>
  <c r="Q225" i="122"/>
  <c r="Q226" i="122"/>
  <c r="Q227" i="122"/>
  <c r="Q228" i="122"/>
  <c r="Q229" i="122"/>
  <c r="Q230" i="122"/>
  <c r="Q231" i="122"/>
  <c r="Q232" i="122"/>
  <c r="Q233" i="122"/>
  <c r="Q234" i="122"/>
  <c r="Q235" i="122"/>
  <c r="Q236" i="122"/>
  <c r="Q237" i="122"/>
  <c r="Q238" i="122"/>
  <c r="Q239" i="122"/>
  <c r="Q240" i="122"/>
  <c r="Q241" i="122"/>
  <c r="Q242" i="122"/>
  <c r="Q243" i="122"/>
  <c r="Q244" i="122"/>
  <c r="Q245" i="122"/>
  <c r="Q246" i="122"/>
  <c r="Q247" i="122"/>
  <c r="Q248" i="122"/>
  <c r="Q249" i="122"/>
  <c r="Q250" i="122"/>
  <c r="Q251" i="122"/>
  <c r="Q252" i="122"/>
  <c r="Q253" i="122"/>
  <c r="Q254" i="122"/>
  <c r="Q255" i="122"/>
  <c r="Q256" i="122"/>
  <c r="Q257" i="122"/>
  <c r="Q258" i="122"/>
  <c r="Q259" i="122"/>
  <c r="Q260" i="122"/>
  <c r="Q261" i="122"/>
  <c r="Q262" i="122"/>
  <c r="Q263" i="122"/>
  <c r="Q264" i="122"/>
  <c r="Q265" i="122"/>
  <c r="Q266" i="122"/>
  <c r="Q267" i="122"/>
  <c r="Q268" i="122"/>
  <c r="Q269" i="122"/>
  <c r="Q270" i="122"/>
  <c r="Q271" i="122"/>
  <c r="Q272" i="122"/>
  <c r="Q273" i="122"/>
  <c r="Q274" i="122"/>
  <c r="Q275" i="122"/>
  <c r="Q276" i="122"/>
  <c r="Q277" i="122"/>
  <c r="Q278" i="122"/>
  <c r="Q279" i="122"/>
  <c r="Q280" i="122"/>
  <c r="Q281" i="122"/>
  <c r="Q282" i="122"/>
  <c r="Q283" i="122"/>
  <c r="Q284" i="122"/>
  <c r="Q285" i="122"/>
  <c r="Q286" i="122"/>
  <c r="Q287" i="122"/>
  <c r="Q288" i="122"/>
  <c r="Q354" i="122"/>
  <c r="Q355" i="122"/>
  <c r="Q356" i="122"/>
  <c r="Q357" i="122"/>
  <c r="Q358" i="122"/>
  <c r="Q359" i="122"/>
  <c r="Q360" i="122"/>
  <c r="Q361" i="122"/>
  <c r="Q362" i="122"/>
  <c r="Q363" i="122"/>
  <c r="Q364" i="122"/>
  <c r="Q365" i="122"/>
  <c r="Q366" i="122"/>
  <c r="Q367" i="122"/>
  <c r="Q368" i="122"/>
  <c r="Q369" i="122"/>
  <c r="Q370" i="122"/>
  <c r="Q371" i="122"/>
  <c r="Q372" i="122"/>
  <c r="Q373" i="122"/>
  <c r="Q374" i="122"/>
  <c r="Q375" i="122"/>
  <c r="Q376" i="122"/>
  <c r="Q377" i="122"/>
  <c r="Q378" i="122"/>
  <c r="Q379" i="122"/>
  <c r="Q380" i="122"/>
  <c r="Q381" i="122"/>
  <c r="Q382" i="122"/>
  <c r="Q383" i="122"/>
  <c r="Q384" i="122"/>
  <c r="Q385" i="122"/>
  <c r="Q386" i="122"/>
  <c r="Q387" i="122"/>
  <c r="Q388" i="122"/>
  <c r="Q389" i="122"/>
  <c r="Q390" i="122"/>
  <c r="Q391" i="122"/>
  <c r="Q392" i="122"/>
  <c r="Q393" i="122"/>
  <c r="Q394" i="122"/>
  <c r="Q395" i="122"/>
  <c r="Q396" i="122"/>
  <c r="Q397" i="122"/>
  <c r="Q398" i="122"/>
  <c r="Q399" i="122"/>
  <c r="Q400" i="122"/>
  <c r="Q401" i="122"/>
  <c r="Q402" i="122"/>
  <c r="Q403" i="122"/>
  <c r="Q404" i="122"/>
  <c r="Q405" i="122"/>
  <c r="Q406" i="122"/>
  <c r="Q407" i="122"/>
  <c r="Q408" i="122"/>
  <c r="Q409" i="122"/>
  <c r="Q410" i="122"/>
  <c r="Q411" i="122"/>
  <c r="Q412" i="122"/>
  <c r="Q413" i="122"/>
  <c r="Q414" i="122"/>
  <c r="Q415" i="122"/>
  <c r="Q416" i="122"/>
  <c r="Q417" i="122"/>
  <c r="Q418" i="122"/>
  <c r="Q419" i="122"/>
  <c r="Q420" i="122"/>
  <c r="Q421" i="122"/>
  <c r="Q422" i="122"/>
  <c r="Q423" i="122"/>
  <c r="Q424" i="122"/>
  <c r="Q425" i="122"/>
  <c r="Q426" i="122"/>
  <c r="Q427" i="122"/>
  <c r="Q428" i="122"/>
  <c r="Q429" i="122"/>
  <c r="Q430" i="122"/>
  <c r="Q431" i="122"/>
  <c r="Q133" i="122"/>
  <c r="F133" i="122"/>
  <c r="F134" i="122"/>
  <c r="F135" i="122"/>
  <c r="F136" i="122"/>
  <c r="F137" i="122"/>
  <c r="F138" i="122"/>
  <c r="F139" i="122"/>
  <c r="F140" i="122"/>
  <c r="F141" i="122"/>
  <c r="F142" i="122"/>
  <c r="F143" i="122"/>
  <c r="F144" i="122"/>
  <c r="F145" i="122"/>
  <c r="F146" i="122"/>
  <c r="F147" i="122"/>
  <c r="F148" i="122"/>
  <c r="F149" i="122"/>
  <c r="F150" i="122"/>
  <c r="F151" i="122"/>
  <c r="F152" i="122"/>
  <c r="F153" i="122"/>
  <c r="F154" i="122"/>
  <c r="F155" i="122"/>
  <c r="F156" i="122"/>
  <c r="F157" i="122"/>
  <c r="F158" i="122"/>
  <c r="F159" i="122"/>
  <c r="F160" i="122"/>
  <c r="F161" i="122"/>
  <c r="F162" i="122"/>
  <c r="F163" i="122"/>
  <c r="F164" i="122"/>
  <c r="F165" i="122"/>
  <c r="F166" i="122"/>
  <c r="F167" i="122"/>
  <c r="F168" i="122"/>
  <c r="F169" i="122"/>
  <c r="F170" i="122"/>
  <c r="F171" i="122"/>
  <c r="F172" i="122"/>
  <c r="F173" i="122"/>
  <c r="F174" i="122"/>
  <c r="F175" i="122"/>
  <c r="F176" i="122"/>
  <c r="F177" i="122"/>
  <c r="F178" i="122"/>
  <c r="F179" i="122"/>
  <c r="F180" i="122"/>
  <c r="F181" i="122"/>
  <c r="F182" i="122"/>
  <c r="F183" i="122"/>
  <c r="F184" i="122"/>
  <c r="F185" i="122"/>
  <c r="F186" i="122"/>
  <c r="F187" i="122"/>
  <c r="F188" i="122"/>
  <c r="F189" i="122"/>
  <c r="F190" i="122"/>
  <c r="F191" i="122"/>
  <c r="F192" i="122"/>
  <c r="F193" i="122"/>
  <c r="F194" i="122"/>
  <c r="F195" i="122"/>
  <c r="F196" i="122"/>
  <c r="F197" i="122"/>
  <c r="F198" i="122"/>
  <c r="F199" i="122"/>
  <c r="F200" i="122"/>
  <c r="F201" i="122"/>
  <c r="F202" i="122"/>
  <c r="F203" i="122"/>
  <c r="F204" i="122"/>
  <c r="F205" i="122"/>
  <c r="F206" i="122"/>
  <c r="F207" i="122"/>
  <c r="F208" i="122"/>
  <c r="F209" i="122"/>
  <c r="F210" i="122"/>
  <c r="F211" i="122"/>
  <c r="F212" i="122"/>
  <c r="F213" i="122"/>
  <c r="F214" i="122"/>
  <c r="F215" i="122"/>
  <c r="F216" i="122"/>
  <c r="F217" i="122"/>
  <c r="F218" i="122"/>
  <c r="F219" i="122"/>
  <c r="F220" i="122"/>
  <c r="F221" i="122"/>
  <c r="F222" i="122"/>
  <c r="F223" i="122"/>
  <c r="F224" i="122"/>
  <c r="F225" i="122"/>
  <c r="F226" i="122"/>
  <c r="F227" i="122"/>
  <c r="F228" i="122"/>
  <c r="F229" i="122"/>
  <c r="F230" i="122"/>
  <c r="F231" i="122"/>
  <c r="F232" i="122"/>
  <c r="F233" i="122"/>
  <c r="F234" i="122"/>
  <c r="F235" i="122"/>
  <c r="F236" i="122"/>
  <c r="F237" i="122"/>
  <c r="F238" i="122"/>
  <c r="F239" i="122"/>
  <c r="F240" i="122"/>
  <c r="F241" i="122"/>
  <c r="F242" i="122"/>
  <c r="F243" i="122"/>
  <c r="F244" i="122"/>
  <c r="F245" i="122"/>
  <c r="F246" i="122"/>
  <c r="F247" i="122"/>
  <c r="F248" i="122"/>
  <c r="F249" i="122"/>
  <c r="F250" i="122"/>
  <c r="F251" i="122"/>
  <c r="F252" i="122"/>
  <c r="F253" i="122"/>
  <c r="F254" i="122"/>
  <c r="F255" i="122"/>
  <c r="F256" i="122"/>
  <c r="F257" i="122"/>
  <c r="F258" i="122"/>
  <c r="F259" i="122"/>
  <c r="F260" i="122"/>
  <c r="F261" i="122"/>
  <c r="F262" i="122"/>
  <c r="F263" i="122"/>
  <c r="F264" i="122"/>
  <c r="F265" i="122"/>
  <c r="F266" i="122"/>
  <c r="F267" i="122"/>
  <c r="F268" i="122"/>
  <c r="F269" i="122"/>
  <c r="F270" i="122"/>
  <c r="F271" i="122"/>
  <c r="F272" i="122"/>
  <c r="F273" i="122"/>
  <c r="F274" i="122"/>
  <c r="F275" i="122"/>
  <c r="F276" i="122"/>
  <c r="F277" i="122"/>
  <c r="F278" i="122"/>
  <c r="F279" i="122"/>
  <c r="F280" i="122"/>
  <c r="F281" i="122"/>
  <c r="F282" i="122"/>
  <c r="F283" i="122"/>
  <c r="F284" i="122"/>
  <c r="F285" i="122"/>
  <c r="F286" i="122"/>
  <c r="F287" i="122"/>
  <c r="F288" i="122"/>
  <c r="F354" i="122"/>
  <c r="F355" i="122"/>
  <c r="F356" i="122"/>
  <c r="F357" i="122"/>
  <c r="F358" i="122"/>
  <c r="F359" i="122"/>
  <c r="F360" i="122"/>
  <c r="F361" i="122"/>
  <c r="F362" i="122"/>
  <c r="F363" i="122"/>
  <c r="F364" i="122"/>
  <c r="F365" i="122"/>
  <c r="F366" i="122"/>
  <c r="F367" i="122"/>
  <c r="F368" i="122"/>
  <c r="F369" i="122"/>
  <c r="F370" i="122"/>
  <c r="F371" i="122"/>
  <c r="F372" i="122"/>
  <c r="F373" i="122"/>
  <c r="F374" i="122"/>
  <c r="F375" i="122"/>
  <c r="F376" i="122"/>
  <c r="F377" i="122"/>
  <c r="F378" i="122"/>
  <c r="F379" i="122"/>
  <c r="F380" i="122"/>
  <c r="F381" i="122"/>
  <c r="F382" i="122"/>
  <c r="F383" i="122"/>
  <c r="F384" i="122"/>
  <c r="F385" i="122"/>
  <c r="F386" i="122"/>
  <c r="F387" i="122"/>
  <c r="F388" i="122"/>
  <c r="F389" i="122"/>
  <c r="F390" i="122"/>
  <c r="F391" i="122"/>
  <c r="F392" i="122"/>
  <c r="F393" i="122"/>
  <c r="F394" i="122"/>
  <c r="F395" i="122"/>
  <c r="F396" i="122"/>
  <c r="F397" i="122"/>
  <c r="F398" i="122"/>
  <c r="F399" i="122"/>
  <c r="F400" i="122"/>
  <c r="F401" i="122"/>
  <c r="F402" i="122"/>
  <c r="F403" i="122"/>
  <c r="F404" i="122"/>
  <c r="F405" i="122"/>
  <c r="F406" i="122"/>
  <c r="F407" i="122"/>
  <c r="F408" i="122"/>
  <c r="F409" i="122"/>
  <c r="F410" i="122"/>
  <c r="F411" i="122"/>
  <c r="F412" i="122"/>
  <c r="F413" i="122"/>
  <c r="F414" i="122"/>
  <c r="F415" i="122"/>
  <c r="F416" i="122"/>
  <c r="F417" i="122"/>
  <c r="F418" i="122"/>
  <c r="F419" i="122"/>
  <c r="F420" i="122"/>
  <c r="F421" i="122"/>
  <c r="F422" i="122"/>
  <c r="F423" i="122"/>
  <c r="F424" i="122"/>
  <c r="F425" i="122"/>
  <c r="F426" i="122"/>
  <c r="F427" i="122"/>
  <c r="F428" i="122"/>
  <c r="F429" i="122"/>
  <c r="F430" i="122"/>
  <c r="F431" i="122"/>
  <c r="H133" i="122"/>
  <c r="H134" i="122"/>
  <c r="H135" i="122"/>
  <c r="H136" i="122"/>
  <c r="H137" i="122"/>
  <c r="H138" i="122"/>
  <c r="H139" i="122"/>
  <c r="H140" i="122"/>
  <c r="H141" i="122"/>
  <c r="H142" i="122"/>
  <c r="H143" i="122"/>
  <c r="H144" i="122"/>
  <c r="H145" i="122"/>
  <c r="H146" i="122"/>
  <c r="H147" i="122"/>
  <c r="H148" i="122"/>
  <c r="H149" i="122"/>
  <c r="H150" i="122"/>
  <c r="H151" i="122"/>
  <c r="H152" i="122"/>
  <c r="H153" i="122"/>
  <c r="H154" i="122"/>
  <c r="H155" i="122"/>
  <c r="H156" i="122"/>
  <c r="H157" i="122"/>
  <c r="H158" i="122"/>
  <c r="H159" i="122"/>
  <c r="H160" i="122"/>
  <c r="H161" i="122"/>
  <c r="H162" i="122"/>
  <c r="H163" i="122"/>
  <c r="H164" i="122"/>
  <c r="H165" i="122"/>
  <c r="H166" i="122"/>
  <c r="H167" i="122"/>
  <c r="H168" i="122"/>
  <c r="H169" i="122"/>
  <c r="H170" i="122"/>
  <c r="H171" i="122"/>
  <c r="H172" i="122"/>
  <c r="H173" i="122"/>
  <c r="H174" i="122"/>
  <c r="H175" i="122"/>
  <c r="H176" i="122"/>
  <c r="H177" i="122"/>
  <c r="H178" i="122"/>
  <c r="H179" i="122"/>
  <c r="H180" i="122"/>
  <c r="H181" i="122"/>
  <c r="H182" i="122"/>
  <c r="H183" i="122"/>
  <c r="H184" i="122"/>
  <c r="H185" i="122"/>
  <c r="H186" i="122"/>
  <c r="H187" i="122"/>
  <c r="H188" i="122"/>
  <c r="H189" i="122"/>
  <c r="H190" i="122"/>
  <c r="H191" i="122"/>
  <c r="H192" i="122"/>
  <c r="H193" i="122"/>
  <c r="H194" i="122"/>
  <c r="H195" i="122"/>
  <c r="H196" i="122"/>
  <c r="H197" i="122"/>
  <c r="H198" i="122"/>
  <c r="H199" i="122"/>
  <c r="H200" i="122"/>
  <c r="H201" i="122"/>
  <c r="H202" i="122"/>
  <c r="H203" i="122"/>
  <c r="H204" i="122"/>
  <c r="H205" i="122"/>
  <c r="H206" i="122"/>
  <c r="H207" i="122"/>
  <c r="H208" i="122"/>
  <c r="H209" i="122"/>
  <c r="H210" i="122"/>
  <c r="H211" i="122"/>
  <c r="H212" i="122"/>
  <c r="H213" i="122"/>
  <c r="H214" i="122"/>
  <c r="H215" i="122"/>
  <c r="H216" i="122"/>
  <c r="H217" i="122"/>
  <c r="H218" i="122"/>
  <c r="H219" i="122"/>
  <c r="H220" i="122"/>
  <c r="H221" i="122"/>
  <c r="H222" i="122"/>
  <c r="H223" i="122"/>
  <c r="H224" i="122"/>
  <c r="H225" i="122"/>
  <c r="H226" i="122"/>
  <c r="H227" i="122"/>
  <c r="H228" i="122"/>
  <c r="H229" i="122"/>
  <c r="H230" i="122"/>
  <c r="H231" i="122"/>
  <c r="H232" i="122"/>
  <c r="H233" i="122"/>
  <c r="H234" i="122"/>
  <c r="H235" i="122"/>
  <c r="H236" i="122"/>
  <c r="H237" i="122"/>
  <c r="H238" i="122"/>
  <c r="H239" i="122"/>
  <c r="H240" i="122"/>
  <c r="H241" i="122"/>
  <c r="H242" i="122"/>
  <c r="H243" i="122"/>
  <c r="H244" i="122"/>
  <c r="H245" i="122"/>
  <c r="H246" i="122"/>
  <c r="H247" i="122"/>
  <c r="H248" i="122"/>
  <c r="H249" i="122"/>
  <c r="H250" i="122"/>
  <c r="H251" i="122"/>
  <c r="H252" i="122"/>
  <c r="H253" i="122"/>
  <c r="H254" i="122"/>
  <c r="H255" i="122"/>
  <c r="H256" i="122"/>
  <c r="H257" i="122"/>
  <c r="H258" i="122"/>
  <c r="H259" i="122"/>
  <c r="H260" i="122"/>
  <c r="H261" i="122"/>
  <c r="H262" i="122"/>
  <c r="H263" i="122"/>
  <c r="H264" i="122"/>
  <c r="H265" i="122"/>
  <c r="H266" i="122"/>
  <c r="H267" i="122"/>
  <c r="H268" i="122"/>
  <c r="H269" i="122"/>
  <c r="H270" i="122"/>
  <c r="H271" i="122"/>
  <c r="H272" i="122"/>
  <c r="H273" i="122"/>
  <c r="H274" i="122"/>
  <c r="H275" i="122"/>
  <c r="H276" i="122"/>
  <c r="H277" i="122"/>
  <c r="H278" i="122"/>
  <c r="H279" i="122"/>
  <c r="H280" i="122"/>
  <c r="H281" i="122"/>
  <c r="H282" i="122"/>
  <c r="H283" i="122"/>
  <c r="H284" i="122"/>
  <c r="H285" i="122"/>
  <c r="H286" i="122"/>
  <c r="H287" i="122"/>
  <c r="H288" i="122"/>
  <c r="H354" i="122"/>
  <c r="H355" i="122"/>
  <c r="H356" i="122"/>
  <c r="H357" i="122"/>
  <c r="H358" i="122"/>
  <c r="H359" i="122"/>
  <c r="H360" i="122"/>
  <c r="H361" i="122"/>
  <c r="H362" i="122"/>
  <c r="H363" i="122"/>
  <c r="H364" i="122"/>
  <c r="H365" i="122"/>
  <c r="H366" i="122"/>
  <c r="H367" i="122"/>
  <c r="H368" i="122"/>
  <c r="H369" i="122"/>
  <c r="H370" i="122"/>
  <c r="H371" i="122"/>
  <c r="H372" i="122"/>
  <c r="H373" i="122"/>
  <c r="H374" i="122"/>
  <c r="H375" i="122"/>
  <c r="H376" i="122"/>
  <c r="H377" i="122"/>
  <c r="H378" i="122"/>
  <c r="H379" i="122"/>
  <c r="H380" i="122"/>
  <c r="H381" i="122"/>
  <c r="H382" i="122"/>
  <c r="H383" i="122"/>
  <c r="H384" i="122"/>
  <c r="H385" i="122"/>
  <c r="H386" i="122"/>
  <c r="H387" i="122"/>
  <c r="H388" i="122"/>
  <c r="H389" i="122"/>
  <c r="H390" i="122"/>
  <c r="H391" i="122"/>
  <c r="H392" i="122"/>
  <c r="H393" i="122"/>
  <c r="H394" i="122"/>
  <c r="H395" i="122"/>
  <c r="H396" i="122"/>
  <c r="H397" i="122"/>
  <c r="H398" i="122"/>
  <c r="H399" i="122"/>
  <c r="H400" i="122"/>
  <c r="H401" i="122"/>
  <c r="H402" i="122"/>
  <c r="H403" i="122"/>
  <c r="H404" i="122"/>
  <c r="H405" i="122"/>
  <c r="H406" i="122"/>
  <c r="H407" i="122"/>
  <c r="H408" i="122"/>
  <c r="H409" i="122"/>
  <c r="H410" i="122"/>
  <c r="H411" i="122"/>
  <c r="H412" i="122"/>
  <c r="H413" i="122"/>
  <c r="H414" i="122"/>
  <c r="H415" i="122"/>
  <c r="H416" i="122"/>
  <c r="H417" i="122"/>
  <c r="H418" i="122"/>
  <c r="H419" i="122"/>
  <c r="H420" i="122"/>
  <c r="H421" i="122"/>
  <c r="H422" i="122"/>
  <c r="H423" i="122"/>
  <c r="H424" i="122"/>
  <c r="H425" i="122"/>
  <c r="H426" i="122"/>
  <c r="H427" i="122"/>
  <c r="H428" i="122"/>
  <c r="H429" i="122"/>
  <c r="H430" i="122"/>
  <c r="H431" i="122"/>
  <c r="K133" i="122"/>
  <c r="K134" i="122"/>
  <c r="K135" i="122"/>
  <c r="K136" i="122"/>
  <c r="K137" i="122"/>
  <c r="K138" i="122"/>
  <c r="K139" i="122"/>
  <c r="K140" i="122"/>
  <c r="K141" i="122"/>
  <c r="K142" i="122"/>
  <c r="K143" i="122"/>
  <c r="K144" i="122"/>
  <c r="K145" i="122"/>
  <c r="K146" i="122"/>
  <c r="K147" i="122"/>
  <c r="K148" i="122"/>
  <c r="K149" i="122"/>
  <c r="K150" i="122"/>
  <c r="K151" i="122"/>
  <c r="K152" i="122"/>
  <c r="K153" i="122"/>
  <c r="K154" i="122"/>
  <c r="K155" i="122"/>
  <c r="K156" i="122"/>
  <c r="K157" i="122"/>
  <c r="K158" i="122"/>
  <c r="K159" i="122"/>
  <c r="K160" i="122"/>
  <c r="K161" i="122"/>
  <c r="K162" i="122"/>
  <c r="K163" i="122"/>
  <c r="K164" i="122"/>
  <c r="K165" i="122"/>
  <c r="K166" i="122"/>
  <c r="K167" i="122"/>
  <c r="K168" i="122"/>
  <c r="K169" i="122"/>
  <c r="K170" i="122"/>
  <c r="K171" i="122"/>
  <c r="K172" i="122"/>
  <c r="K173" i="122"/>
  <c r="K174" i="122"/>
  <c r="K175" i="122"/>
  <c r="K176" i="122"/>
  <c r="K177" i="122"/>
  <c r="K178" i="122"/>
  <c r="K179" i="122"/>
  <c r="K180" i="122"/>
  <c r="K181" i="122"/>
  <c r="K182" i="122"/>
  <c r="K183" i="122"/>
  <c r="K184" i="122"/>
  <c r="K185" i="122"/>
  <c r="K186" i="122"/>
  <c r="K187" i="122"/>
  <c r="K188" i="122"/>
  <c r="K189" i="122"/>
  <c r="K190" i="122"/>
  <c r="K191" i="122"/>
  <c r="K192" i="122"/>
  <c r="K193" i="122"/>
  <c r="K194" i="122"/>
  <c r="K195" i="122"/>
  <c r="K196" i="122"/>
  <c r="K197" i="122"/>
  <c r="K198" i="122"/>
  <c r="K199" i="122"/>
  <c r="K200" i="122"/>
  <c r="K201" i="122"/>
  <c r="K202" i="122"/>
  <c r="K203" i="122"/>
  <c r="K204" i="122"/>
  <c r="K205" i="122"/>
  <c r="K206" i="122"/>
  <c r="K207" i="122"/>
  <c r="K208" i="122"/>
  <c r="K209" i="122"/>
  <c r="K210" i="122"/>
  <c r="K211" i="122"/>
  <c r="K212" i="122"/>
  <c r="K213" i="122"/>
  <c r="K214" i="122"/>
  <c r="K215" i="122"/>
  <c r="K216" i="122"/>
  <c r="K217" i="122"/>
  <c r="K218" i="122"/>
  <c r="K219" i="122"/>
  <c r="K220" i="122"/>
  <c r="K221" i="122"/>
  <c r="K222" i="122"/>
  <c r="K223" i="122"/>
  <c r="K224" i="122"/>
  <c r="K225" i="122"/>
  <c r="K226" i="122"/>
  <c r="K227" i="122"/>
  <c r="K228" i="122"/>
  <c r="K229" i="122"/>
  <c r="K230" i="122"/>
  <c r="K231" i="122"/>
  <c r="K232" i="122"/>
  <c r="K233" i="122"/>
  <c r="K234" i="122"/>
  <c r="K235" i="122"/>
  <c r="K236" i="122"/>
  <c r="K237" i="122"/>
  <c r="K238" i="122"/>
  <c r="K239" i="122"/>
  <c r="K240" i="122"/>
  <c r="K241" i="122"/>
  <c r="K242" i="122"/>
  <c r="K243" i="122"/>
  <c r="K244" i="122"/>
  <c r="K245" i="122"/>
  <c r="K246" i="122"/>
  <c r="K247" i="122"/>
  <c r="K248" i="122"/>
  <c r="K249" i="122"/>
  <c r="K250" i="122"/>
  <c r="K251" i="122"/>
  <c r="K252" i="122"/>
  <c r="K253" i="122"/>
  <c r="K254" i="122"/>
  <c r="K255" i="122"/>
  <c r="K256" i="122"/>
  <c r="K257" i="122"/>
  <c r="K258" i="122"/>
  <c r="K259" i="122"/>
  <c r="K260" i="122"/>
  <c r="K261" i="122"/>
  <c r="K262" i="122"/>
  <c r="K263" i="122"/>
  <c r="K264" i="122"/>
  <c r="K265" i="122"/>
  <c r="K266" i="122"/>
  <c r="K267" i="122"/>
  <c r="K268" i="122"/>
  <c r="K269" i="122"/>
  <c r="K270" i="122"/>
  <c r="K271" i="122"/>
  <c r="K272" i="122"/>
  <c r="K273" i="122"/>
  <c r="K274" i="122"/>
  <c r="K275" i="122"/>
  <c r="K276" i="122"/>
  <c r="K277" i="122"/>
  <c r="K278" i="122"/>
  <c r="K279" i="122"/>
  <c r="K280" i="122"/>
  <c r="K281" i="122"/>
  <c r="K282" i="122"/>
  <c r="K283" i="122"/>
  <c r="K284" i="122"/>
  <c r="K285" i="122"/>
  <c r="K286" i="122"/>
  <c r="K287" i="122"/>
  <c r="K288" i="122"/>
  <c r="K354" i="122"/>
  <c r="K355" i="122"/>
  <c r="K356" i="122"/>
  <c r="K357" i="122"/>
  <c r="K358" i="122"/>
  <c r="K359" i="122"/>
  <c r="K360" i="122"/>
  <c r="K361" i="122"/>
  <c r="K362" i="122"/>
  <c r="K363" i="122"/>
  <c r="K364" i="122"/>
  <c r="K365" i="122"/>
  <c r="K366" i="122"/>
  <c r="K367" i="122"/>
  <c r="K368" i="122"/>
  <c r="K369" i="122"/>
  <c r="K370" i="122"/>
  <c r="K371" i="122"/>
  <c r="K372" i="122"/>
  <c r="K373" i="122"/>
  <c r="K374" i="122"/>
  <c r="K375" i="122"/>
  <c r="K376" i="122"/>
  <c r="K377" i="122"/>
  <c r="K378" i="122"/>
  <c r="K379" i="122"/>
  <c r="K380" i="122"/>
  <c r="K381" i="122"/>
  <c r="K382" i="122"/>
  <c r="K383" i="122"/>
  <c r="K384" i="122"/>
  <c r="K385" i="122"/>
  <c r="K386" i="122"/>
  <c r="K387" i="122"/>
  <c r="K388" i="122"/>
  <c r="K389" i="122"/>
  <c r="K390" i="122"/>
  <c r="K391" i="122"/>
  <c r="K392" i="122"/>
  <c r="K393" i="122"/>
  <c r="K394" i="122"/>
  <c r="K395" i="122"/>
  <c r="K396" i="122"/>
  <c r="K397" i="122"/>
  <c r="K398" i="122"/>
  <c r="K399" i="122"/>
  <c r="K400" i="122"/>
  <c r="K401" i="122"/>
  <c r="K402" i="122"/>
  <c r="K403" i="122"/>
  <c r="K404" i="122"/>
  <c r="K405" i="122"/>
  <c r="K406" i="122"/>
  <c r="K407" i="122"/>
  <c r="K408" i="122"/>
  <c r="K409" i="122"/>
  <c r="K410" i="122"/>
  <c r="K411" i="122"/>
  <c r="K412" i="122"/>
  <c r="K413" i="122"/>
  <c r="K414" i="122"/>
  <c r="K415" i="122"/>
  <c r="K416" i="122"/>
  <c r="K417" i="122"/>
  <c r="K418" i="122"/>
  <c r="K419" i="122"/>
  <c r="K420" i="122"/>
  <c r="K421" i="122"/>
  <c r="K422" i="122"/>
  <c r="K423" i="122"/>
  <c r="K424" i="122"/>
  <c r="K425" i="122"/>
  <c r="K426" i="122"/>
  <c r="K427" i="122"/>
  <c r="K428" i="122"/>
  <c r="K429" i="122"/>
  <c r="K430" i="122"/>
  <c r="K431" i="122"/>
  <c r="M167" i="122" l="1"/>
  <c r="M456" i="122"/>
  <c r="M319" i="122"/>
  <c r="M485" i="122"/>
  <c r="M437" i="122"/>
  <c r="M348" i="122"/>
  <c r="M300" i="122"/>
  <c r="M487" i="122"/>
  <c r="M439" i="122"/>
  <c r="M350" i="122"/>
  <c r="M302" i="122"/>
  <c r="M468" i="122"/>
  <c r="M331" i="122"/>
  <c r="M314" i="122"/>
  <c r="M453" i="122"/>
  <c r="M316" i="122"/>
  <c r="M303" i="122"/>
  <c r="M351" i="122"/>
  <c r="M452" i="122"/>
  <c r="M315" i="122"/>
  <c r="M484" i="122"/>
  <c r="M472" i="122"/>
  <c r="M436" i="122"/>
  <c r="M347" i="122"/>
  <c r="M335" i="122"/>
  <c r="M299" i="122"/>
  <c r="M471" i="122"/>
  <c r="M435" i="122"/>
  <c r="M346" i="122"/>
  <c r="M334" i="122"/>
  <c r="M298" i="122"/>
  <c r="M440" i="122"/>
  <c r="M469" i="122"/>
  <c r="M332" i="122"/>
  <c r="M488" i="122"/>
  <c r="M455" i="122"/>
  <c r="M330" i="122"/>
  <c r="M318" i="122"/>
  <c r="M389" i="122"/>
  <c r="M276" i="122"/>
  <c r="M244" i="122"/>
  <c r="M196" i="122"/>
  <c r="M164" i="122"/>
  <c r="M405" i="122"/>
  <c r="M357" i="122"/>
  <c r="M228" i="122"/>
  <c r="M180" i="122"/>
  <c r="M421" i="122"/>
  <c r="M373" i="122"/>
  <c r="M260" i="122"/>
  <c r="M212" i="122"/>
  <c r="M148" i="122"/>
  <c r="M243" i="122"/>
  <c r="M147" i="122"/>
  <c r="M486" i="122"/>
  <c r="M470" i="122"/>
  <c r="M454" i="122"/>
  <c r="M438" i="122"/>
  <c r="M349" i="122"/>
  <c r="M333" i="122"/>
  <c r="M317" i="122"/>
  <c r="M301" i="122"/>
  <c r="M404" i="122"/>
  <c r="M179" i="122"/>
  <c r="M275" i="122"/>
  <c r="M163" i="122"/>
  <c r="M227" i="122"/>
  <c r="M483" i="122"/>
  <c r="M467" i="122"/>
  <c r="M451" i="122"/>
  <c r="M372" i="122"/>
  <c r="M211" i="122"/>
  <c r="M482" i="122"/>
  <c r="M466" i="122"/>
  <c r="M450" i="122"/>
  <c r="M434" i="122"/>
  <c r="M345" i="122"/>
  <c r="M329" i="122"/>
  <c r="M313" i="122"/>
  <c r="M297" i="122"/>
  <c r="M420" i="122"/>
  <c r="M195" i="122"/>
  <c r="M481" i="122"/>
  <c r="M465" i="122"/>
  <c r="M449" i="122"/>
  <c r="M433" i="122"/>
  <c r="M344" i="122"/>
  <c r="M328" i="122"/>
  <c r="M312" i="122"/>
  <c r="M296" i="122"/>
  <c r="M388" i="122"/>
  <c r="M259" i="122"/>
  <c r="M356" i="122"/>
  <c r="M493" i="122"/>
  <c r="M477" i="122"/>
  <c r="M461" i="122"/>
  <c r="M445" i="122"/>
  <c r="M340" i="122"/>
  <c r="M324" i="122"/>
  <c r="M308" i="122"/>
  <c r="M292" i="122"/>
  <c r="M492" i="122"/>
  <c r="M476" i="122"/>
  <c r="M460" i="122"/>
  <c r="M444" i="122"/>
  <c r="M339" i="122"/>
  <c r="M323" i="122"/>
  <c r="M307" i="122"/>
  <c r="M291" i="122"/>
  <c r="M274" i="122"/>
  <c r="M273" i="122"/>
  <c r="M208" i="122"/>
  <c r="M384" i="122"/>
  <c r="M159" i="122"/>
  <c r="M399" i="122"/>
  <c r="M286" i="122"/>
  <c r="M238" i="122"/>
  <c r="M174" i="122"/>
  <c r="M355" i="122"/>
  <c r="M257" i="122"/>
  <c r="M417" i="122"/>
  <c r="M224" i="122"/>
  <c r="M255" i="122"/>
  <c r="M431" i="122"/>
  <c r="M367" i="122"/>
  <c r="M254" i="122"/>
  <c r="M222" i="122"/>
  <c r="M190" i="122"/>
  <c r="M142" i="122"/>
  <c r="M430" i="122"/>
  <c r="M398" i="122"/>
  <c r="M285" i="122"/>
  <c r="M253" i="122"/>
  <c r="M221" i="122"/>
  <c r="M189" i="122"/>
  <c r="M157" i="122"/>
  <c r="M397" i="122"/>
  <c r="M268" i="122"/>
  <c r="M220" i="122"/>
  <c r="M188" i="122"/>
  <c r="M156" i="122"/>
  <c r="M496" i="122"/>
  <c r="M480" i="122"/>
  <c r="M464" i="122"/>
  <c r="M448" i="122"/>
  <c r="M432" i="122"/>
  <c r="M343" i="122"/>
  <c r="M327" i="122"/>
  <c r="M311" i="122"/>
  <c r="M295" i="122"/>
  <c r="M387" i="122"/>
  <c r="M146" i="122"/>
  <c r="M418" i="122"/>
  <c r="M209" i="122"/>
  <c r="M256" i="122"/>
  <c r="M368" i="122"/>
  <c r="M415" i="122"/>
  <c r="M383" i="122"/>
  <c r="M270" i="122"/>
  <c r="M206" i="122"/>
  <c r="M158" i="122"/>
  <c r="M414" i="122"/>
  <c r="M382" i="122"/>
  <c r="M366" i="122"/>
  <c r="M269" i="122"/>
  <c r="M237" i="122"/>
  <c r="M205" i="122"/>
  <c r="M173" i="122"/>
  <c r="M141" i="122"/>
  <c r="M429" i="122"/>
  <c r="M413" i="122"/>
  <c r="M381" i="122"/>
  <c r="M365" i="122"/>
  <c r="M284" i="122"/>
  <c r="M252" i="122"/>
  <c r="M236" i="122"/>
  <c r="M204" i="122"/>
  <c r="M172" i="122"/>
  <c r="M140" i="122"/>
  <c r="M428" i="122"/>
  <c r="M412" i="122"/>
  <c r="M396" i="122"/>
  <c r="M380" i="122"/>
  <c r="M364" i="122"/>
  <c r="M283" i="122"/>
  <c r="M267" i="122"/>
  <c r="M251" i="122"/>
  <c r="M235" i="122"/>
  <c r="M219" i="122"/>
  <c r="M203" i="122"/>
  <c r="M187" i="122"/>
  <c r="M171" i="122"/>
  <c r="M155" i="122"/>
  <c r="M139" i="122"/>
  <c r="M495" i="122"/>
  <c r="M479" i="122"/>
  <c r="M463" i="122"/>
  <c r="M447" i="122"/>
  <c r="M342" i="122"/>
  <c r="M326" i="122"/>
  <c r="M310" i="122"/>
  <c r="M294" i="122"/>
  <c r="M258" i="122"/>
  <c r="M177" i="122"/>
  <c r="M369" i="122"/>
  <c r="M416" i="122"/>
  <c r="M175" i="122"/>
  <c r="M427" i="122"/>
  <c r="M411" i="122"/>
  <c r="M395" i="122"/>
  <c r="M379" i="122"/>
  <c r="M363" i="122"/>
  <c r="M282" i="122"/>
  <c r="M266" i="122"/>
  <c r="M250" i="122"/>
  <c r="M234" i="122"/>
  <c r="M218" i="122"/>
  <c r="M202" i="122"/>
  <c r="M186" i="122"/>
  <c r="M170" i="122"/>
  <c r="M154" i="122"/>
  <c r="M138" i="122"/>
  <c r="M494" i="122"/>
  <c r="M478" i="122"/>
  <c r="M462" i="122"/>
  <c r="M446" i="122"/>
  <c r="M341" i="122"/>
  <c r="M325" i="122"/>
  <c r="M309" i="122"/>
  <c r="M293" i="122"/>
  <c r="M242" i="122"/>
  <c r="M161" i="122"/>
  <c r="M192" i="122"/>
  <c r="M287" i="122"/>
  <c r="M281" i="122"/>
  <c r="M153" i="122"/>
  <c r="M210" i="122"/>
  <c r="M225" i="122"/>
  <c r="M240" i="122"/>
  <c r="M191" i="122"/>
  <c r="M410" i="122"/>
  <c r="M249" i="122"/>
  <c r="M137" i="122"/>
  <c r="M377" i="122"/>
  <c r="M184" i="122"/>
  <c r="M178" i="122"/>
  <c r="M354" i="122"/>
  <c r="M176" i="122"/>
  <c r="M223" i="122"/>
  <c r="M378" i="122"/>
  <c r="M217" i="122"/>
  <c r="M425" i="122"/>
  <c r="M248" i="122"/>
  <c r="M168" i="122"/>
  <c r="M360" i="122"/>
  <c r="M231" i="122"/>
  <c r="M151" i="122"/>
  <c r="M459" i="122"/>
  <c r="M338" i="122"/>
  <c r="M306" i="122"/>
  <c r="M290" i="122"/>
  <c r="M194" i="122"/>
  <c r="M386" i="122"/>
  <c r="M145" i="122"/>
  <c r="M401" i="122"/>
  <c r="M144" i="122"/>
  <c r="M239" i="122"/>
  <c r="M362" i="122"/>
  <c r="M185" i="122"/>
  <c r="M409" i="122"/>
  <c r="M280" i="122"/>
  <c r="M200" i="122"/>
  <c r="M392" i="122"/>
  <c r="M263" i="122"/>
  <c r="M215" i="122"/>
  <c r="M423" i="122"/>
  <c r="M375" i="122"/>
  <c r="M262" i="122"/>
  <c r="M214" i="122"/>
  <c r="M150" i="122"/>
  <c r="M490" i="122"/>
  <c r="M474" i="122"/>
  <c r="M458" i="122"/>
  <c r="M442" i="122"/>
  <c r="M353" i="122"/>
  <c r="M337" i="122"/>
  <c r="M321" i="122"/>
  <c r="M305" i="122"/>
  <c r="M289" i="122"/>
  <c r="M419" i="122"/>
  <c r="M403" i="122"/>
  <c r="M371" i="122"/>
  <c r="M226" i="122"/>
  <c r="M162" i="122"/>
  <c r="M402" i="122"/>
  <c r="M370" i="122"/>
  <c r="M241" i="122"/>
  <c r="M193" i="122"/>
  <c r="M385" i="122"/>
  <c r="M288" i="122"/>
  <c r="M272" i="122"/>
  <c r="M160" i="122"/>
  <c r="M400" i="122"/>
  <c r="M271" i="122"/>
  <c r="M207" i="122"/>
  <c r="M143" i="122"/>
  <c r="M426" i="122"/>
  <c r="M394" i="122"/>
  <c r="M265" i="122"/>
  <c r="M233" i="122"/>
  <c r="M201" i="122"/>
  <c r="M169" i="122"/>
  <c r="M393" i="122"/>
  <c r="M361" i="122"/>
  <c r="M264" i="122"/>
  <c r="M232" i="122"/>
  <c r="M216" i="122"/>
  <c r="M152" i="122"/>
  <c r="M136" i="122"/>
  <c r="M424" i="122"/>
  <c r="M408" i="122"/>
  <c r="M376" i="122"/>
  <c r="M279" i="122"/>
  <c r="M247" i="122"/>
  <c r="M199" i="122"/>
  <c r="M183" i="122"/>
  <c r="M135" i="122"/>
  <c r="M491" i="122"/>
  <c r="M475" i="122"/>
  <c r="M443" i="122"/>
  <c r="M322" i="122"/>
  <c r="M407" i="122"/>
  <c r="M391" i="122"/>
  <c r="M359" i="122"/>
  <c r="M278" i="122"/>
  <c r="M246" i="122"/>
  <c r="M230" i="122"/>
  <c r="M198" i="122"/>
  <c r="M182" i="122"/>
  <c r="M166" i="122"/>
  <c r="M134" i="122"/>
  <c r="M422" i="122"/>
  <c r="M406" i="122"/>
  <c r="M390" i="122"/>
  <c r="M374" i="122"/>
  <c r="M358" i="122"/>
  <c r="M277" i="122"/>
  <c r="M261" i="122"/>
  <c r="M245" i="122"/>
  <c r="M229" i="122"/>
  <c r="M213" i="122"/>
  <c r="M197" i="122"/>
  <c r="M181" i="122"/>
  <c r="M165" i="122"/>
  <c r="M149" i="122"/>
  <c r="M133" i="122"/>
  <c r="M489" i="122"/>
  <c r="M473" i="122"/>
  <c r="M457" i="122"/>
  <c r="M441" i="122"/>
  <c r="M352" i="122"/>
  <c r="M336" i="122"/>
  <c r="M320" i="122"/>
  <c r="M304" i="122"/>
  <c r="C3" i="119"/>
  <c r="P3" i="119" s="1"/>
  <c r="C3" i="72"/>
  <c r="M3" i="72" s="1"/>
  <c r="C2" i="74" l="1"/>
  <c r="G2" i="52"/>
  <c r="K2" i="122"/>
  <c r="L2" i="59"/>
  <c r="C2" i="117"/>
  <c r="E2" i="71"/>
  <c r="E3" i="71"/>
  <c r="D3" i="118"/>
  <c r="D2" i="118"/>
  <c r="O2" i="119"/>
  <c r="L2" i="72"/>
  <c r="C2" i="70"/>
  <c r="L3" i="59"/>
  <c r="L4" i="59"/>
  <c r="L5" i="59"/>
  <c r="L6" i="59"/>
  <c r="L7" i="59"/>
  <c r="L8" i="59"/>
  <c r="L9" i="59"/>
  <c r="L10" i="59"/>
  <c r="L12" i="59"/>
  <c r="L13" i="59"/>
  <c r="L14" i="59"/>
  <c r="L15" i="59"/>
  <c r="L16" i="59"/>
  <c r="L17" i="59"/>
  <c r="L18" i="59"/>
  <c r="L19" i="59"/>
  <c r="L20" i="59"/>
  <c r="L21" i="59"/>
  <c r="L22" i="59"/>
  <c r="L23" i="59"/>
  <c r="L24" i="59"/>
  <c r="L25" i="59"/>
  <c r="L26" i="59"/>
  <c r="L27" i="59"/>
  <c r="L28" i="59"/>
  <c r="L29" i="59"/>
  <c r="L30" i="59"/>
  <c r="L31" i="59"/>
  <c r="L32" i="59"/>
  <c r="L33" i="59"/>
  <c r="L34" i="59"/>
  <c r="L35" i="59"/>
  <c r="B2" i="120"/>
  <c r="B3" i="120"/>
  <c r="B4" i="120"/>
  <c r="B5" i="120"/>
  <c r="B6" i="120"/>
  <c r="B7" i="120"/>
  <c r="B8" i="120"/>
  <c r="B9" i="120"/>
  <c r="B10" i="120"/>
  <c r="B11" i="120"/>
  <c r="B2" i="118"/>
  <c r="B3" i="118"/>
  <c r="A2" i="73"/>
  <c r="I2" i="119"/>
  <c r="G2" i="72"/>
  <c r="B2" i="70"/>
  <c r="B3" i="70"/>
  <c r="B4" i="70"/>
  <c r="B5" i="70"/>
  <c r="B6" i="70"/>
  <c r="B7" i="70"/>
  <c r="B8" i="70"/>
  <c r="B9" i="70"/>
  <c r="B10" i="70"/>
  <c r="B11" i="70"/>
  <c r="B12" i="70"/>
  <c r="B13" i="70"/>
  <c r="B14" i="70"/>
  <c r="B15" i="70"/>
  <c r="B16" i="70"/>
  <c r="B17" i="70"/>
  <c r="B18" i="70"/>
  <c r="B19" i="70"/>
  <c r="B20" i="70"/>
  <c r="B21" i="70"/>
  <c r="B22" i="70"/>
  <c r="B23" i="70"/>
  <c r="B24" i="70"/>
  <c r="B26" i="70"/>
  <c r="B27" i="70"/>
  <c r="B28" i="70"/>
  <c r="B29" i="70"/>
  <c r="B30" i="70"/>
  <c r="B31" i="70"/>
  <c r="B32" i="70"/>
  <c r="B33" i="70"/>
  <c r="C3" i="70"/>
  <c r="C4" i="70"/>
  <c r="C5" i="70"/>
  <c r="C6" i="70"/>
  <c r="C7" i="70"/>
  <c r="C8" i="70"/>
  <c r="C9" i="70"/>
  <c r="C10" i="70"/>
  <c r="C11" i="70"/>
  <c r="C12" i="70"/>
  <c r="C13" i="70"/>
  <c r="C14" i="70"/>
  <c r="C15" i="70"/>
  <c r="C16" i="70"/>
  <c r="C17" i="70"/>
  <c r="C18" i="70"/>
  <c r="C19" i="70"/>
  <c r="C20" i="70"/>
  <c r="C21" i="70"/>
  <c r="C22" i="70"/>
  <c r="C23" i="70"/>
  <c r="C24" i="70"/>
  <c r="C26" i="70"/>
  <c r="C27" i="70"/>
  <c r="C28" i="70"/>
  <c r="C29" i="70"/>
  <c r="C30" i="70"/>
  <c r="C31" i="70"/>
  <c r="C32" i="70"/>
  <c r="C33" i="70"/>
  <c r="E2" i="72"/>
  <c r="K2" i="72"/>
  <c r="M2" i="119"/>
  <c r="N2" i="119"/>
  <c r="G2" i="69"/>
  <c r="K2" i="69"/>
  <c r="O2" i="69" a="1"/>
  <c r="O2" i="69" s="1"/>
  <c r="N2" i="69" a="1"/>
  <c r="N2" i="69" s="1"/>
  <c r="D2" i="69" a="1"/>
  <c r="D2" i="69" s="1"/>
  <c r="C2" i="69"/>
  <c r="R2" i="60"/>
  <c r="U2" i="69"/>
  <c r="U2" i="60"/>
  <c r="D2" i="60" a="1"/>
  <c r="D2" i="60" s="1"/>
  <c r="K2" i="60"/>
  <c r="C2" i="60"/>
  <c r="F2" i="57"/>
  <c r="H2" i="57"/>
  <c r="J2" i="57"/>
  <c r="I2" i="57"/>
  <c r="C2" i="118"/>
  <c r="C3" i="118"/>
  <c r="D2" i="120"/>
  <c r="D3" i="120"/>
  <c r="D4" i="120"/>
  <c r="D5" i="120"/>
  <c r="D6" i="120"/>
  <c r="D7" i="120"/>
  <c r="D8" i="120"/>
  <c r="D9" i="120"/>
  <c r="D10" i="120"/>
  <c r="D11" i="120"/>
  <c r="G2" i="120"/>
  <c r="G3" i="120"/>
  <c r="G4" i="120"/>
  <c r="G5" i="120"/>
  <c r="G6" i="120"/>
  <c r="G7" i="120"/>
  <c r="G8" i="120"/>
  <c r="G9" i="120"/>
  <c r="G10" i="120"/>
  <c r="G11" i="120"/>
  <c r="B2" i="71"/>
  <c r="B3" i="71"/>
  <c r="C2" i="71"/>
  <c r="C3" i="71"/>
  <c r="D2" i="71"/>
  <c r="D3" i="71"/>
  <c r="B2" i="74"/>
  <c r="B3" i="56"/>
  <c r="B4" i="56"/>
  <c r="D3" i="56"/>
  <c r="D4" i="56"/>
  <c r="I2" i="59"/>
  <c r="I3" i="59"/>
  <c r="I4" i="59"/>
  <c r="I5" i="59"/>
  <c r="I6" i="59"/>
  <c r="I7" i="59"/>
  <c r="I8" i="59"/>
  <c r="I9" i="59"/>
  <c r="I10" i="59"/>
  <c r="I12" i="59"/>
  <c r="I13" i="59"/>
  <c r="I14" i="59"/>
  <c r="I15" i="59"/>
  <c r="I16" i="59"/>
  <c r="I17" i="59"/>
  <c r="I18" i="59"/>
  <c r="I19" i="59"/>
  <c r="I20" i="59"/>
  <c r="I21" i="59"/>
  <c r="I22" i="59"/>
  <c r="I23" i="59"/>
  <c r="I24" i="59"/>
  <c r="I25" i="59"/>
  <c r="I26" i="59"/>
  <c r="I27" i="59"/>
  <c r="I28" i="59"/>
  <c r="I29" i="59"/>
  <c r="I30" i="59"/>
  <c r="I31" i="59"/>
  <c r="I32" i="59"/>
  <c r="I33" i="59"/>
  <c r="I34" i="59"/>
  <c r="I35" i="59"/>
  <c r="F2" i="54"/>
  <c r="F3" i="54"/>
  <c r="F4" i="54"/>
  <c r="F5" i="54"/>
  <c r="F6" i="54"/>
  <c r="F7" i="54"/>
  <c r="F8" i="54"/>
  <c r="F9" i="54"/>
  <c r="F10" i="54"/>
  <c r="F11" i="54"/>
  <c r="F12" i="54"/>
  <c r="F13" i="54"/>
  <c r="F14" i="54"/>
  <c r="F15" i="54"/>
  <c r="F16" i="54"/>
  <c r="F17" i="54"/>
  <c r="F18" i="54"/>
  <c r="F19" i="54"/>
  <c r="F20" i="54"/>
  <c r="F21" i="54"/>
  <c r="F22" i="54"/>
  <c r="F23" i="54"/>
  <c r="F24" i="54"/>
  <c r="F25" i="54"/>
  <c r="F26" i="54"/>
  <c r="F27" i="54"/>
  <c r="F28" i="54"/>
  <c r="F29" i="54"/>
  <c r="F30" i="54"/>
  <c r="F31" i="54"/>
  <c r="F32" i="54"/>
  <c r="F33" i="54"/>
  <c r="F34" i="54"/>
  <c r="H2" i="122"/>
  <c r="H3" i="122"/>
  <c r="H4" i="122"/>
  <c r="H5" i="122"/>
  <c r="H6" i="122"/>
  <c r="H7" i="122"/>
  <c r="H8" i="122"/>
  <c r="H9" i="122"/>
  <c r="H10" i="122"/>
  <c r="H11" i="122"/>
  <c r="H12" i="122"/>
  <c r="H13" i="122"/>
  <c r="H14" i="122"/>
  <c r="H15" i="122"/>
  <c r="H16" i="122"/>
  <c r="H17" i="122"/>
  <c r="H18" i="122"/>
  <c r="H19" i="122"/>
  <c r="H20" i="122"/>
  <c r="H21" i="122"/>
  <c r="H22" i="122"/>
  <c r="H23" i="122"/>
  <c r="H24" i="122"/>
  <c r="H25" i="122"/>
  <c r="H26" i="122"/>
  <c r="H27" i="122"/>
  <c r="H28" i="122"/>
  <c r="H29" i="122"/>
  <c r="H30" i="122"/>
  <c r="H31" i="122"/>
  <c r="H32" i="122"/>
  <c r="H33" i="122"/>
  <c r="H34" i="122"/>
  <c r="H35" i="122"/>
  <c r="H36" i="122"/>
  <c r="H37" i="122"/>
  <c r="H38" i="122"/>
  <c r="H39" i="122"/>
  <c r="H40" i="122"/>
  <c r="H41" i="122"/>
  <c r="H42" i="122"/>
  <c r="H43" i="122"/>
  <c r="H44" i="122"/>
  <c r="H45" i="122"/>
  <c r="H46" i="122"/>
  <c r="H47" i="122"/>
  <c r="H48" i="122"/>
  <c r="H49" i="122"/>
  <c r="H50" i="122"/>
  <c r="H51" i="122"/>
  <c r="H52" i="122"/>
  <c r="H53" i="122"/>
  <c r="H54" i="122"/>
  <c r="H55" i="122"/>
  <c r="H56" i="122"/>
  <c r="H57" i="122"/>
  <c r="H58" i="122"/>
  <c r="H59" i="122"/>
  <c r="H60" i="122"/>
  <c r="H61" i="122"/>
  <c r="H62" i="122"/>
  <c r="H63" i="122"/>
  <c r="H64" i="122"/>
  <c r="H65" i="122"/>
  <c r="H66" i="122"/>
  <c r="H67" i="122"/>
  <c r="H68" i="122"/>
  <c r="H69" i="122"/>
  <c r="H70" i="122"/>
  <c r="H71" i="122"/>
  <c r="H72" i="122"/>
  <c r="H73" i="122"/>
  <c r="H74" i="122"/>
  <c r="H75" i="122"/>
  <c r="H76" i="122"/>
  <c r="H77" i="122"/>
  <c r="H78" i="122"/>
  <c r="H79" i="122"/>
  <c r="H80" i="122"/>
  <c r="H81" i="122"/>
  <c r="H82" i="122"/>
  <c r="H83" i="122"/>
  <c r="H84" i="122"/>
  <c r="H85" i="122"/>
  <c r="H86" i="122"/>
  <c r="H87" i="122"/>
  <c r="H88" i="122"/>
  <c r="H89" i="122"/>
  <c r="H90" i="122"/>
  <c r="H91" i="122"/>
  <c r="H92" i="122"/>
  <c r="H93" i="122"/>
  <c r="H94" i="122"/>
  <c r="H95" i="122"/>
  <c r="H96" i="122"/>
  <c r="H97" i="122"/>
  <c r="H98" i="122"/>
  <c r="H99" i="122"/>
  <c r="H100" i="122"/>
  <c r="H101" i="122"/>
  <c r="H102" i="122"/>
  <c r="H103" i="122"/>
  <c r="H104" i="122"/>
  <c r="H105" i="122"/>
  <c r="H106" i="122"/>
  <c r="H107" i="122"/>
  <c r="H108" i="122"/>
  <c r="H109" i="122"/>
  <c r="H110" i="122"/>
  <c r="H111" i="122"/>
  <c r="H112" i="122"/>
  <c r="H113" i="122"/>
  <c r="H114" i="122"/>
  <c r="H115" i="122"/>
  <c r="H116" i="122"/>
  <c r="H117" i="122"/>
  <c r="H118" i="122"/>
  <c r="H119" i="122"/>
  <c r="H120" i="122"/>
  <c r="H121" i="122"/>
  <c r="H122" i="122"/>
  <c r="H131" i="122"/>
  <c r="H132" i="122"/>
  <c r="K3" i="122"/>
  <c r="K4" i="122"/>
  <c r="K5" i="122"/>
  <c r="K6" i="122"/>
  <c r="K7" i="122"/>
  <c r="K8" i="122"/>
  <c r="K9" i="122"/>
  <c r="K10" i="122"/>
  <c r="K11" i="122"/>
  <c r="K12" i="122"/>
  <c r="K13" i="122"/>
  <c r="K14" i="122"/>
  <c r="K15" i="122"/>
  <c r="K16" i="122"/>
  <c r="K17" i="122"/>
  <c r="K18" i="122"/>
  <c r="K19" i="122"/>
  <c r="K20" i="122"/>
  <c r="K21" i="122"/>
  <c r="K22" i="122"/>
  <c r="K23" i="122"/>
  <c r="K24" i="122"/>
  <c r="K25" i="122"/>
  <c r="K26" i="122"/>
  <c r="K27" i="122"/>
  <c r="K28" i="122"/>
  <c r="K29" i="122"/>
  <c r="K30" i="122"/>
  <c r="K31" i="122"/>
  <c r="K32" i="122"/>
  <c r="K33" i="122"/>
  <c r="K34" i="122"/>
  <c r="K35" i="122"/>
  <c r="K36" i="122"/>
  <c r="K37" i="122"/>
  <c r="K38" i="122"/>
  <c r="K39" i="122"/>
  <c r="K40" i="122"/>
  <c r="K41" i="122"/>
  <c r="K42" i="122"/>
  <c r="K43" i="122"/>
  <c r="K44" i="122"/>
  <c r="K45" i="122"/>
  <c r="K46" i="122"/>
  <c r="K47" i="122"/>
  <c r="K48" i="122"/>
  <c r="K49" i="122"/>
  <c r="K50" i="122"/>
  <c r="K51" i="122"/>
  <c r="K52" i="122"/>
  <c r="K53" i="122"/>
  <c r="K54" i="122"/>
  <c r="K55" i="122"/>
  <c r="K56" i="122"/>
  <c r="K57" i="122"/>
  <c r="K58" i="122"/>
  <c r="K59" i="122"/>
  <c r="K60" i="122"/>
  <c r="K61" i="122"/>
  <c r="K62" i="122"/>
  <c r="K63" i="122"/>
  <c r="K64" i="122"/>
  <c r="K65" i="122"/>
  <c r="K66" i="122"/>
  <c r="K67" i="122"/>
  <c r="K68" i="122"/>
  <c r="K69" i="122"/>
  <c r="K70" i="122"/>
  <c r="K71" i="122"/>
  <c r="K72" i="122"/>
  <c r="K73" i="122"/>
  <c r="K74" i="122"/>
  <c r="K75" i="122"/>
  <c r="K76" i="122"/>
  <c r="K77" i="122"/>
  <c r="K78" i="122"/>
  <c r="K79" i="122"/>
  <c r="K80" i="122"/>
  <c r="K81" i="122"/>
  <c r="K82" i="122"/>
  <c r="K83" i="122"/>
  <c r="K84" i="122"/>
  <c r="K85" i="122"/>
  <c r="K86" i="122"/>
  <c r="K87" i="122"/>
  <c r="K88" i="122"/>
  <c r="K89" i="122"/>
  <c r="K90" i="122"/>
  <c r="K91" i="122"/>
  <c r="K92" i="122"/>
  <c r="K93" i="122"/>
  <c r="K94" i="122"/>
  <c r="K95" i="122"/>
  <c r="K96" i="122"/>
  <c r="K97" i="122"/>
  <c r="K98" i="122"/>
  <c r="K99" i="122"/>
  <c r="K100" i="122"/>
  <c r="K101" i="122"/>
  <c r="K102" i="122"/>
  <c r="K103" i="122"/>
  <c r="K104" i="122"/>
  <c r="K105" i="122"/>
  <c r="K106" i="122"/>
  <c r="K107" i="122"/>
  <c r="K108" i="122"/>
  <c r="K109" i="122"/>
  <c r="K110" i="122"/>
  <c r="K111" i="122"/>
  <c r="K112" i="122"/>
  <c r="K113" i="122"/>
  <c r="K114" i="122"/>
  <c r="K115" i="122"/>
  <c r="K116" i="122"/>
  <c r="K117" i="122"/>
  <c r="K118" i="122"/>
  <c r="K119" i="122"/>
  <c r="K120" i="122"/>
  <c r="K121" i="122"/>
  <c r="K122" i="122"/>
  <c r="K131" i="122"/>
  <c r="K132" i="122"/>
  <c r="D23" i="52"/>
  <c r="D22" i="52"/>
  <c r="D21" i="52"/>
  <c r="D20" i="52"/>
  <c r="D19" i="52"/>
  <c r="D18" i="52"/>
  <c r="D17" i="52"/>
  <c r="D16" i="52"/>
  <c r="D15" i="52"/>
  <c r="D14" i="52"/>
  <c r="D13" i="52"/>
  <c r="D12" i="52"/>
  <c r="D11" i="52"/>
  <c r="D10" i="52"/>
  <c r="D9" i="52"/>
  <c r="D8" i="52"/>
  <c r="D7" i="52"/>
  <c r="D6" i="52"/>
  <c r="D5" i="52"/>
  <c r="D4" i="52"/>
  <c r="D3" i="52"/>
  <c r="D2" i="52"/>
  <c r="F23" i="52"/>
  <c r="E23" i="52"/>
  <c r="F22" i="52"/>
  <c r="E22" i="52"/>
  <c r="F21" i="52"/>
  <c r="E21" i="52"/>
  <c r="F20" i="52"/>
  <c r="E20" i="52"/>
  <c r="F19" i="52"/>
  <c r="E19" i="52"/>
  <c r="F18" i="52"/>
  <c r="E18" i="52"/>
  <c r="F17" i="52"/>
  <c r="E17" i="52"/>
  <c r="F16" i="52"/>
  <c r="E16" i="52"/>
  <c r="F15" i="52"/>
  <c r="E15" i="52"/>
  <c r="F14" i="52"/>
  <c r="E14" i="52"/>
  <c r="F13" i="52"/>
  <c r="E13" i="52"/>
  <c r="F12" i="52"/>
  <c r="E12" i="52"/>
  <c r="F11" i="52"/>
  <c r="E11" i="52"/>
  <c r="F10" i="52"/>
  <c r="E10" i="52"/>
  <c r="F9" i="52"/>
  <c r="E9" i="52"/>
  <c r="F8" i="52"/>
  <c r="E8" i="52"/>
  <c r="F7" i="52"/>
  <c r="E7" i="52"/>
  <c r="F6" i="52"/>
  <c r="E6" i="52"/>
  <c r="F5" i="52"/>
  <c r="E5" i="52"/>
  <c r="F4" i="52"/>
  <c r="E4" i="52"/>
  <c r="F3" i="52"/>
  <c r="E3" i="52"/>
  <c r="F2" i="52"/>
  <c r="E2" i="52"/>
  <c r="G23" i="52"/>
  <c r="G22" i="52"/>
  <c r="G21" i="52"/>
  <c r="G20" i="52"/>
  <c r="G19" i="52"/>
  <c r="G18" i="52"/>
  <c r="G17" i="52"/>
  <c r="G16" i="52"/>
  <c r="G15" i="52"/>
  <c r="G14" i="52"/>
  <c r="G13" i="52"/>
  <c r="G12" i="52"/>
  <c r="G11" i="52"/>
  <c r="G10" i="52"/>
  <c r="G9" i="52"/>
  <c r="G8" i="52"/>
  <c r="G7" i="52"/>
  <c r="G6" i="52"/>
  <c r="G5" i="52"/>
  <c r="G4" i="52"/>
  <c r="G3" i="52"/>
  <c r="F2" i="119"/>
  <c r="A2" i="119"/>
  <c r="B2" i="54"/>
  <c r="B3" i="54"/>
  <c r="B4" i="54"/>
  <c r="B5"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A2" i="52"/>
  <c r="A3" i="52"/>
  <c r="A4" i="52"/>
  <c r="A5" i="52"/>
  <c r="A6" i="52"/>
  <c r="A7" i="52"/>
  <c r="A8" i="52"/>
  <c r="A9" i="52"/>
  <c r="A10" i="52"/>
  <c r="A11" i="52"/>
  <c r="A12" i="52"/>
  <c r="A13" i="52"/>
  <c r="A14" i="52"/>
  <c r="A15" i="52"/>
  <c r="A16" i="52"/>
  <c r="A17" i="52"/>
  <c r="A18" i="52"/>
  <c r="A19" i="52"/>
  <c r="A20" i="52"/>
  <c r="A21" i="52"/>
  <c r="A22" i="52"/>
  <c r="A23" i="52"/>
  <c r="A9" i="54" l="1"/>
  <c r="A10" i="54"/>
  <c r="A11" i="54"/>
  <c r="A12" i="54"/>
  <c r="L9" i="54"/>
  <c r="L10" i="54"/>
  <c r="L11" i="54"/>
  <c r="L12" i="54"/>
  <c r="S9" i="54" a="1"/>
  <c r="S9" i="54" s="1"/>
  <c r="S10" i="54" a="1"/>
  <c r="S10" i="54" s="1"/>
  <c r="S11" i="54" a="1"/>
  <c r="S11" i="54" s="1"/>
  <c r="S12" i="54" a="1"/>
  <c r="S12" i="54" s="1"/>
  <c r="T9" i="54" a="1"/>
  <c r="T9" i="54" s="1"/>
  <c r="T10" i="54" a="1"/>
  <c r="T10" i="54" s="1"/>
  <c r="T11" i="54" a="1"/>
  <c r="T11" i="54" s="1"/>
  <c r="T12" i="54" a="1"/>
  <c r="T12" i="54" s="1"/>
  <c r="G9" i="54" l="1"/>
  <c r="K9" i="54" s="1"/>
  <c r="G12" i="54"/>
  <c r="K12" i="54" s="1"/>
  <c r="G11" i="54"/>
  <c r="K11" i="54" s="1"/>
  <c r="G10" i="54"/>
  <c r="K10" i="54" s="1"/>
  <c r="B2" i="52"/>
  <c r="B3" i="52"/>
  <c r="B4" i="52"/>
  <c r="B5" i="52"/>
  <c r="B6" i="52"/>
  <c r="B7" i="52"/>
  <c r="B8" i="52"/>
  <c r="B9" i="52"/>
  <c r="B10" i="52"/>
  <c r="B11" i="52"/>
  <c r="B12" i="52"/>
  <c r="B13" i="52"/>
  <c r="B14" i="52"/>
  <c r="B15" i="52"/>
  <c r="B16" i="52"/>
  <c r="B17" i="52"/>
  <c r="B18" i="52"/>
  <c r="B19" i="52"/>
  <c r="B20" i="52"/>
  <c r="B21" i="52"/>
  <c r="B22" i="52"/>
  <c r="B23" i="52"/>
  <c r="R2" i="69"/>
  <c r="G2" i="119"/>
  <c r="B2" i="73"/>
  <c r="B3" i="73"/>
  <c r="G3" i="56" l="1"/>
  <c r="G4" i="56"/>
  <c r="A4" i="56"/>
  <c r="A3" i="56"/>
  <c r="I4" i="56" l="1"/>
  <c r="I3" i="56"/>
  <c r="V2" i="116" l="1"/>
  <c r="V3" i="116"/>
  <c r="V4" i="116"/>
  <c r="V5" i="116"/>
  <c r="V6" i="116"/>
  <c r="V7" i="116"/>
  <c r="V8" i="116"/>
  <c r="V9" i="116"/>
  <c r="V10" i="116"/>
  <c r="V11" i="116"/>
  <c r="V12" i="116"/>
  <c r="V13" i="116"/>
  <c r="V14" i="116"/>
  <c r="V15" i="116"/>
  <c r="V16" i="116"/>
  <c r="V17" i="116"/>
  <c r="V18" i="116"/>
  <c r="D2" i="57"/>
  <c r="F2" i="122"/>
  <c r="F3" i="122"/>
  <c r="F4" i="122"/>
  <c r="F5" i="122"/>
  <c r="F6" i="122"/>
  <c r="F7" i="122"/>
  <c r="F8" i="122"/>
  <c r="F9" i="122"/>
  <c r="F10" i="122"/>
  <c r="F11" i="122"/>
  <c r="F12" i="122"/>
  <c r="F13" i="122"/>
  <c r="F14" i="122"/>
  <c r="F15" i="122"/>
  <c r="F16" i="122"/>
  <c r="F17" i="122"/>
  <c r="F18" i="122"/>
  <c r="F19" i="122"/>
  <c r="F20" i="122"/>
  <c r="F21" i="122"/>
  <c r="F22" i="122"/>
  <c r="F23" i="122"/>
  <c r="F24" i="122"/>
  <c r="F25" i="122"/>
  <c r="F26" i="122"/>
  <c r="F27" i="122"/>
  <c r="F28" i="122"/>
  <c r="F29" i="122"/>
  <c r="F30" i="122"/>
  <c r="F31" i="122"/>
  <c r="F32" i="122"/>
  <c r="F33" i="122"/>
  <c r="F34" i="122"/>
  <c r="F35" i="122"/>
  <c r="F36" i="122"/>
  <c r="F37" i="122"/>
  <c r="F38" i="122"/>
  <c r="F39" i="122"/>
  <c r="F40" i="122"/>
  <c r="F41" i="122"/>
  <c r="F42" i="122"/>
  <c r="F43" i="122"/>
  <c r="F44" i="122"/>
  <c r="F45" i="122"/>
  <c r="F46" i="122"/>
  <c r="F47" i="122"/>
  <c r="F48" i="122"/>
  <c r="F49" i="122"/>
  <c r="F50" i="122"/>
  <c r="F51" i="122"/>
  <c r="F52" i="122"/>
  <c r="F53" i="122"/>
  <c r="F54" i="122"/>
  <c r="F55" i="122"/>
  <c r="F56" i="122"/>
  <c r="F57" i="122"/>
  <c r="F58" i="122"/>
  <c r="F59" i="122"/>
  <c r="F60" i="122"/>
  <c r="F61" i="122"/>
  <c r="F62" i="122"/>
  <c r="F63" i="122"/>
  <c r="F64" i="122"/>
  <c r="F65" i="122"/>
  <c r="F66" i="122"/>
  <c r="F67" i="122"/>
  <c r="F68" i="122"/>
  <c r="F69" i="122"/>
  <c r="F70" i="122"/>
  <c r="F71" i="122"/>
  <c r="F72" i="122"/>
  <c r="F73" i="122"/>
  <c r="F74" i="122"/>
  <c r="F75" i="122"/>
  <c r="F76" i="122"/>
  <c r="F77" i="122"/>
  <c r="F78" i="122"/>
  <c r="F79" i="122"/>
  <c r="F80" i="122"/>
  <c r="F81" i="122"/>
  <c r="F82" i="122"/>
  <c r="F83" i="122"/>
  <c r="F84" i="122"/>
  <c r="F85" i="122"/>
  <c r="F86" i="122"/>
  <c r="F87" i="122"/>
  <c r="F88" i="122"/>
  <c r="F89" i="122"/>
  <c r="F90" i="122"/>
  <c r="F91" i="122"/>
  <c r="F92" i="122"/>
  <c r="F93" i="122"/>
  <c r="F94" i="122"/>
  <c r="F95" i="122"/>
  <c r="F96" i="122"/>
  <c r="F97" i="122"/>
  <c r="F98" i="122"/>
  <c r="F99" i="122"/>
  <c r="F100" i="122"/>
  <c r="F101" i="122"/>
  <c r="F102" i="122"/>
  <c r="F103" i="122"/>
  <c r="F104" i="122"/>
  <c r="F105" i="122"/>
  <c r="F106" i="122"/>
  <c r="F107" i="122"/>
  <c r="F108" i="122"/>
  <c r="F109" i="122"/>
  <c r="F110" i="122"/>
  <c r="F111" i="122"/>
  <c r="F112" i="122"/>
  <c r="F113" i="122"/>
  <c r="F114" i="122"/>
  <c r="F115" i="122"/>
  <c r="F116" i="122"/>
  <c r="F117" i="122"/>
  <c r="F118" i="122"/>
  <c r="F119" i="122"/>
  <c r="F120" i="122"/>
  <c r="F121" i="122"/>
  <c r="F122" i="122"/>
  <c r="F131" i="122"/>
  <c r="F132" i="122"/>
  <c r="A2" i="70"/>
  <c r="H2" i="70" s="1"/>
  <c r="A3" i="70"/>
  <c r="H3" i="70" s="1"/>
  <c r="A4" i="70"/>
  <c r="H4" i="70" s="1"/>
  <c r="A5" i="70"/>
  <c r="H5" i="70" s="1"/>
  <c r="A6" i="70"/>
  <c r="H6" i="70" s="1"/>
  <c r="A7" i="70"/>
  <c r="H7" i="70" s="1"/>
  <c r="A8" i="70"/>
  <c r="H8" i="70" s="1"/>
  <c r="A9" i="70"/>
  <c r="H9" i="70" s="1"/>
  <c r="A10" i="70"/>
  <c r="H10" i="70" s="1"/>
  <c r="A11" i="70"/>
  <c r="H11" i="70" s="1"/>
  <c r="A12" i="70"/>
  <c r="H12" i="70" s="1"/>
  <c r="A13" i="70"/>
  <c r="H13" i="70" s="1"/>
  <c r="A14" i="70"/>
  <c r="H14" i="70" s="1"/>
  <c r="A15" i="70"/>
  <c r="H15" i="70" s="1"/>
  <c r="A16" i="70"/>
  <c r="H16" i="70" s="1"/>
  <c r="A17" i="70"/>
  <c r="H17" i="70" s="1"/>
  <c r="A18" i="70"/>
  <c r="H18" i="70" s="1"/>
  <c r="A19" i="70"/>
  <c r="H19" i="70" s="1"/>
  <c r="A20" i="70"/>
  <c r="H20" i="70" s="1"/>
  <c r="A21" i="70"/>
  <c r="H21" i="70" s="1"/>
  <c r="A22" i="70"/>
  <c r="H22" i="70" s="1"/>
  <c r="A23" i="70"/>
  <c r="H23" i="70" s="1"/>
  <c r="A24" i="70"/>
  <c r="H24" i="70" s="1"/>
  <c r="A26" i="70"/>
  <c r="H26" i="70" s="1"/>
  <c r="A27" i="70"/>
  <c r="H27" i="70" s="1"/>
  <c r="A28" i="70"/>
  <c r="H28" i="70" s="1"/>
  <c r="A29" i="70"/>
  <c r="H29" i="70" s="1"/>
  <c r="A30" i="70"/>
  <c r="H30" i="70" s="1"/>
  <c r="A31" i="70"/>
  <c r="H31" i="70" s="1"/>
  <c r="A32" i="70"/>
  <c r="H32" i="70" s="1"/>
  <c r="A33" i="70"/>
  <c r="H33" i="70" s="1"/>
  <c r="E2" i="57"/>
  <c r="A2" i="74"/>
  <c r="G2" i="74" s="1"/>
  <c r="A2" i="118"/>
  <c r="H2" i="118" s="1"/>
  <c r="A3" i="118"/>
  <c r="H3" i="118" s="1"/>
  <c r="C2" i="120"/>
  <c r="C3" i="120"/>
  <c r="C4" i="120"/>
  <c r="C5" i="120"/>
  <c r="C6" i="120"/>
  <c r="C7" i="120"/>
  <c r="C8" i="120"/>
  <c r="C9" i="120"/>
  <c r="C10" i="120"/>
  <c r="C11" i="120"/>
  <c r="A2" i="71"/>
  <c r="G2" i="71" s="1"/>
  <c r="A3" i="71"/>
  <c r="G3" i="71" s="1"/>
  <c r="A3" i="73"/>
  <c r="H3" i="73" s="1"/>
  <c r="I3" i="73"/>
  <c r="H2" i="73"/>
  <c r="C2" i="52" a="1"/>
  <c r="C2" i="52" s="1"/>
  <c r="I2" i="52" s="1"/>
  <c r="C3" i="52" a="1"/>
  <c r="C3" i="52" s="1"/>
  <c r="I3" i="52" s="1"/>
  <c r="C4" i="52" a="1"/>
  <c r="C4" i="52" s="1"/>
  <c r="I4" i="52" s="1"/>
  <c r="C5" i="52" a="1"/>
  <c r="C5" i="52" s="1"/>
  <c r="I5" i="52" s="1"/>
  <c r="C6" i="52" a="1"/>
  <c r="C6" i="52" s="1"/>
  <c r="I6" i="52" s="1"/>
  <c r="C7" i="52" a="1"/>
  <c r="C7" i="52" s="1"/>
  <c r="I7" i="52" s="1"/>
  <c r="C8" i="52" a="1"/>
  <c r="C8" i="52" s="1"/>
  <c r="I8" i="52" s="1"/>
  <c r="C9" i="52" a="1"/>
  <c r="C9" i="52" s="1"/>
  <c r="I9" i="52" s="1"/>
  <c r="C10" i="52" a="1"/>
  <c r="C10" i="52" s="1"/>
  <c r="I10" i="52" s="1"/>
  <c r="C11" i="52" a="1"/>
  <c r="C11" i="52" s="1"/>
  <c r="I11" i="52" s="1"/>
  <c r="C12" i="52" a="1"/>
  <c r="C12" i="52" s="1"/>
  <c r="I12" i="52" s="1"/>
  <c r="C13" i="52" a="1"/>
  <c r="C13" i="52" s="1"/>
  <c r="I13" i="52" s="1"/>
  <c r="C14" i="52" a="1"/>
  <c r="C14" i="52" s="1"/>
  <c r="I14" i="52" s="1"/>
  <c r="C15" i="52" a="1"/>
  <c r="C15" i="52" s="1"/>
  <c r="I15" i="52" s="1"/>
  <c r="C16" i="52" a="1"/>
  <c r="C16" i="52" s="1"/>
  <c r="I16" i="52" s="1"/>
  <c r="C17" i="52" a="1"/>
  <c r="C17" i="52" s="1"/>
  <c r="I17" i="52" s="1"/>
  <c r="C18" i="52" a="1"/>
  <c r="C18" i="52" s="1"/>
  <c r="I18" i="52" s="1"/>
  <c r="C19" i="52" a="1"/>
  <c r="C19" i="52" s="1"/>
  <c r="I19" i="52" s="1"/>
  <c r="C20" i="52" a="1"/>
  <c r="C20" i="52" s="1"/>
  <c r="I20" i="52" s="1"/>
  <c r="C21" i="52" a="1"/>
  <c r="C21" i="52" s="1"/>
  <c r="I21" i="52" s="1"/>
  <c r="C22" i="52" a="1"/>
  <c r="C22" i="52" s="1"/>
  <c r="I22" i="52" s="1"/>
  <c r="C23" i="52" a="1"/>
  <c r="C23" i="52" s="1"/>
  <c r="I23" i="52" s="1"/>
  <c r="W2" i="69"/>
  <c r="W2" i="60"/>
  <c r="L14" i="54"/>
  <c r="A14" i="54"/>
  <c r="S14" i="54" a="1"/>
  <c r="S14" i="54" s="1"/>
  <c r="T14" i="54" a="1"/>
  <c r="T14" i="54" s="1"/>
  <c r="Q132" i="122"/>
  <c r="K23" i="52"/>
  <c r="L23" i="52"/>
  <c r="A23" i="54"/>
  <c r="L23" i="54"/>
  <c r="S23" i="54" a="1"/>
  <c r="S23" i="54" s="1"/>
  <c r="T23" i="54" a="1"/>
  <c r="T23" i="54" s="1"/>
  <c r="A30" i="54"/>
  <c r="L30" i="54"/>
  <c r="S30" i="54" a="1"/>
  <c r="S30" i="54" s="1"/>
  <c r="T30" i="54" a="1"/>
  <c r="T30" i="54" s="1"/>
  <c r="A17" i="54"/>
  <c r="L17" i="54"/>
  <c r="S17" i="54" a="1"/>
  <c r="S17" i="54" s="1"/>
  <c r="T17" i="54" a="1"/>
  <c r="T17" i="54" s="1"/>
  <c r="A4" i="54"/>
  <c r="L4" i="54"/>
  <c r="S4" i="54" a="1"/>
  <c r="S4" i="54" s="1"/>
  <c r="T4" i="54" a="1"/>
  <c r="T4" i="54" s="1"/>
  <c r="M132" i="122" l="1"/>
  <c r="C17" i="99"/>
  <c r="G30" i="54"/>
  <c r="K30" i="54" s="1"/>
  <c r="G4" i="54"/>
  <c r="K4" i="54" s="1"/>
  <c r="G14" i="54"/>
  <c r="K14" i="54" s="1"/>
  <c r="G23" i="54"/>
  <c r="K23" i="54" s="1"/>
  <c r="G17" i="54"/>
  <c r="K17" i="54" s="1"/>
  <c r="C11" i="99"/>
  <c r="C20" i="99" l="1"/>
  <c r="AM3" i="116"/>
  <c r="AM4" i="116"/>
  <c r="AM5" i="116"/>
  <c r="AM6" i="116"/>
  <c r="AM7" i="116"/>
  <c r="AM8" i="116"/>
  <c r="AM9" i="116"/>
  <c r="AM10" i="116"/>
  <c r="AM11" i="116"/>
  <c r="AM12" i="116"/>
  <c r="AM13" i="116"/>
  <c r="AM14" i="116"/>
  <c r="AM15" i="116"/>
  <c r="AM16" i="116"/>
  <c r="AM17" i="116"/>
  <c r="AM18" i="116"/>
  <c r="AM2" i="116"/>
  <c r="AG3" i="116"/>
  <c r="AG4" i="116"/>
  <c r="AG5" i="116"/>
  <c r="AG6" i="116"/>
  <c r="AG7" i="116"/>
  <c r="AG8" i="116"/>
  <c r="AG9" i="116"/>
  <c r="AG10" i="116"/>
  <c r="AG11" i="116"/>
  <c r="AG12" i="116"/>
  <c r="AG13" i="116"/>
  <c r="AG14" i="116"/>
  <c r="AG15" i="116"/>
  <c r="AG16" i="116"/>
  <c r="AG17" i="116"/>
  <c r="AG18" i="116"/>
  <c r="AG2" i="116"/>
  <c r="AF3" i="116"/>
  <c r="AF4" i="116"/>
  <c r="AF5" i="116"/>
  <c r="AF6" i="116"/>
  <c r="AF7" i="116"/>
  <c r="AF8" i="116"/>
  <c r="AF9" i="116"/>
  <c r="AF10" i="116"/>
  <c r="AF11" i="116"/>
  <c r="AF12" i="116"/>
  <c r="AF13" i="116"/>
  <c r="AF14" i="116"/>
  <c r="AF15" i="116"/>
  <c r="AF16" i="116"/>
  <c r="AF17" i="116"/>
  <c r="AF18" i="116"/>
  <c r="AF2" i="116"/>
  <c r="AE3" i="116"/>
  <c r="AE4" i="116"/>
  <c r="AE5" i="116"/>
  <c r="AE6" i="116"/>
  <c r="AE7" i="116"/>
  <c r="AE8" i="116"/>
  <c r="AE9" i="116"/>
  <c r="AE10" i="116"/>
  <c r="AE11" i="116"/>
  <c r="AE12" i="116"/>
  <c r="AE13" i="116"/>
  <c r="AE14" i="116"/>
  <c r="AE15" i="116"/>
  <c r="AE16" i="116"/>
  <c r="AE17" i="116"/>
  <c r="AE18" i="116"/>
  <c r="AE2" i="116"/>
  <c r="A4" i="93"/>
  <c r="A5" i="93"/>
  <c r="B4" i="93"/>
  <c r="B5" i="93"/>
  <c r="C4" i="93"/>
  <c r="C5" i="93"/>
  <c r="D4" i="93"/>
  <c r="D5" i="93"/>
  <c r="E4" i="93"/>
  <c r="E5" i="93"/>
  <c r="A9" i="40"/>
  <c r="A10" i="40"/>
  <c r="B9" i="40"/>
  <c r="B10" i="40"/>
  <c r="C9" i="40"/>
  <c r="C10" i="40"/>
  <c r="D9" i="40"/>
  <c r="D10" i="40"/>
  <c r="E9" i="40"/>
  <c r="E10" i="40"/>
  <c r="A3" i="42"/>
  <c r="A4" i="42"/>
  <c r="A5" i="42"/>
  <c r="A6" i="42"/>
  <c r="A7" i="42"/>
  <c r="B3" i="42"/>
  <c r="B4" i="42"/>
  <c r="B5" i="42"/>
  <c r="B6" i="42"/>
  <c r="B7" i="42"/>
  <c r="C3" i="42"/>
  <c r="C4" i="42"/>
  <c r="C5" i="42"/>
  <c r="C6" i="42"/>
  <c r="C7" i="42"/>
  <c r="D3" i="42"/>
  <c r="D4" i="42"/>
  <c r="D5" i="42"/>
  <c r="D6" i="42"/>
  <c r="D7" i="42"/>
  <c r="E3" i="42"/>
  <c r="E4" i="42"/>
  <c r="E5" i="42"/>
  <c r="E6" i="42"/>
  <c r="E7" i="42"/>
  <c r="H3" i="42"/>
  <c r="H4" i="42"/>
  <c r="H5" i="42"/>
  <c r="H6" i="42"/>
  <c r="H7" i="42"/>
  <c r="A3" i="93"/>
  <c r="B3" i="93"/>
  <c r="C3" i="93"/>
  <c r="D3" i="93"/>
  <c r="E3" i="93"/>
  <c r="A3" i="40"/>
  <c r="A4" i="40"/>
  <c r="A5" i="40"/>
  <c r="A6" i="40"/>
  <c r="A7" i="40"/>
  <c r="A8" i="40"/>
  <c r="B3" i="40"/>
  <c r="B4" i="40"/>
  <c r="B5" i="40"/>
  <c r="B6" i="40"/>
  <c r="B7" i="40"/>
  <c r="B8" i="40"/>
  <c r="C3" i="40"/>
  <c r="C4" i="40"/>
  <c r="C5" i="40"/>
  <c r="C6" i="40"/>
  <c r="C7" i="40"/>
  <c r="C8" i="40"/>
  <c r="D3" i="40"/>
  <c r="D4" i="40"/>
  <c r="D5" i="40"/>
  <c r="D6" i="40"/>
  <c r="D7" i="40"/>
  <c r="D8" i="40"/>
  <c r="E3" i="40"/>
  <c r="E4" i="40"/>
  <c r="E5" i="40"/>
  <c r="E6" i="40"/>
  <c r="E7" i="40"/>
  <c r="E8" i="40"/>
  <c r="A3" i="41"/>
  <c r="A4" i="41"/>
  <c r="B3" i="41"/>
  <c r="B4" i="41"/>
  <c r="C3" i="41"/>
  <c r="C4" i="41"/>
  <c r="D3" i="41"/>
  <c r="D4" i="41"/>
  <c r="E3" i="41"/>
  <c r="E4" i="41"/>
  <c r="A3" i="46"/>
  <c r="B3" i="46"/>
  <c r="C3" i="46"/>
  <c r="D3" i="46"/>
  <c r="E3" i="46"/>
  <c r="A3" i="47"/>
  <c r="A4" i="47"/>
  <c r="B3" i="47"/>
  <c r="B4" i="47"/>
  <c r="C3" i="47"/>
  <c r="C4" i="47"/>
  <c r="D3" i="47"/>
  <c r="D4" i="47"/>
  <c r="E3" i="47"/>
  <c r="E4" i="47"/>
  <c r="A3" i="92"/>
  <c r="B3" i="92"/>
  <c r="C3" i="92"/>
  <c r="D3" i="92"/>
  <c r="E3" i="92"/>
  <c r="A3" i="45"/>
  <c r="A4" i="45"/>
  <c r="B3" i="45"/>
  <c r="B4" i="45"/>
  <c r="C3" i="45"/>
  <c r="C4" i="45"/>
  <c r="D3" i="45"/>
  <c r="D4" i="45"/>
  <c r="E3" i="45"/>
  <c r="E4" i="45"/>
  <c r="F9" i="40" l="1"/>
  <c r="F10" i="40"/>
  <c r="F5" i="93"/>
  <c r="F3" i="93"/>
  <c r="F4" i="45"/>
  <c r="F4" i="93"/>
  <c r="F4" i="41"/>
  <c r="F6" i="40"/>
  <c r="F4" i="42"/>
  <c r="F3" i="46"/>
  <c r="F3" i="47"/>
  <c r="F3" i="45"/>
  <c r="F7" i="42"/>
  <c r="F6" i="42"/>
  <c r="F5" i="42"/>
  <c r="F3" i="42"/>
  <c r="F8" i="40"/>
  <c r="F5" i="40"/>
  <c r="F7" i="40"/>
  <c r="F4" i="40"/>
  <c r="F3" i="40"/>
  <c r="F3" i="41"/>
  <c r="F4" i="47"/>
  <c r="F3" i="92"/>
  <c r="C4" i="101" l="1"/>
  <c r="E4" i="101" s="1"/>
  <c r="C21" i="99" l="1"/>
  <c r="C2" i="101" s="1"/>
  <c r="A13" i="116"/>
  <c r="A14" i="116"/>
  <c r="A15" i="116"/>
  <c r="A16" i="116"/>
  <c r="A17" i="116"/>
  <c r="A18" i="116"/>
  <c r="B13" i="116"/>
  <c r="B14" i="116"/>
  <c r="B15" i="116"/>
  <c r="B16" i="116"/>
  <c r="B17" i="116"/>
  <c r="B18" i="116"/>
  <c r="C13" i="116"/>
  <c r="C14" i="116"/>
  <c r="C15" i="116"/>
  <c r="C16" i="116"/>
  <c r="C17" i="116"/>
  <c r="C18" i="116"/>
  <c r="D13" i="116"/>
  <c r="D14" i="116"/>
  <c r="D15" i="116"/>
  <c r="D16" i="116"/>
  <c r="D17" i="116"/>
  <c r="D18" i="116"/>
  <c r="E13" i="116"/>
  <c r="E14" i="116"/>
  <c r="E15" i="116"/>
  <c r="E16" i="116"/>
  <c r="E17" i="116"/>
  <c r="E18" i="116"/>
  <c r="F13" i="116"/>
  <c r="G13" i="116" s="1"/>
  <c r="F14" i="116"/>
  <c r="G14" i="116" s="1"/>
  <c r="F15" i="116"/>
  <c r="G15" i="116" s="1"/>
  <c r="F16" i="116"/>
  <c r="G16" i="116" s="1"/>
  <c r="F17" i="116"/>
  <c r="G17" i="116" s="1"/>
  <c r="F18" i="116"/>
  <c r="G18" i="116" s="1"/>
  <c r="H13" i="116"/>
  <c r="I13" i="116" s="1"/>
  <c r="H14" i="116"/>
  <c r="I14" i="116" s="1"/>
  <c r="H15" i="116"/>
  <c r="I15" i="116" s="1"/>
  <c r="H16" i="116"/>
  <c r="I16" i="116" s="1"/>
  <c r="H17" i="116"/>
  <c r="I17" i="116" s="1"/>
  <c r="H18" i="116"/>
  <c r="I18" i="116" s="1"/>
  <c r="J13" i="116"/>
  <c r="K13" i="116" s="1"/>
  <c r="J14" i="116"/>
  <c r="K14" i="116" s="1"/>
  <c r="J15" i="116"/>
  <c r="K15" i="116" s="1"/>
  <c r="J16" i="116"/>
  <c r="K16" i="116" s="1"/>
  <c r="J17" i="116"/>
  <c r="K17" i="116" s="1"/>
  <c r="J18" i="116"/>
  <c r="K18" i="116" s="1"/>
  <c r="L13" i="116"/>
  <c r="M13" i="116" s="1"/>
  <c r="L14" i="116"/>
  <c r="M14" i="116" s="1"/>
  <c r="L15" i="116"/>
  <c r="M15" i="116" s="1"/>
  <c r="L16" i="116"/>
  <c r="M16" i="116" s="1"/>
  <c r="L17" i="116"/>
  <c r="M17" i="116" s="1"/>
  <c r="L18" i="116"/>
  <c r="M18" i="116" s="1"/>
  <c r="N13" i="116"/>
  <c r="O13" i="116" s="1"/>
  <c r="N14" i="116"/>
  <c r="O14" i="116" s="1"/>
  <c r="N15" i="116"/>
  <c r="O15" i="116" s="1"/>
  <c r="N16" i="116"/>
  <c r="O16" i="116" s="1"/>
  <c r="N17" i="116"/>
  <c r="O17" i="116" s="1"/>
  <c r="N18" i="116"/>
  <c r="O18" i="116" s="1"/>
  <c r="P13" i="116"/>
  <c r="Q13" i="116" s="1"/>
  <c r="P14" i="116"/>
  <c r="Q14" i="116" s="1"/>
  <c r="P15" i="116"/>
  <c r="Q15" i="116" s="1"/>
  <c r="P16" i="116"/>
  <c r="Q16" i="116" s="1"/>
  <c r="P17" i="116"/>
  <c r="Q17" i="116" s="1"/>
  <c r="P18" i="116"/>
  <c r="Q18" i="116" s="1"/>
  <c r="R13" i="116"/>
  <c r="R14" i="116"/>
  <c r="R15" i="116"/>
  <c r="R16" i="116"/>
  <c r="R17" i="116"/>
  <c r="R18" i="116"/>
  <c r="S13" i="116"/>
  <c r="S14" i="116"/>
  <c r="S15" i="116"/>
  <c r="S16" i="116"/>
  <c r="S17" i="116"/>
  <c r="S18" i="116"/>
  <c r="T13" i="116"/>
  <c r="T14" i="116"/>
  <c r="T15" i="116"/>
  <c r="T16" i="116"/>
  <c r="T17" i="116"/>
  <c r="T18" i="116"/>
  <c r="U13" i="116"/>
  <c r="U14" i="116"/>
  <c r="U15" i="116"/>
  <c r="U16" i="116"/>
  <c r="U17" i="116"/>
  <c r="U18" i="116"/>
  <c r="W13" i="116"/>
  <c r="W14" i="116"/>
  <c r="W15" i="116"/>
  <c r="W16" i="116"/>
  <c r="W17" i="116"/>
  <c r="W18" i="116"/>
  <c r="X13" i="116"/>
  <c r="X14" i="116"/>
  <c r="X15" i="116"/>
  <c r="X16" i="116"/>
  <c r="X17" i="116"/>
  <c r="X18" i="116"/>
  <c r="A26" i="54"/>
  <c r="A27" i="54"/>
  <c r="A28" i="54"/>
  <c r="A29" i="54"/>
  <c r="A31" i="54"/>
  <c r="A32" i="54"/>
  <c r="A33" i="54"/>
  <c r="A34" i="54"/>
  <c r="L26" i="54"/>
  <c r="L27" i="54"/>
  <c r="L28" i="54"/>
  <c r="L29" i="54"/>
  <c r="L31" i="54"/>
  <c r="L32" i="54"/>
  <c r="L33" i="54"/>
  <c r="L34" i="54"/>
  <c r="S26" i="54" a="1"/>
  <c r="S26" i="54" s="1"/>
  <c r="S27" i="54" a="1"/>
  <c r="S27" i="54" s="1"/>
  <c r="S28" i="54" a="1"/>
  <c r="S28" i="54" s="1"/>
  <c r="S29" i="54" a="1"/>
  <c r="S29" i="54" s="1"/>
  <c r="S31" i="54" a="1"/>
  <c r="S31" i="54" s="1"/>
  <c r="S32" i="54" a="1"/>
  <c r="S32" i="54" s="1"/>
  <c r="S33" i="54" a="1"/>
  <c r="S33" i="54" s="1"/>
  <c r="S34" i="54" a="1"/>
  <c r="S34" i="54" s="1"/>
  <c r="T26" i="54" a="1"/>
  <c r="T26" i="54" s="1"/>
  <c r="T27" i="54" a="1"/>
  <c r="T27" i="54" s="1"/>
  <c r="T28" i="54" a="1"/>
  <c r="T28" i="54" s="1"/>
  <c r="T29" i="54" a="1"/>
  <c r="T29" i="54" s="1"/>
  <c r="T31" i="54" a="1"/>
  <c r="T31" i="54" s="1"/>
  <c r="T32" i="54" a="1"/>
  <c r="T32" i="54" s="1"/>
  <c r="T33" i="54" a="1"/>
  <c r="T33" i="54" s="1"/>
  <c r="T34" i="54" a="1"/>
  <c r="T34" i="54" s="1"/>
  <c r="M131" i="122"/>
  <c r="Q131" i="122"/>
  <c r="K9" i="52"/>
  <c r="K10" i="52"/>
  <c r="K11" i="52"/>
  <c r="K12" i="52"/>
  <c r="K13" i="52"/>
  <c r="K14" i="52"/>
  <c r="K15" i="52"/>
  <c r="K16" i="52"/>
  <c r="K17" i="52"/>
  <c r="K18" i="52"/>
  <c r="K19" i="52"/>
  <c r="K20" i="52"/>
  <c r="K21" i="52"/>
  <c r="K22" i="52"/>
  <c r="L9" i="52"/>
  <c r="L10" i="52"/>
  <c r="L11" i="52"/>
  <c r="L12" i="52"/>
  <c r="L13" i="52"/>
  <c r="L14" i="52"/>
  <c r="L15" i="52"/>
  <c r="L16" i="52"/>
  <c r="L17" i="52"/>
  <c r="L18" i="52"/>
  <c r="L19" i="52"/>
  <c r="L20" i="52"/>
  <c r="L21" i="52"/>
  <c r="L22" i="52"/>
  <c r="B8" i="91"/>
  <c r="B9" i="91"/>
  <c r="B10" i="91"/>
  <c r="B11" i="91"/>
  <c r="B12" i="91"/>
  <c r="B13" i="91"/>
  <c r="B14" i="91"/>
  <c r="B15" i="91"/>
  <c r="B16" i="91"/>
  <c r="B17" i="91"/>
  <c r="B18" i="91"/>
  <c r="B19" i="91"/>
  <c r="B20" i="91"/>
  <c r="D12" i="91" l="1"/>
  <c r="D13" i="91"/>
  <c r="D19" i="91"/>
  <c r="D11" i="91"/>
  <c r="D20" i="91"/>
  <c r="D9" i="91"/>
  <c r="D16" i="91"/>
  <c r="D8" i="91"/>
  <c r="D15" i="91"/>
  <c r="D18" i="91"/>
  <c r="D10" i="91"/>
  <c r="D17" i="91"/>
  <c r="D14" i="91"/>
  <c r="Z18" i="116"/>
  <c r="Z16" i="116"/>
  <c r="Z15" i="116"/>
  <c r="Z14" i="116"/>
  <c r="Z17" i="116"/>
  <c r="Z13" i="116"/>
  <c r="G29" i="54"/>
  <c r="K29" i="54" s="1"/>
  <c r="G34" i="54"/>
  <c r="K34" i="54" s="1"/>
  <c r="G27" i="54"/>
  <c r="K27" i="54" s="1"/>
  <c r="G28" i="54"/>
  <c r="K28" i="54" s="1"/>
  <c r="G33" i="54"/>
  <c r="K33" i="54" s="1"/>
  <c r="G26" i="54"/>
  <c r="K26" i="54" s="1"/>
  <c r="G32" i="54"/>
  <c r="K32" i="54" s="1"/>
  <c r="G31" i="54"/>
  <c r="K31" i="54" s="1"/>
  <c r="O3" i="120" l="1"/>
  <c r="J3" i="120" s="1"/>
  <c r="O4" i="120"/>
  <c r="J4" i="120" s="1"/>
  <c r="O5" i="120"/>
  <c r="J5" i="120" s="1"/>
  <c r="O6" i="120"/>
  <c r="J6" i="120" s="1"/>
  <c r="O7" i="120"/>
  <c r="J7" i="120" s="1"/>
  <c r="O8" i="120"/>
  <c r="J8" i="120" s="1"/>
  <c r="O9" i="120"/>
  <c r="J9" i="120" s="1"/>
  <c r="O10" i="120"/>
  <c r="J10" i="120" s="1"/>
  <c r="O11" i="120"/>
  <c r="J11" i="120" s="1"/>
  <c r="O2" i="120"/>
  <c r="J2" i="120" s="1"/>
  <c r="U2" i="116"/>
  <c r="U3" i="116"/>
  <c r="U4" i="116"/>
  <c r="U5" i="116"/>
  <c r="U6" i="116"/>
  <c r="U7" i="116"/>
  <c r="U8" i="116"/>
  <c r="U9" i="116"/>
  <c r="U10" i="116"/>
  <c r="U11" i="116"/>
  <c r="U12" i="116"/>
  <c r="T2" i="116"/>
  <c r="T3" i="116"/>
  <c r="T4" i="116"/>
  <c r="T5" i="116"/>
  <c r="T6" i="116"/>
  <c r="T7" i="116"/>
  <c r="T8" i="116"/>
  <c r="T9" i="116"/>
  <c r="T10" i="116"/>
  <c r="T11" i="116"/>
  <c r="T12" i="116"/>
  <c r="S2" i="116"/>
  <c r="S3" i="116"/>
  <c r="S4" i="116"/>
  <c r="S5" i="116"/>
  <c r="S6" i="116"/>
  <c r="S7" i="116"/>
  <c r="S8" i="116"/>
  <c r="S9" i="116"/>
  <c r="S10" i="116"/>
  <c r="S11" i="116"/>
  <c r="S12" i="116"/>
  <c r="R2" i="116"/>
  <c r="R3" i="116"/>
  <c r="R4" i="116"/>
  <c r="R5" i="116"/>
  <c r="R6" i="116"/>
  <c r="R7" i="116"/>
  <c r="R8" i="116"/>
  <c r="R9" i="116"/>
  <c r="R10" i="116"/>
  <c r="R11" i="116"/>
  <c r="R12" i="116"/>
  <c r="E2" i="116"/>
  <c r="E3" i="116"/>
  <c r="E4" i="116"/>
  <c r="E5" i="116"/>
  <c r="E6" i="116"/>
  <c r="E7" i="116"/>
  <c r="E8" i="116"/>
  <c r="E9" i="116"/>
  <c r="E10" i="116"/>
  <c r="E11" i="116"/>
  <c r="E12" i="116"/>
  <c r="D2" i="116"/>
  <c r="D3" i="116"/>
  <c r="D4" i="116"/>
  <c r="D5" i="116"/>
  <c r="D6" i="116"/>
  <c r="D7" i="116"/>
  <c r="D8" i="116"/>
  <c r="D9" i="116"/>
  <c r="D10" i="116"/>
  <c r="D11" i="116"/>
  <c r="D12" i="116"/>
  <c r="C2" i="116"/>
  <c r="C3" i="116"/>
  <c r="C4" i="116"/>
  <c r="C5" i="116"/>
  <c r="C6" i="116"/>
  <c r="C7" i="116"/>
  <c r="C8" i="116"/>
  <c r="C9" i="116"/>
  <c r="C10" i="116"/>
  <c r="C11" i="116"/>
  <c r="C12" i="116"/>
  <c r="P2" i="116" l="1"/>
  <c r="Q2" i="116" s="1"/>
  <c r="P3" i="116"/>
  <c r="Q3" i="116" s="1"/>
  <c r="P4" i="116"/>
  <c r="Q4" i="116" s="1"/>
  <c r="P5" i="116"/>
  <c r="Q5" i="116" s="1"/>
  <c r="P6" i="116"/>
  <c r="Q6" i="116" s="1"/>
  <c r="P7" i="116"/>
  <c r="Q7" i="116" s="1"/>
  <c r="P8" i="116"/>
  <c r="Q8" i="116" s="1"/>
  <c r="P9" i="116"/>
  <c r="Q9" i="116" s="1"/>
  <c r="P10" i="116"/>
  <c r="Q10" i="116" s="1"/>
  <c r="P11" i="116"/>
  <c r="Q11" i="116" s="1"/>
  <c r="P12" i="116"/>
  <c r="Q12" i="116" s="1"/>
  <c r="N2" i="116"/>
  <c r="O2" i="116" s="1"/>
  <c r="N3" i="116"/>
  <c r="O3" i="116" s="1"/>
  <c r="N4" i="116"/>
  <c r="O4" i="116" s="1"/>
  <c r="N5" i="116"/>
  <c r="O5" i="116" s="1"/>
  <c r="N6" i="116"/>
  <c r="O6" i="116" s="1"/>
  <c r="N7" i="116"/>
  <c r="O7" i="116" s="1"/>
  <c r="N8" i="116"/>
  <c r="O8" i="116" s="1"/>
  <c r="N9" i="116"/>
  <c r="O9" i="116" s="1"/>
  <c r="N10" i="116"/>
  <c r="O10" i="116" s="1"/>
  <c r="N11" i="116"/>
  <c r="O11" i="116" s="1"/>
  <c r="N12" i="116"/>
  <c r="O12" i="116" s="1"/>
  <c r="L2" i="116"/>
  <c r="M2" i="116" s="1"/>
  <c r="L3" i="116"/>
  <c r="M3" i="116" s="1"/>
  <c r="L4" i="116"/>
  <c r="M4" i="116" s="1"/>
  <c r="L5" i="116"/>
  <c r="M5" i="116" s="1"/>
  <c r="L6" i="116"/>
  <c r="M6" i="116" s="1"/>
  <c r="L7" i="116"/>
  <c r="M7" i="116" s="1"/>
  <c r="L8" i="116"/>
  <c r="M8" i="116" s="1"/>
  <c r="L9" i="116"/>
  <c r="M9" i="116" s="1"/>
  <c r="L10" i="116"/>
  <c r="M10" i="116" s="1"/>
  <c r="L11" i="116"/>
  <c r="M11" i="116" s="1"/>
  <c r="L12" i="116"/>
  <c r="M12" i="116" s="1"/>
  <c r="J2" i="116"/>
  <c r="K2" i="116" s="1"/>
  <c r="J3" i="116"/>
  <c r="K3" i="116" s="1"/>
  <c r="J4" i="116"/>
  <c r="K4" i="116" s="1"/>
  <c r="J5" i="116"/>
  <c r="K5" i="116" s="1"/>
  <c r="J6" i="116"/>
  <c r="K6" i="116" s="1"/>
  <c r="J7" i="116"/>
  <c r="K7" i="116" s="1"/>
  <c r="J8" i="116"/>
  <c r="K8" i="116" s="1"/>
  <c r="J9" i="116"/>
  <c r="K9" i="116" s="1"/>
  <c r="J10" i="116"/>
  <c r="K10" i="116" s="1"/>
  <c r="J11" i="116"/>
  <c r="K11" i="116" s="1"/>
  <c r="J12" i="116"/>
  <c r="K12" i="116" s="1"/>
  <c r="H2" i="116"/>
  <c r="I2" i="116" s="1"/>
  <c r="H3" i="116"/>
  <c r="I3" i="116" s="1"/>
  <c r="H4" i="116"/>
  <c r="I4" i="116" s="1"/>
  <c r="H5" i="116"/>
  <c r="I5" i="116" s="1"/>
  <c r="H6" i="116"/>
  <c r="I6" i="116" s="1"/>
  <c r="H7" i="116"/>
  <c r="I7" i="116" s="1"/>
  <c r="H8" i="116"/>
  <c r="I8" i="116" s="1"/>
  <c r="H9" i="116"/>
  <c r="I9" i="116" s="1"/>
  <c r="H10" i="116"/>
  <c r="I10" i="116" s="1"/>
  <c r="H11" i="116"/>
  <c r="I11" i="116" s="1"/>
  <c r="H12" i="116"/>
  <c r="I12" i="116" s="1"/>
  <c r="F2" i="116"/>
  <c r="G2" i="116" s="1"/>
  <c r="F3" i="116"/>
  <c r="G3" i="116" s="1"/>
  <c r="F4" i="116"/>
  <c r="F5" i="116"/>
  <c r="F6" i="116"/>
  <c r="F7" i="116"/>
  <c r="F8" i="116"/>
  <c r="G8" i="116" s="1"/>
  <c r="F9" i="116"/>
  <c r="G9" i="116" s="1"/>
  <c r="F10" i="116"/>
  <c r="F11" i="116"/>
  <c r="G11" i="116" s="1"/>
  <c r="F12" i="116"/>
  <c r="G12" i="116" s="1"/>
  <c r="W2" i="116"/>
  <c r="F2" i="59"/>
  <c r="K2" i="59"/>
  <c r="F3" i="59"/>
  <c r="F4" i="59"/>
  <c r="F5" i="59"/>
  <c r="F6" i="59"/>
  <c r="F7" i="59"/>
  <c r="F8" i="59"/>
  <c r="F9" i="59"/>
  <c r="F10" i="59"/>
  <c r="F12" i="59"/>
  <c r="F13" i="59"/>
  <c r="F14" i="59"/>
  <c r="F15" i="59"/>
  <c r="F16" i="59"/>
  <c r="F17" i="59"/>
  <c r="F18" i="59"/>
  <c r="F19" i="59"/>
  <c r="F20" i="59"/>
  <c r="F21" i="59"/>
  <c r="F22" i="59"/>
  <c r="F23" i="59"/>
  <c r="F24" i="59"/>
  <c r="F25" i="59"/>
  <c r="F26" i="59"/>
  <c r="F27" i="59"/>
  <c r="F28" i="59"/>
  <c r="F29" i="59"/>
  <c r="F30" i="59"/>
  <c r="F31" i="59"/>
  <c r="F32" i="59"/>
  <c r="F33" i="59"/>
  <c r="F34" i="59"/>
  <c r="F35" i="59"/>
  <c r="C18" i="101"/>
  <c r="E18" i="101" s="1"/>
  <c r="C17" i="101"/>
  <c r="E17" i="101" s="1"/>
  <c r="J2" i="59"/>
  <c r="J3" i="59"/>
  <c r="J4" i="59"/>
  <c r="J5" i="59"/>
  <c r="J6" i="59"/>
  <c r="J7" i="59"/>
  <c r="J8" i="59"/>
  <c r="J9" i="59"/>
  <c r="J10" i="59"/>
  <c r="J12" i="59"/>
  <c r="J13" i="59"/>
  <c r="J14" i="59"/>
  <c r="J15" i="59"/>
  <c r="J16" i="59"/>
  <c r="J17" i="59"/>
  <c r="J18" i="59"/>
  <c r="J19" i="59"/>
  <c r="J20" i="59"/>
  <c r="J21" i="59"/>
  <c r="J22" i="59"/>
  <c r="J23" i="59"/>
  <c r="J24" i="59"/>
  <c r="J25" i="59"/>
  <c r="J26" i="59"/>
  <c r="J27" i="59"/>
  <c r="J28" i="59"/>
  <c r="J29" i="59"/>
  <c r="J30" i="59"/>
  <c r="J31" i="59"/>
  <c r="J32" i="59"/>
  <c r="J33" i="59"/>
  <c r="J34" i="59"/>
  <c r="J35" i="59"/>
  <c r="X2" i="116"/>
  <c r="X3" i="116"/>
  <c r="X4" i="116"/>
  <c r="X5" i="116"/>
  <c r="X6" i="116"/>
  <c r="X7" i="116"/>
  <c r="X8" i="116"/>
  <c r="X9" i="116"/>
  <c r="X10" i="116"/>
  <c r="X11" i="116"/>
  <c r="X12" i="116"/>
  <c r="W3" i="116"/>
  <c r="W4" i="116"/>
  <c r="W5" i="116"/>
  <c r="W6" i="116"/>
  <c r="W7" i="116"/>
  <c r="W8" i="116"/>
  <c r="W9" i="116"/>
  <c r="W10" i="116"/>
  <c r="W11" i="116"/>
  <c r="W12" i="116"/>
  <c r="K3" i="59"/>
  <c r="K4" i="59"/>
  <c r="K5" i="59"/>
  <c r="K6" i="59"/>
  <c r="K7" i="59"/>
  <c r="K8" i="59"/>
  <c r="K9" i="59"/>
  <c r="K10" i="59"/>
  <c r="K12" i="59"/>
  <c r="K13" i="59"/>
  <c r="K14" i="59"/>
  <c r="K15" i="59"/>
  <c r="K16" i="59"/>
  <c r="K17" i="59"/>
  <c r="K18" i="59"/>
  <c r="K19" i="59"/>
  <c r="K20" i="59"/>
  <c r="K21" i="59"/>
  <c r="K22" i="59"/>
  <c r="K23" i="59"/>
  <c r="K24" i="59"/>
  <c r="K25" i="59"/>
  <c r="K26" i="59"/>
  <c r="K27" i="59"/>
  <c r="K28" i="59"/>
  <c r="K29" i="59"/>
  <c r="K30" i="59"/>
  <c r="K31" i="59"/>
  <c r="K32" i="59"/>
  <c r="K33" i="59"/>
  <c r="K34" i="59"/>
  <c r="K35" i="59"/>
  <c r="A6" i="120"/>
  <c r="L6" i="120" s="1"/>
  <c r="A7" i="120"/>
  <c r="L7" i="120" s="1"/>
  <c r="A13" i="54"/>
  <c r="A15" i="54"/>
  <c r="A16" i="54"/>
  <c r="A18" i="54"/>
  <c r="A19" i="54"/>
  <c r="A20" i="54"/>
  <c r="A21" i="54"/>
  <c r="A22" i="54"/>
  <c r="A24" i="54"/>
  <c r="A25" i="54"/>
  <c r="T13" i="54" a="1"/>
  <c r="T13" i="54" s="1"/>
  <c r="S13" i="54" a="1"/>
  <c r="S13" i="54" s="1"/>
  <c r="L13" i="54"/>
  <c r="B2" i="60"/>
  <c r="P2" i="69"/>
  <c r="P2" i="60"/>
  <c r="A11" i="120"/>
  <c r="L11" i="120" s="1"/>
  <c r="A10" i="120"/>
  <c r="L10" i="120" s="1"/>
  <c r="A9" i="120"/>
  <c r="L9" i="120" s="1"/>
  <c r="A8" i="120"/>
  <c r="L8" i="120" s="1"/>
  <c r="A5" i="120"/>
  <c r="L5" i="120" s="1"/>
  <c r="A4" i="120"/>
  <c r="L4" i="120" s="1"/>
  <c r="A3" i="120"/>
  <c r="L3" i="120" s="1"/>
  <c r="C9" i="101"/>
  <c r="E9" i="101" s="1"/>
  <c r="AH2" i="60"/>
  <c r="AG2" i="60"/>
  <c r="AF2" i="60" s="1"/>
  <c r="O2" i="60" a="1"/>
  <c r="O2" i="60" s="1"/>
  <c r="B2" i="59"/>
  <c r="C23" i="101"/>
  <c r="E23" i="101" s="1"/>
  <c r="C20" i="101"/>
  <c r="E20" i="101" s="1"/>
  <c r="C7" i="101"/>
  <c r="E7" i="101" s="1"/>
  <c r="C6" i="101"/>
  <c r="E6" i="101" s="1"/>
  <c r="C5" i="101"/>
  <c r="E5" i="101" s="1"/>
  <c r="T3" i="54" a="1"/>
  <c r="T3" i="54" s="1"/>
  <c r="T5" i="54" a="1"/>
  <c r="T5" i="54" s="1"/>
  <c r="T6" i="54" a="1"/>
  <c r="T6" i="54" s="1"/>
  <c r="T7" i="54" a="1"/>
  <c r="T7" i="54" s="1"/>
  <c r="T8" i="54" a="1"/>
  <c r="T8" i="54" s="1"/>
  <c r="T15" i="54" a="1"/>
  <c r="T15" i="54" s="1"/>
  <c r="T16" i="54" a="1"/>
  <c r="T16" i="54" s="1"/>
  <c r="T18" i="54" a="1"/>
  <c r="T18" i="54" s="1"/>
  <c r="T19" i="54" a="1"/>
  <c r="T19" i="54" s="1"/>
  <c r="T20" i="54" a="1"/>
  <c r="T20" i="54" s="1"/>
  <c r="T21" i="54" a="1"/>
  <c r="T21" i="54" s="1"/>
  <c r="T22" i="54" a="1"/>
  <c r="T22" i="54" s="1"/>
  <c r="T24" i="54" a="1"/>
  <c r="T24" i="54" s="1"/>
  <c r="T25" i="54" a="1"/>
  <c r="T25" i="54" s="1"/>
  <c r="T2" i="54" a="1"/>
  <c r="T2" i="54" s="1"/>
  <c r="S3" i="54" a="1"/>
  <c r="S3" i="54" s="1"/>
  <c r="S5" i="54" a="1"/>
  <c r="S5" i="54" s="1"/>
  <c r="S6" i="54" a="1"/>
  <c r="S6" i="54" s="1"/>
  <c r="S7" i="54" a="1"/>
  <c r="S7" i="54" s="1"/>
  <c r="S8" i="54" a="1"/>
  <c r="S8" i="54" s="1"/>
  <c r="S15" i="54" a="1"/>
  <c r="S15" i="54" s="1"/>
  <c r="S16" i="54" a="1"/>
  <c r="S16" i="54" s="1"/>
  <c r="S18" i="54" a="1"/>
  <c r="S18" i="54" s="1"/>
  <c r="S19" i="54" a="1"/>
  <c r="S19" i="54" s="1"/>
  <c r="S20" i="54" a="1"/>
  <c r="S20" i="54" s="1"/>
  <c r="S21" i="54" a="1"/>
  <c r="S21" i="54" s="1"/>
  <c r="S22" i="54" a="1"/>
  <c r="S22" i="54" s="1"/>
  <c r="S24" i="54" a="1"/>
  <c r="S24" i="54" s="1"/>
  <c r="S25" i="54" a="1"/>
  <c r="S25" i="54" s="1"/>
  <c r="S2" i="54" a="1"/>
  <c r="S2" i="54" s="1"/>
  <c r="C3" i="117"/>
  <c r="L20" i="54"/>
  <c r="L7" i="54"/>
  <c r="A7" i="54"/>
  <c r="A3" i="116"/>
  <c r="B3" i="116"/>
  <c r="M2" i="122"/>
  <c r="M3" i="122"/>
  <c r="M4" i="122"/>
  <c r="M5" i="122"/>
  <c r="M6" i="122"/>
  <c r="M7" i="122"/>
  <c r="M8" i="122"/>
  <c r="M9" i="122"/>
  <c r="M10" i="122"/>
  <c r="M11" i="122"/>
  <c r="M12" i="122"/>
  <c r="M13" i="122"/>
  <c r="M14" i="122"/>
  <c r="M15" i="122"/>
  <c r="M16" i="122"/>
  <c r="M17" i="122"/>
  <c r="M18" i="122"/>
  <c r="M19" i="122"/>
  <c r="M20" i="122"/>
  <c r="M21" i="122"/>
  <c r="M22" i="122"/>
  <c r="M23" i="122"/>
  <c r="M24" i="122"/>
  <c r="M25" i="122"/>
  <c r="M26" i="122"/>
  <c r="M27" i="122"/>
  <c r="M28" i="122"/>
  <c r="M29" i="122"/>
  <c r="M30" i="122"/>
  <c r="M31" i="122"/>
  <c r="M32" i="122"/>
  <c r="M33" i="122"/>
  <c r="M34" i="122"/>
  <c r="M35" i="122"/>
  <c r="M36" i="122"/>
  <c r="M37" i="122"/>
  <c r="M38" i="122"/>
  <c r="M39" i="122"/>
  <c r="M40" i="122"/>
  <c r="M41" i="122"/>
  <c r="M42" i="122"/>
  <c r="M43" i="122"/>
  <c r="M44" i="122"/>
  <c r="M45" i="122"/>
  <c r="M46" i="122"/>
  <c r="M47" i="122"/>
  <c r="M48" i="122"/>
  <c r="M49" i="122"/>
  <c r="M50" i="122"/>
  <c r="M51" i="122"/>
  <c r="M52" i="122"/>
  <c r="M53" i="122"/>
  <c r="M54" i="122"/>
  <c r="M55" i="122"/>
  <c r="M56" i="122"/>
  <c r="M57" i="122"/>
  <c r="M58" i="122"/>
  <c r="M59" i="122"/>
  <c r="M60" i="122"/>
  <c r="M61" i="122"/>
  <c r="M62" i="122"/>
  <c r="M63" i="122"/>
  <c r="M64" i="122"/>
  <c r="M65" i="122"/>
  <c r="M66" i="122"/>
  <c r="M67" i="122"/>
  <c r="M68" i="122"/>
  <c r="M69" i="122"/>
  <c r="M70" i="122"/>
  <c r="M71" i="122"/>
  <c r="M72" i="122"/>
  <c r="M73" i="122"/>
  <c r="M74" i="122"/>
  <c r="M75" i="122"/>
  <c r="M76" i="122"/>
  <c r="M77" i="122"/>
  <c r="M78" i="122"/>
  <c r="M79" i="122"/>
  <c r="M80" i="122"/>
  <c r="M81" i="122"/>
  <c r="M82" i="122"/>
  <c r="M83" i="122"/>
  <c r="M84" i="122"/>
  <c r="M85" i="122"/>
  <c r="M86" i="122"/>
  <c r="M87" i="122"/>
  <c r="M88" i="122"/>
  <c r="M89" i="122"/>
  <c r="M90" i="122"/>
  <c r="M91" i="122"/>
  <c r="M92" i="122"/>
  <c r="M93" i="122"/>
  <c r="M94" i="122"/>
  <c r="M95" i="122"/>
  <c r="M96" i="122"/>
  <c r="M97" i="122"/>
  <c r="M98" i="122"/>
  <c r="M99" i="122"/>
  <c r="M100" i="122"/>
  <c r="M101" i="122"/>
  <c r="M102" i="122"/>
  <c r="M103" i="122"/>
  <c r="M104" i="122"/>
  <c r="M105" i="122"/>
  <c r="M106" i="122"/>
  <c r="M107" i="122"/>
  <c r="M108" i="122"/>
  <c r="M109" i="122"/>
  <c r="M110" i="122"/>
  <c r="M111" i="122"/>
  <c r="M112" i="122"/>
  <c r="M113" i="122"/>
  <c r="M114" i="122"/>
  <c r="M115" i="122"/>
  <c r="M116" i="122"/>
  <c r="M117" i="122"/>
  <c r="M118" i="122"/>
  <c r="M119" i="122"/>
  <c r="M120" i="122"/>
  <c r="M121" i="122"/>
  <c r="M122" i="122"/>
  <c r="Q3" i="122"/>
  <c r="Q4" i="122"/>
  <c r="Q5" i="122"/>
  <c r="Q6" i="122"/>
  <c r="Q7" i="122"/>
  <c r="Q8" i="122"/>
  <c r="Q9" i="122"/>
  <c r="Q10" i="122"/>
  <c r="Q11" i="122"/>
  <c r="Q12" i="122"/>
  <c r="Q13" i="122"/>
  <c r="Q14" i="122"/>
  <c r="Q15" i="122"/>
  <c r="Q16" i="122"/>
  <c r="Q17" i="122"/>
  <c r="Q18" i="122"/>
  <c r="Q19" i="122"/>
  <c r="Q20" i="122"/>
  <c r="Q21" i="122"/>
  <c r="Q22" i="122"/>
  <c r="Q23" i="122"/>
  <c r="Q24" i="122"/>
  <c r="Q25" i="122"/>
  <c r="Q26" i="122"/>
  <c r="Q27" i="122"/>
  <c r="Q28" i="122"/>
  <c r="Q29" i="122"/>
  <c r="Q30" i="122"/>
  <c r="Q31" i="122"/>
  <c r="Q32" i="122"/>
  <c r="Q33" i="122"/>
  <c r="Q34" i="122"/>
  <c r="Q35" i="122"/>
  <c r="Q36" i="122"/>
  <c r="Q37" i="122"/>
  <c r="Q38" i="122"/>
  <c r="Q39" i="122"/>
  <c r="Q40" i="122"/>
  <c r="Q41" i="122"/>
  <c r="Q42" i="122"/>
  <c r="Q43" i="122"/>
  <c r="Q44" i="122"/>
  <c r="Q45" i="122"/>
  <c r="Q46" i="122"/>
  <c r="Q47" i="122"/>
  <c r="Q48" i="122"/>
  <c r="Q49" i="122"/>
  <c r="Q50" i="122"/>
  <c r="Q51" i="122"/>
  <c r="Q52" i="122"/>
  <c r="Q53" i="122"/>
  <c r="Q54" i="122"/>
  <c r="Q55" i="122"/>
  <c r="Q56" i="122"/>
  <c r="Q57" i="122"/>
  <c r="Q58" i="122"/>
  <c r="Q59" i="122"/>
  <c r="Q60" i="122"/>
  <c r="Q61" i="122"/>
  <c r="Q62" i="122"/>
  <c r="Q63" i="122"/>
  <c r="Q64" i="122"/>
  <c r="Q65" i="122"/>
  <c r="Q66" i="122"/>
  <c r="Q67" i="122"/>
  <c r="Q68" i="122"/>
  <c r="Q69" i="122"/>
  <c r="Q70" i="122"/>
  <c r="Q71" i="122"/>
  <c r="Q72" i="122"/>
  <c r="Q73" i="122"/>
  <c r="Q74" i="122"/>
  <c r="Q75" i="122"/>
  <c r="Q76" i="122"/>
  <c r="Q77" i="122"/>
  <c r="Q78" i="122"/>
  <c r="Q79" i="122"/>
  <c r="Q80" i="122"/>
  <c r="Q81" i="122"/>
  <c r="Q82" i="122"/>
  <c r="Q83" i="122"/>
  <c r="Q84" i="122"/>
  <c r="Q85" i="122"/>
  <c r="Q86" i="122"/>
  <c r="Q87" i="122"/>
  <c r="Q88" i="122"/>
  <c r="Q89" i="122"/>
  <c r="Q90" i="122"/>
  <c r="Q91" i="122"/>
  <c r="Q92" i="122"/>
  <c r="Q93" i="122"/>
  <c r="Q94" i="122"/>
  <c r="Q95" i="122"/>
  <c r="Q96" i="122"/>
  <c r="Q97" i="122"/>
  <c r="Q98" i="122"/>
  <c r="Q99" i="122"/>
  <c r="Q100" i="122"/>
  <c r="Q101" i="122"/>
  <c r="Q102" i="122"/>
  <c r="Q103" i="122"/>
  <c r="Q104" i="122"/>
  <c r="Q105" i="122"/>
  <c r="Q106" i="122"/>
  <c r="Q107" i="122"/>
  <c r="Q108" i="122"/>
  <c r="Q109" i="122"/>
  <c r="Q110" i="122"/>
  <c r="Q111" i="122"/>
  <c r="Q112" i="122"/>
  <c r="Q113" i="122"/>
  <c r="Q114" i="122"/>
  <c r="Q115" i="122"/>
  <c r="Q116" i="122"/>
  <c r="Q117" i="122"/>
  <c r="Q118" i="122"/>
  <c r="Q119" i="122"/>
  <c r="Q120" i="122"/>
  <c r="Q121" i="122"/>
  <c r="Q122" i="122"/>
  <c r="Q2" i="122"/>
  <c r="K3" i="52"/>
  <c r="L3" i="52"/>
  <c r="K4" i="52"/>
  <c r="L4" i="52"/>
  <c r="K5" i="52"/>
  <c r="L5" i="52"/>
  <c r="K6" i="52"/>
  <c r="L6" i="52"/>
  <c r="K7" i="52"/>
  <c r="L7" i="52"/>
  <c r="K8" i="52"/>
  <c r="L8" i="52"/>
  <c r="L2" i="52"/>
  <c r="K2" i="52"/>
  <c r="L8" i="54"/>
  <c r="A8" i="54"/>
  <c r="A2" i="120"/>
  <c r="L2" i="120" s="1"/>
  <c r="AH2" i="69"/>
  <c r="F2" i="69" s="1" a="1"/>
  <c r="F2" i="69" s="1"/>
  <c r="AG2" i="69"/>
  <c r="AF2" i="69" s="1"/>
  <c r="C2" i="119"/>
  <c r="D2" i="117"/>
  <c r="A2" i="116"/>
  <c r="B2" i="116"/>
  <c r="A4" i="116"/>
  <c r="B4" i="116"/>
  <c r="A5" i="116"/>
  <c r="B5" i="116"/>
  <c r="A6" i="116"/>
  <c r="B6" i="116"/>
  <c r="A7" i="116"/>
  <c r="B7" i="116"/>
  <c r="A8" i="116"/>
  <c r="B8" i="116"/>
  <c r="A9" i="116"/>
  <c r="B9" i="116"/>
  <c r="A10" i="116"/>
  <c r="B10" i="116"/>
  <c r="A11" i="116"/>
  <c r="B11" i="116"/>
  <c r="A12" i="116"/>
  <c r="B12" i="116"/>
  <c r="A2" i="59"/>
  <c r="A3" i="59"/>
  <c r="A4" i="59"/>
  <c r="A5" i="59"/>
  <c r="A6" i="59"/>
  <c r="A7" i="59"/>
  <c r="A8" i="59"/>
  <c r="A9" i="59"/>
  <c r="A10" i="59"/>
  <c r="A12" i="59"/>
  <c r="A13" i="59"/>
  <c r="A14" i="59"/>
  <c r="A15" i="59"/>
  <c r="A16" i="59"/>
  <c r="A17" i="59"/>
  <c r="A18" i="59"/>
  <c r="A19" i="59"/>
  <c r="A20" i="59"/>
  <c r="A21" i="59"/>
  <c r="A22" i="59"/>
  <c r="A23" i="59"/>
  <c r="A24" i="59"/>
  <c r="A25" i="59"/>
  <c r="A26" i="59"/>
  <c r="A27" i="59"/>
  <c r="A28" i="59"/>
  <c r="A29" i="59"/>
  <c r="A30" i="59"/>
  <c r="A31" i="59"/>
  <c r="A32" i="59"/>
  <c r="A33" i="59"/>
  <c r="A34" i="59"/>
  <c r="A35" i="59"/>
  <c r="B3" i="59"/>
  <c r="B4" i="59"/>
  <c r="B5" i="59"/>
  <c r="B6" i="59"/>
  <c r="B7" i="59"/>
  <c r="B8" i="59"/>
  <c r="B9" i="59"/>
  <c r="B10" i="59"/>
  <c r="B12" i="59"/>
  <c r="B13" i="59"/>
  <c r="B14" i="59"/>
  <c r="B15" i="59"/>
  <c r="B16" i="59"/>
  <c r="B17" i="59"/>
  <c r="B18" i="59"/>
  <c r="B19" i="59"/>
  <c r="B20" i="59"/>
  <c r="B21" i="59"/>
  <c r="B22" i="59"/>
  <c r="B23" i="59"/>
  <c r="B24" i="59"/>
  <c r="B25" i="59"/>
  <c r="B26" i="59"/>
  <c r="B27" i="59"/>
  <c r="B28" i="59"/>
  <c r="B29" i="59"/>
  <c r="B30" i="59"/>
  <c r="B31" i="59"/>
  <c r="B32" i="59"/>
  <c r="B33" i="59"/>
  <c r="B34" i="59"/>
  <c r="B35" i="59"/>
  <c r="C10" i="101"/>
  <c r="E10" i="101" s="1"/>
  <c r="C2" i="57"/>
  <c r="A2" i="57"/>
  <c r="B3" i="57" s="1"/>
  <c r="M3" i="57" s="1"/>
  <c r="C19" i="101"/>
  <c r="E19" i="101" s="1"/>
  <c r="L3" i="54"/>
  <c r="L5" i="54"/>
  <c r="L6" i="54"/>
  <c r="L15" i="54"/>
  <c r="L16" i="54"/>
  <c r="L18" i="54"/>
  <c r="L19" i="54"/>
  <c r="L21" i="54"/>
  <c r="L22" i="54"/>
  <c r="L24" i="54"/>
  <c r="L25" i="54"/>
  <c r="L2" i="54"/>
  <c r="C22" i="101"/>
  <c r="E22" i="101" s="1"/>
  <c r="C21" i="101"/>
  <c r="E21" i="101" s="1"/>
  <c r="C16" i="101"/>
  <c r="E16" i="101" s="1"/>
  <c r="C15" i="101"/>
  <c r="E15" i="101" s="1"/>
  <c r="C14" i="101"/>
  <c r="E14" i="101" s="1"/>
  <c r="C13" i="101"/>
  <c r="E13" i="101" s="1"/>
  <c r="C12" i="101"/>
  <c r="E12" i="101" s="1"/>
  <c r="C11" i="101"/>
  <c r="E11" i="101" s="1"/>
  <c r="C8" i="101"/>
  <c r="E8" i="101" s="1"/>
  <c r="B3" i="91"/>
  <c r="B4" i="91"/>
  <c r="B5" i="91"/>
  <c r="B6" i="91"/>
  <c r="B7" i="91"/>
  <c r="A2" i="54"/>
  <c r="A3" i="54"/>
  <c r="A5" i="54"/>
  <c r="A6" i="54"/>
  <c r="B3" i="69" l="1"/>
  <c r="Y3" i="69" s="1"/>
  <c r="C2" i="72"/>
  <c r="F2" i="60" a="1"/>
  <c r="F2" i="60" s="1"/>
  <c r="J2" i="60" a="1"/>
  <c r="J2" i="60" s="1"/>
  <c r="J3" i="60" a="1"/>
  <c r="J3" i="60" s="1"/>
  <c r="E2" i="69" a="1"/>
  <c r="E2" i="69" s="1"/>
  <c r="E2" i="60" a="1"/>
  <c r="E2" i="60" s="1"/>
  <c r="N2" i="59"/>
  <c r="J3" i="69" a="1"/>
  <c r="J3" i="69" s="1"/>
  <c r="D4" i="91"/>
  <c r="D3" i="91"/>
  <c r="G2" i="54"/>
  <c r="K2" i="54" s="1"/>
  <c r="G15" i="54"/>
  <c r="K15" i="54" s="1"/>
  <c r="D7" i="91"/>
  <c r="D6" i="91"/>
  <c r="D5" i="91"/>
  <c r="G20" i="54"/>
  <c r="K20" i="54" s="1"/>
  <c r="G7" i="54"/>
  <c r="K7" i="54" s="1"/>
  <c r="N32" i="59"/>
  <c r="N16" i="59"/>
  <c r="N8" i="59"/>
  <c r="Z8" i="116"/>
  <c r="G25" i="54"/>
  <c r="K25" i="54" s="1"/>
  <c r="G18" i="54"/>
  <c r="K18" i="54" s="1"/>
  <c r="G5" i="54"/>
  <c r="K5" i="54" s="1"/>
  <c r="N24" i="59"/>
  <c r="Z12" i="116"/>
  <c r="N31" i="59"/>
  <c r="N23" i="59"/>
  <c r="N15" i="59"/>
  <c r="N7" i="59"/>
  <c r="N12" i="59"/>
  <c r="N4" i="59"/>
  <c r="G22" i="54"/>
  <c r="K22" i="54" s="1"/>
  <c r="N14" i="59"/>
  <c r="N29" i="59"/>
  <c r="N21" i="59"/>
  <c r="N13" i="59"/>
  <c r="N5" i="59"/>
  <c r="G24" i="54"/>
  <c r="K24" i="54" s="1"/>
  <c r="N28" i="59"/>
  <c r="G13" i="54"/>
  <c r="K13" i="54" s="1"/>
  <c r="N30" i="59"/>
  <c r="Z11" i="116"/>
  <c r="N20" i="59"/>
  <c r="N27" i="59"/>
  <c r="G16" i="54"/>
  <c r="K16" i="54" s="1"/>
  <c r="G3" i="54"/>
  <c r="K3" i="54" s="1"/>
  <c r="N22" i="59"/>
  <c r="Z2" i="116"/>
  <c r="N35" i="59"/>
  <c r="N34" i="59"/>
  <c r="N18" i="59"/>
  <c r="N10" i="59"/>
  <c r="Z9" i="116"/>
  <c r="N6" i="59"/>
  <c r="Z3" i="116"/>
  <c r="N19" i="59"/>
  <c r="N3" i="59"/>
  <c r="N26" i="59"/>
  <c r="N33" i="59"/>
  <c r="N25" i="59"/>
  <c r="N17" i="59"/>
  <c r="N9" i="59"/>
  <c r="I2" i="60" a="1"/>
  <c r="I2" i="60" s="1"/>
  <c r="H2" i="60"/>
  <c r="G8" i="54"/>
  <c r="K8" i="54" s="1"/>
  <c r="G21" i="54"/>
  <c r="K21" i="54" s="1"/>
  <c r="G19" i="54"/>
  <c r="K19" i="54" s="1"/>
  <c r="G6" i="54"/>
  <c r="K6" i="54" s="1"/>
  <c r="C7" i="99"/>
  <c r="D3" i="117"/>
  <c r="J2" i="69" a="1"/>
  <c r="J2" i="69" s="1"/>
  <c r="G10" i="116"/>
  <c r="Z10" i="116" s="1"/>
  <c r="G7" i="116"/>
  <c r="Z7" i="116" s="1"/>
  <c r="G6" i="116"/>
  <c r="Z6" i="116" s="1"/>
  <c r="G5" i="116"/>
  <c r="Z5" i="116" s="1"/>
  <c r="G4" i="116"/>
  <c r="Z4" i="116" s="1"/>
  <c r="B2" i="69"/>
  <c r="P2" i="119"/>
  <c r="B2" i="57"/>
  <c r="M2" i="57" s="1"/>
  <c r="C10" i="99"/>
  <c r="I2" i="69" a="1"/>
  <c r="I2" i="69" s="1"/>
  <c r="H2" i="69"/>
  <c r="Y2" i="60" l="1"/>
  <c r="Y2" i="69"/>
  <c r="M2" i="72"/>
  <c r="C6" i="99"/>
  <c r="C9" i="99"/>
  <c r="C12" i="99"/>
  <c r="C5" i="99"/>
  <c r="C4" i="99"/>
  <c r="C3" i="99"/>
  <c r="C13" i="99"/>
  <c r="C19" i="99" l="1"/>
  <c r="C16" i="99"/>
  <c r="C18" i="99"/>
  <c r="C15" i="99"/>
  <c r="C14" i="99"/>
  <c r="C8" i="99" l="1"/>
  <c r="C23" i="99" l="1"/>
  <c r="E41" i="136"/>
  <c r="O41" i="136" s="1"/>
  <c r="E88" i="136"/>
  <c r="O88" i="136" s="1"/>
  <c r="E33" i="136"/>
  <c r="O33" i="136" s="1"/>
  <c r="E64" i="136"/>
  <c r="O64" i="136" s="1"/>
  <c r="E73" i="136"/>
  <c r="O73" i="136" s="1"/>
  <c r="E42" i="136"/>
  <c r="O42" i="136" s="1"/>
  <c r="E80" i="136"/>
  <c r="O80" i="136" s="1"/>
  <c r="E34" i="136"/>
  <c r="O34" i="136" s="1"/>
  <c r="E60" i="136"/>
  <c r="O60" i="136" s="1"/>
  <c r="E30" i="136"/>
  <c r="O30" i="136" s="1"/>
  <c r="E36" i="136"/>
  <c r="O36" i="136" s="1"/>
  <c r="E76" i="136"/>
  <c r="O76" i="136" s="1"/>
  <c r="E81" i="136"/>
  <c r="O81" i="136" s="1"/>
  <c r="E82" i="136"/>
  <c r="O82" i="136" s="1"/>
  <c r="E62" i="136"/>
  <c r="O62" i="136" s="1"/>
  <c r="E27" i="136"/>
  <c r="O27" i="136" s="1"/>
  <c r="E28" i="136"/>
  <c r="O28" i="136" s="1"/>
  <c r="E15" i="136"/>
  <c r="O15" i="136" s="1"/>
  <c r="E38" i="136"/>
  <c r="O38" i="136" s="1"/>
  <c r="E20" i="136"/>
  <c r="O20" i="136" s="1"/>
  <c r="E31" i="136"/>
  <c r="O31" i="136" s="1"/>
  <c r="E8" i="136"/>
  <c r="O8" i="136" s="1"/>
  <c r="E44" i="136"/>
  <c r="O44" i="136" s="1"/>
  <c r="E26" i="136"/>
  <c r="O26" i="136" s="1"/>
  <c r="E23" i="136"/>
  <c r="O23" i="136" s="1"/>
  <c r="E7" i="136"/>
  <c r="O7" i="136" s="1"/>
  <c r="E58" i="136"/>
  <c r="O58" i="136" s="1"/>
  <c r="E40" i="136"/>
  <c r="O40" i="136" s="1"/>
  <c r="E78" i="136"/>
  <c r="O78" i="136" s="1"/>
  <c r="E4" i="136"/>
  <c r="O4" i="136" s="1"/>
  <c r="E3" i="136"/>
  <c r="O3" i="136" s="1"/>
  <c r="E47" i="136"/>
  <c r="O47" i="136" s="1"/>
  <c r="E46" i="136"/>
  <c r="O46" i="136" s="1"/>
  <c r="E71" i="136"/>
  <c r="O71" i="136" s="1"/>
  <c r="E57" i="136"/>
  <c r="O57" i="136" s="1"/>
  <c r="E66" i="136"/>
  <c r="O66" i="136" s="1"/>
  <c r="E25" i="136"/>
  <c r="O25" i="136" s="1"/>
  <c r="E32" i="136"/>
  <c r="O32" i="136" s="1"/>
  <c r="E16" i="136"/>
  <c r="O16" i="136" s="1"/>
  <c r="E19" i="136"/>
  <c r="O19" i="136" s="1"/>
  <c r="E61" i="136"/>
  <c r="O61" i="136" s="1"/>
  <c r="E79" i="136"/>
  <c r="O79" i="136" s="1"/>
  <c r="E68" i="136"/>
  <c r="O68" i="136" s="1"/>
  <c r="E53" i="136"/>
  <c r="O53" i="136" s="1"/>
  <c r="E6" i="136"/>
  <c r="O6" i="136" s="1"/>
  <c r="E10" i="136"/>
  <c r="O10" i="136" s="1"/>
  <c r="E91" i="136"/>
  <c r="O91" i="136" s="1"/>
  <c r="E70" i="136"/>
  <c r="O70" i="136" s="1"/>
  <c r="E87" i="136"/>
  <c r="O87" i="136" s="1"/>
  <c r="E39" i="136"/>
  <c r="O39" i="136" s="1"/>
  <c r="E29" i="136"/>
  <c r="O29" i="136" s="1"/>
  <c r="E59" i="136"/>
  <c r="O59" i="136" s="1"/>
  <c r="E48" i="136"/>
  <c r="O48" i="136" s="1"/>
  <c r="E67" i="136"/>
  <c r="O67" i="136" s="1"/>
  <c r="E50" i="136"/>
  <c r="O50" i="136" s="1"/>
  <c r="E18" i="136"/>
  <c r="O18" i="136" s="1"/>
  <c r="E49" i="136"/>
  <c r="O49" i="136" s="1"/>
  <c r="E75" i="136"/>
  <c r="O75" i="136" s="1"/>
  <c r="E92" i="136"/>
  <c r="O92" i="136" s="1"/>
  <c r="E51" i="136"/>
  <c r="O51" i="136" s="1"/>
  <c r="E37" i="136"/>
  <c r="O37" i="136" s="1"/>
  <c r="E17" i="136"/>
  <c r="O17" i="136" s="1"/>
  <c r="E63" i="136"/>
  <c r="O63" i="136" s="1"/>
  <c r="E55" i="136"/>
  <c r="O55" i="136" s="1"/>
  <c r="E90" i="136"/>
  <c r="O90" i="136" s="1"/>
  <c r="E77" i="136"/>
  <c r="O77" i="136" s="1"/>
  <c r="E86" i="136"/>
  <c r="O86" i="136" s="1"/>
  <c r="E54" i="136"/>
  <c r="O54" i="136" s="1"/>
  <c r="E21" i="136"/>
  <c r="O21" i="136" s="1"/>
  <c r="E85" i="136"/>
  <c r="O85" i="136" s="1"/>
  <c r="E72" i="136"/>
  <c r="O72" i="136" s="1"/>
  <c r="E69" i="136"/>
  <c r="O69" i="136" s="1"/>
  <c r="E45" i="136"/>
  <c r="O45" i="136" s="1"/>
  <c r="E14" i="136"/>
  <c r="O14" i="136" s="1"/>
  <c r="E9" i="136"/>
  <c r="O9" i="136" s="1"/>
  <c r="E74" i="136"/>
  <c r="O74" i="136" s="1"/>
  <c r="E35" i="136"/>
  <c r="O35" i="136" s="1"/>
  <c r="E84" i="136"/>
  <c r="O84" i="136" s="1"/>
  <c r="E83" i="136"/>
  <c r="O83" i="136" s="1"/>
  <c r="E22" i="136"/>
  <c r="O22" i="136" s="1"/>
  <c r="E13" i="136"/>
  <c r="O13" i="136" s="1"/>
  <c r="E12" i="136"/>
  <c r="O12" i="136" s="1"/>
  <c r="E5" i="136"/>
  <c r="O5" i="136" s="1"/>
  <c r="E11" i="136"/>
  <c r="O11" i="136" s="1"/>
  <c r="E56" i="136"/>
  <c r="O56" i="136" s="1"/>
  <c r="E24" i="136"/>
  <c r="O24" i="136" s="1"/>
  <c r="E65" i="136"/>
  <c r="O65" i="136" s="1"/>
  <c r="E43" i="136"/>
  <c r="O43" i="136" s="1"/>
  <c r="E89" i="136"/>
  <c r="O89" i="136" s="1"/>
  <c r="E52" i="136"/>
  <c r="O52" i="136" s="1"/>
  <c r="E2" i="136"/>
  <c r="O2" i="136" s="1"/>
  <c r="C22" i="99"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B1" authorId="0" shapeId="0" xr:uid="{024A1BA2-5576-4C68-9586-23D73C120B70}">
      <text>
        <r>
          <rPr>
            <b/>
            <sz val="9"/>
            <color indexed="81"/>
            <rFont val="Tahoma"/>
            <family val="2"/>
          </rPr>
          <t>Available all schools TRUE/FALSE + School Codes if applicable</t>
        </r>
        <r>
          <rPr>
            <sz val="9"/>
            <color indexed="81"/>
            <rFont val="Tahoma"/>
            <family val="2"/>
          </rPr>
          <t xml:space="preserve">
</t>
        </r>
      </text>
    </comment>
    <comment ref="E1" authorId="0" shapeId="0" xr:uid="{1E73DEB4-357E-4BD1-8BC1-FEC864287BA2}">
      <text>
        <r>
          <rPr>
            <b/>
            <sz val="9"/>
            <color indexed="81"/>
            <rFont val="Tahoma"/>
            <family val="2"/>
          </rPr>
          <t>Pay Scale Code Length &gt;100</t>
        </r>
        <r>
          <rPr>
            <sz val="9"/>
            <color indexed="81"/>
            <rFont val="Tahoma"/>
            <family val="2"/>
          </rPr>
          <t xml:space="preserve">
</t>
        </r>
      </text>
    </comment>
    <comment ref="F1" authorId="0" shapeId="0" xr:uid="{2193A71D-1E5C-4073-A83D-9B0E9C0049AE}">
      <text>
        <r>
          <rPr>
            <b/>
            <sz val="9"/>
            <color indexed="81"/>
            <rFont val="Tahoma"/>
            <family val="2"/>
          </rPr>
          <t>Pay Scale Title Length &gt;100</t>
        </r>
      </text>
    </comment>
    <comment ref="H1" authorId="0" shapeId="0" xr:uid="{0DE2EE76-5987-4CF7-BE5F-31188EC7FDAC}">
      <text>
        <r>
          <rPr>
            <b/>
            <sz val="9"/>
            <color indexed="81"/>
            <rFont val="Tahoma"/>
            <family val="2"/>
          </rPr>
          <t>Space in PayScale Code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A1" authorId="0" shapeId="0" xr:uid="{570A2B98-6294-421F-A3AD-9333E8315639}">
      <text>
        <r>
          <rPr>
            <b/>
            <sz val="9"/>
            <color indexed="81"/>
            <rFont val="Tahoma"/>
            <family val="2"/>
          </rPr>
          <t>Pay Scale Code not in Pay Scales</t>
        </r>
      </text>
    </comment>
    <comment ref="C1" authorId="0" shapeId="0" xr:uid="{0308701A-D92B-4CAF-BDFE-CED0172B7A69}">
      <text>
        <r>
          <rPr>
            <b/>
            <sz val="9"/>
            <color indexed="81"/>
            <rFont val="Tahoma"/>
            <family val="2"/>
          </rPr>
          <t>Available all schools TRUE/FALSE + School Codes if applicable</t>
        </r>
        <r>
          <rPr>
            <sz val="9"/>
            <color indexed="81"/>
            <rFont val="Tahoma"/>
            <family val="2"/>
          </rPr>
          <t xml:space="preserve">
</t>
        </r>
      </text>
    </comment>
    <comment ref="D1" authorId="0" shapeId="0" xr:uid="{EE0FEB64-6FCC-4237-A400-04FAC7AA7239}">
      <text>
        <r>
          <rPr>
            <b/>
            <sz val="9"/>
            <color indexed="81"/>
            <rFont val="Tahoma"/>
            <family val="2"/>
          </rPr>
          <t>Scale Point From is greater than Scale Point To</t>
        </r>
        <r>
          <rPr>
            <sz val="9"/>
            <color indexed="81"/>
            <rFont val="Tahoma"/>
            <family val="2"/>
          </rPr>
          <t xml:space="preserve">
</t>
        </r>
      </text>
    </comment>
    <comment ref="E1" authorId="1" shapeId="0" xr:uid="{2D46DDDD-7D09-4EE8-BE72-CE6A8D56FBE4}">
      <text>
        <r>
          <rPr>
            <b/>
            <sz val="9"/>
            <color indexed="81"/>
            <rFont val="Tahoma"/>
            <family val="2"/>
          </rPr>
          <t xml:space="preserve">John Dunridge:
</t>
        </r>
        <r>
          <rPr>
            <sz val="9"/>
            <color indexed="81"/>
            <rFont val="Tahoma"/>
            <family val="2"/>
          </rPr>
          <t>If available to all schools = TRUE then does that match the pay scale. If available to all schools = FALSE do the schools have access to the Payscale.</t>
        </r>
      </text>
    </comment>
    <comment ref="H1" authorId="0" shapeId="0" xr:uid="{5BB354E6-E3D4-46B4-A419-F83B4D746D9D}">
      <text>
        <r>
          <rPr>
            <b/>
            <sz val="9"/>
            <color indexed="81"/>
            <rFont val="Tahoma"/>
            <family val="2"/>
          </rPr>
          <t>Grade Code Length &gt;100</t>
        </r>
        <r>
          <rPr>
            <sz val="9"/>
            <color indexed="81"/>
            <rFont val="Tahoma"/>
            <family val="2"/>
          </rPr>
          <t xml:space="preserve">
</t>
        </r>
      </text>
    </comment>
    <comment ref="I1" authorId="0" shapeId="0" xr:uid="{EFBB2A30-21B0-4F3D-B56B-835274F7533A}">
      <text>
        <r>
          <rPr>
            <b/>
            <sz val="9"/>
            <color indexed="81"/>
            <rFont val="Tahoma"/>
            <family val="2"/>
          </rPr>
          <t>Grade Title Length &gt;100</t>
        </r>
      </text>
    </comment>
    <comment ref="J1" authorId="0" shapeId="0" xr:uid="{33302FE7-8C53-4725-B8CD-B2CE21922A54}">
      <text>
        <r>
          <rPr>
            <b/>
            <sz val="9"/>
            <color indexed="81"/>
            <rFont val="Tahoma"/>
            <family val="2"/>
          </rPr>
          <t>Space in Grade Code</t>
        </r>
        <r>
          <rPr>
            <sz val="9"/>
            <color indexed="81"/>
            <rFont val="Tahoma"/>
            <family val="2"/>
          </rPr>
          <t xml:space="preserve">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F93FF139-7DEB-4E3D-8103-A6732CFBBE50}">
      <text>
        <r>
          <rPr>
            <b/>
            <sz val="9"/>
            <color indexed="81"/>
            <rFont val="Tahoma"/>
            <family val="2"/>
          </rPr>
          <t>Pay Scale Code not in Pay Scales</t>
        </r>
        <r>
          <rPr>
            <sz val="9"/>
            <color indexed="81"/>
            <rFont val="Tahoma"/>
            <family val="2"/>
          </rPr>
          <t xml:space="preserve">
</t>
        </r>
      </text>
    </comment>
    <comment ref="C1" authorId="0" shapeId="0" xr:uid="{29FA75B4-4F52-4E92-B07B-402B41C77069}">
      <text>
        <r>
          <rPr>
            <b/>
            <sz val="9"/>
            <color indexed="81"/>
            <rFont val="Tahoma"/>
            <family val="2"/>
          </rPr>
          <t>Space in PayScale Code</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B1" authorId="0" shapeId="0" xr:uid="{A963E9AF-8941-4097-9D97-5ED17CDA9FB7}">
      <text>
        <r>
          <rPr>
            <b/>
            <sz val="9"/>
            <color indexed="81"/>
            <rFont val="Tahoma"/>
            <family val="2"/>
          </rPr>
          <t>Scale Point Number out of Sequence</t>
        </r>
        <r>
          <rPr>
            <sz val="9"/>
            <color indexed="81"/>
            <rFont val="Tahoma"/>
            <family val="2"/>
          </rPr>
          <t xml:space="preserve">
</t>
        </r>
      </text>
    </comment>
    <comment ref="D1" authorId="0" shapeId="0" xr:uid="{1A400060-666D-4096-94B7-F86D67C532F4}">
      <text>
        <r>
          <rPr>
            <b/>
            <sz val="9"/>
            <color indexed="81"/>
            <rFont val="Tahoma"/>
            <family val="2"/>
          </rPr>
          <t xml:space="preserve">Duplicate means check date from in each pay scale
</t>
        </r>
      </text>
    </comment>
    <comment ref="E1" authorId="0" shapeId="0" xr:uid="{E239E463-B8E0-4E20-A08F-1291E92386B4}">
      <text>
        <r>
          <rPr>
            <b/>
            <sz val="9"/>
            <color indexed="81"/>
            <rFont val="Tahoma"/>
            <family val="2"/>
          </rPr>
          <t>Pay Scale Month Increase and Rate Start Date Month Don’t Match</t>
        </r>
        <r>
          <rPr>
            <sz val="9"/>
            <color indexed="81"/>
            <rFont val="Tahoma"/>
            <family val="2"/>
          </rPr>
          <t xml:space="preserve">
</t>
        </r>
      </text>
    </comment>
    <comment ref="F1" authorId="0" shapeId="0" xr:uid="{93A6F179-B7BE-4CC1-BE18-65A9C0CFB2D6}">
      <text>
        <r>
          <rPr>
            <b/>
            <sz val="9"/>
            <color indexed="81"/>
            <rFont val="Tahoma"/>
            <family val="2"/>
          </rPr>
          <t>Rate Date To is before Rate Date From</t>
        </r>
        <r>
          <rPr>
            <sz val="9"/>
            <color indexed="81"/>
            <rFont val="Tahoma"/>
            <family val="2"/>
          </rPr>
          <t xml:space="preserve">
</t>
        </r>
      </text>
    </comment>
    <comment ref="G1" authorId="1" shapeId="0" xr:uid="{5BFC88DC-792F-4594-8D89-1B134162C071}">
      <text>
        <r>
          <rPr>
            <sz val="9"/>
            <color indexed="81"/>
            <rFont val="Tahoma"/>
            <family val="2"/>
          </rPr>
          <t xml:space="preserve">Checks that the Date fields are using the correct data type
</t>
        </r>
      </text>
    </comment>
    <comment ref="I1" authorId="0" shapeId="0" xr:uid="{2A2F068D-2668-4152-8C13-F88F7F1EBBD9}">
      <text>
        <r>
          <rPr>
            <b/>
            <sz val="9"/>
            <color indexed="81"/>
            <rFont val="Tahoma"/>
            <family val="2"/>
          </rPr>
          <t>Point Code Length &gt;100</t>
        </r>
        <r>
          <rPr>
            <sz val="9"/>
            <color indexed="81"/>
            <rFont val="Tahoma"/>
            <family val="2"/>
          </rPr>
          <t xml:space="preserve">
</t>
        </r>
      </text>
    </comment>
    <comment ref="J1" authorId="0" shapeId="0" xr:uid="{25DCC2F8-2E2C-434C-AA82-B6315FEFB328}">
      <text>
        <r>
          <rPr>
            <b/>
            <sz val="9"/>
            <color indexed="81"/>
            <rFont val="Tahoma"/>
            <family val="2"/>
          </rPr>
          <t>Point Title Length &gt;100</t>
        </r>
      </text>
    </comment>
    <comment ref="L1" authorId="0" shapeId="0" xr:uid="{B2EE8A67-A60F-49D4-935E-EB26C1069C13}">
      <text>
        <r>
          <rPr>
            <b/>
            <sz val="9"/>
            <color indexed="81"/>
            <rFont val="Tahoma"/>
            <family val="2"/>
          </rPr>
          <t>Space in PayScale Code or PayScalePoint Code</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451E9E8E-2555-4C42-85E0-8BECC7477453}">
      <text>
        <r>
          <rPr>
            <b/>
            <sz val="9"/>
            <color indexed="81"/>
            <rFont val="Tahoma"/>
            <family val="2"/>
          </rPr>
          <t>Available all schools TRUE/FALSE + School Codes if applicable</t>
        </r>
        <r>
          <rPr>
            <sz val="9"/>
            <color indexed="81"/>
            <rFont val="Tahoma"/>
            <family val="2"/>
          </rPr>
          <t xml:space="preserve">
</t>
        </r>
      </text>
    </comment>
    <comment ref="C1" authorId="0" shapeId="0" xr:uid="{BFA25352-F79E-4A37-94AE-715ED1726101}">
      <text>
        <r>
          <rPr>
            <b/>
            <sz val="9"/>
            <color indexed="81"/>
            <rFont val="Tahoma"/>
            <family val="2"/>
          </rPr>
          <t>Type Code Length &gt;100</t>
        </r>
        <r>
          <rPr>
            <sz val="9"/>
            <color indexed="81"/>
            <rFont val="Tahoma"/>
            <family val="2"/>
          </rPr>
          <t xml:space="preserve">
</t>
        </r>
      </text>
    </comment>
    <comment ref="D1" authorId="0" shapeId="0" xr:uid="{C688D715-A7FA-484E-B295-0F00DF22ADEA}">
      <text>
        <r>
          <rPr>
            <b/>
            <sz val="9"/>
            <color indexed="81"/>
            <rFont val="Tahoma"/>
            <family val="2"/>
          </rPr>
          <t>Type Title Length &gt;100</t>
        </r>
      </text>
    </comment>
    <comment ref="F1" authorId="0" shapeId="0" xr:uid="{8F48B330-AB33-465D-A280-4DA3B8306FCF}">
      <text>
        <r>
          <rPr>
            <b/>
            <sz val="9"/>
            <color indexed="81"/>
            <rFont val="Tahoma"/>
            <family val="2"/>
          </rPr>
          <t>Space in EQWP Code</t>
        </r>
        <r>
          <rPr>
            <sz val="9"/>
            <color indexed="81"/>
            <rFont val="Tahoma"/>
            <family val="2"/>
          </rPr>
          <t xml:space="preserve">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A1" authorId="0" shapeId="0" xr:uid="{B758EC0F-8705-4A6A-8C1E-822A8586A770}">
      <text>
        <r>
          <rPr>
            <b/>
            <sz val="9"/>
            <color indexed="81"/>
            <rFont val="Tahoma"/>
            <family val="2"/>
          </rPr>
          <t>Allowance Type Code not in Allowance Types</t>
        </r>
        <r>
          <rPr>
            <sz val="9"/>
            <color indexed="81"/>
            <rFont val="Tahoma"/>
            <family val="2"/>
          </rPr>
          <t xml:space="preserve">
</t>
        </r>
      </text>
    </comment>
    <comment ref="B1" authorId="0" shapeId="0" xr:uid="{CF7BEA7A-CAC7-4250-BED7-90B73B0019A4}">
      <text>
        <r>
          <rPr>
            <b/>
            <sz val="9"/>
            <color indexed="81"/>
            <rFont val="Tahoma"/>
            <family val="2"/>
          </rPr>
          <t>Either remove duplicate row or edit code(s) to make unique</t>
        </r>
      </text>
    </comment>
    <comment ref="C1" authorId="0" shapeId="0" xr:uid="{A0CEB724-A1CE-49E5-A836-B72855D042F3}">
      <text>
        <r>
          <rPr>
            <b/>
            <sz val="9"/>
            <color indexed="81"/>
            <rFont val="Tahoma"/>
            <family val="2"/>
          </rPr>
          <t>Available all schools TRUE/FALSE + School Codes if applicable</t>
        </r>
        <r>
          <rPr>
            <sz val="9"/>
            <color indexed="81"/>
            <rFont val="Tahoma"/>
            <family val="2"/>
          </rPr>
          <t xml:space="preserve">
</t>
        </r>
      </text>
    </comment>
    <comment ref="D1" authorId="0" shapeId="0" xr:uid="{DA3860B1-E035-4C4D-8832-96FE9EE4F7B4}">
      <text>
        <r>
          <rPr>
            <b/>
            <sz val="9"/>
            <color indexed="81"/>
            <rFont val="Tahoma"/>
            <family val="2"/>
          </rPr>
          <t>Rate Date To is before Rate Date From</t>
        </r>
        <r>
          <rPr>
            <sz val="9"/>
            <color indexed="81"/>
            <rFont val="Tahoma"/>
            <family val="2"/>
          </rPr>
          <t xml:space="preserve">
</t>
        </r>
      </text>
    </comment>
    <comment ref="E1" authorId="1" shapeId="0" xr:uid="{9B40DCA5-9194-4A96-8FC1-0D0B62CBC389}">
      <text>
        <r>
          <rPr>
            <sz val="9"/>
            <color indexed="81"/>
            <rFont val="Tahoma"/>
            <family val="2"/>
          </rPr>
          <t xml:space="preserve">Checks that the Date fields are using the correct data type
</t>
        </r>
      </text>
    </comment>
    <comment ref="F1" authorId="1" shapeId="0" xr:uid="{2AA114E4-C7DB-4CAD-9885-7A4F693873FF}">
      <text>
        <r>
          <rPr>
            <b/>
            <sz val="9"/>
            <color indexed="81"/>
            <rFont val="Tahoma"/>
            <family val="2"/>
          </rPr>
          <t xml:space="preserve">John Dunridge:
</t>
        </r>
        <r>
          <rPr>
            <sz val="9"/>
            <color indexed="81"/>
            <rFont val="Tahoma"/>
            <family val="2"/>
          </rPr>
          <t xml:space="preserve">If available to all schools = TRUE then does that match the Allowance type. If available to all schools = FALSE do the schools have access to the Allowance type.
</t>
        </r>
      </text>
    </comment>
    <comment ref="H1" authorId="0" shapeId="0" xr:uid="{B2FEC2A4-72FD-4F2B-A000-DB013BBA0098}">
      <text>
        <r>
          <rPr>
            <b/>
            <sz val="9"/>
            <color indexed="81"/>
            <rFont val="Tahoma"/>
            <family val="2"/>
          </rPr>
          <t>Point Code Length &gt;100</t>
        </r>
        <r>
          <rPr>
            <sz val="9"/>
            <color indexed="81"/>
            <rFont val="Tahoma"/>
            <family val="2"/>
          </rPr>
          <t xml:space="preserve">
</t>
        </r>
      </text>
    </comment>
    <comment ref="I1" authorId="0" shapeId="0" xr:uid="{C115BB16-B8C1-4D82-9490-4A93A97FE6C0}">
      <text>
        <r>
          <rPr>
            <b/>
            <sz val="9"/>
            <color indexed="81"/>
            <rFont val="Tahoma"/>
            <family val="2"/>
          </rPr>
          <t>Point Title Length &gt;100</t>
        </r>
      </text>
    </comment>
    <comment ref="K1" authorId="0" shapeId="0" xr:uid="{F128C018-AE1C-4808-8232-4CCB1D81B0FE}">
      <text>
        <r>
          <rPr>
            <b/>
            <sz val="9"/>
            <color indexed="81"/>
            <rFont val="Tahoma"/>
            <family val="2"/>
          </rPr>
          <t>Space in Allowance Point Code</t>
        </r>
        <r>
          <rPr>
            <sz val="9"/>
            <color indexed="81"/>
            <rFont val="Tahoma"/>
            <family val="2"/>
          </rPr>
          <t xml:space="preserve">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5813965D-F869-4430-9B08-42D93DCE5167}">
      <text>
        <r>
          <rPr>
            <b/>
            <sz val="9"/>
            <color indexed="81"/>
            <rFont val="Tahoma"/>
            <family val="2"/>
          </rPr>
          <t>Allowance Type Code not in Allowance Types</t>
        </r>
        <r>
          <rPr>
            <sz val="9"/>
            <color indexed="81"/>
            <rFont val="Tahoma"/>
            <family val="2"/>
          </rPr>
          <t xml:space="preserve">
</t>
        </r>
      </text>
    </comment>
    <comment ref="B1" authorId="0" shapeId="0" xr:uid="{DA3B80C1-2584-404D-9211-D4406F7DF703}">
      <text>
        <r>
          <rPr>
            <b/>
            <sz val="9"/>
            <color indexed="81"/>
            <rFont val="Tahoma"/>
            <family val="2"/>
          </rPr>
          <t>Allowance Type Code Length &gt;100</t>
        </r>
        <r>
          <rPr>
            <sz val="9"/>
            <color indexed="81"/>
            <rFont val="Tahoma"/>
            <family val="2"/>
          </rPr>
          <t xml:space="preserve">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B9929BD0-0D0A-4211-94C7-6C2F6FC4F592}">
      <text>
        <r>
          <rPr>
            <b/>
            <sz val="9"/>
            <color indexed="81"/>
            <rFont val="Tahoma"/>
            <family val="2"/>
          </rPr>
          <t>Available all schools TRUE/FALSE + School Codes if applicable</t>
        </r>
        <r>
          <rPr>
            <sz val="9"/>
            <color indexed="81"/>
            <rFont val="Tahoma"/>
            <family val="2"/>
          </rPr>
          <t xml:space="preserve">
</t>
        </r>
      </text>
    </comment>
    <comment ref="B1" authorId="0" shapeId="0" xr:uid="{2FD56573-3281-4BF2-8CEB-BF3A472121E0}">
      <text>
        <r>
          <rPr>
            <b/>
            <sz val="9"/>
            <color indexed="81"/>
            <rFont val="Tahoma"/>
            <family val="2"/>
          </rPr>
          <t>Either remove duplicate row or edit code(s) to make unique</t>
        </r>
      </text>
    </comment>
    <comment ref="E1" authorId="0" shapeId="0" xr:uid="{334869ED-C978-45E9-BD5F-CDF0D8867616}">
      <text>
        <r>
          <rPr>
            <b/>
            <sz val="9"/>
            <color indexed="81"/>
            <rFont val="Tahoma"/>
            <family val="2"/>
          </rPr>
          <t>Adjustment Code Length &gt;100</t>
        </r>
        <r>
          <rPr>
            <sz val="9"/>
            <color indexed="81"/>
            <rFont val="Tahoma"/>
            <family val="2"/>
          </rPr>
          <t xml:space="preserve">
</t>
        </r>
      </text>
    </comment>
    <comment ref="F1" authorId="0" shapeId="0" xr:uid="{C5164238-576C-4E1B-9437-34C396E11337}">
      <text>
        <r>
          <rPr>
            <b/>
            <sz val="9"/>
            <color indexed="81"/>
            <rFont val="Tahoma"/>
            <family val="2"/>
          </rPr>
          <t>Title Length &gt;100</t>
        </r>
      </text>
    </comment>
    <comment ref="G1" authorId="0" shapeId="0" xr:uid="{8003CF62-9F95-4E60-9F0E-8ACBC7D270B9}">
      <text>
        <r>
          <rPr>
            <b/>
            <sz val="9"/>
            <color indexed="81"/>
            <rFont val="Tahoma"/>
            <family val="2"/>
          </rPr>
          <t>Space in Adjustment Type Code</t>
        </r>
        <r>
          <rPr>
            <sz val="9"/>
            <color indexed="81"/>
            <rFont val="Tahoma"/>
            <family val="2"/>
          </rPr>
          <t xml:space="preserve">
</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A1" authorId="0" shapeId="0" xr:uid="{C1DE7960-632D-4E97-9272-701D1E3EF06F}">
      <text>
        <r>
          <rPr>
            <b/>
            <sz val="9"/>
            <color indexed="81"/>
            <rFont val="Tahoma"/>
            <family val="2"/>
          </rPr>
          <t>Available all schools TRUE/FALSE + School Codes if applicable</t>
        </r>
        <r>
          <rPr>
            <sz val="9"/>
            <color indexed="81"/>
            <rFont val="Tahoma"/>
            <family val="2"/>
          </rPr>
          <t xml:space="preserve">
</t>
        </r>
      </text>
    </comment>
    <comment ref="B1" authorId="0" shapeId="0" xr:uid="{A9FA65C1-E0A6-4220-9541-5575FC5DD7F4}">
      <text>
        <r>
          <rPr>
            <b/>
            <sz val="9"/>
            <color indexed="81"/>
            <rFont val="Tahoma"/>
            <family val="2"/>
          </rPr>
          <t>Rate Date To is before Rate Date From</t>
        </r>
        <r>
          <rPr>
            <sz val="9"/>
            <color indexed="81"/>
            <rFont val="Tahoma"/>
            <family val="2"/>
          </rPr>
          <t xml:space="preserve">
</t>
        </r>
      </text>
    </comment>
    <comment ref="C1" authorId="1" shapeId="0" xr:uid="{BCECEF05-4A26-47A4-8CC1-EF83EC813BA0}">
      <text>
        <r>
          <rPr>
            <sz val="9"/>
            <color indexed="81"/>
            <rFont val="Tahoma"/>
            <family val="2"/>
          </rPr>
          <t xml:space="preserve">Checks that the Date fields are using the correct data type
</t>
        </r>
      </text>
    </comment>
    <comment ref="E1" authorId="0" shapeId="0" xr:uid="{1E197680-67B9-4CC2-9295-354E623A6CD7}">
      <text>
        <r>
          <rPr>
            <b/>
            <sz val="9"/>
            <color indexed="81"/>
            <rFont val="Tahoma"/>
            <family val="2"/>
          </rPr>
          <t>Pension Code Length &gt;100</t>
        </r>
        <r>
          <rPr>
            <sz val="9"/>
            <color indexed="81"/>
            <rFont val="Tahoma"/>
            <family val="2"/>
          </rPr>
          <t xml:space="preserve">
</t>
        </r>
      </text>
    </comment>
    <comment ref="F1" authorId="0" shapeId="0" xr:uid="{A888596D-F7A6-4B18-A31C-ADF1B2389D40}">
      <text>
        <r>
          <rPr>
            <b/>
            <sz val="9"/>
            <color indexed="81"/>
            <rFont val="Tahoma"/>
            <family val="2"/>
          </rPr>
          <t>Pension Title Length &gt;100</t>
        </r>
      </text>
    </comment>
    <comment ref="H1" authorId="0" shapeId="0" xr:uid="{18658943-7472-4CBB-9ED1-FD2A92BC8283}">
      <text>
        <r>
          <rPr>
            <b/>
            <sz val="9"/>
            <color indexed="81"/>
            <rFont val="Tahoma"/>
            <family val="2"/>
          </rPr>
          <t>Space in Pension Code</t>
        </r>
        <r>
          <rPr>
            <sz val="9"/>
            <color indexed="81"/>
            <rFont val="Tahoma"/>
            <family val="2"/>
          </rPr>
          <t xml:space="preserve">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A1" authorId="0" shapeId="0" xr:uid="{FFE6E521-B749-46A2-83F3-DF66D80F8739}">
      <text>
        <r>
          <rPr>
            <b/>
            <sz val="9"/>
            <color indexed="81"/>
            <rFont val="Tahoma"/>
            <family val="2"/>
          </rPr>
          <t>Available all schools TRUE/FALSE + School Codes if applicable</t>
        </r>
        <r>
          <rPr>
            <sz val="9"/>
            <color indexed="81"/>
            <rFont val="Tahoma"/>
            <family val="2"/>
          </rPr>
          <t xml:space="preserve">
</t>
        </r>
      </text>
    </comment>
    <comment ref="D1" authorId="0" shapeId="0" xr:uid="{A89DEFAB-9B76-4C79-834A-35D911D94E66}">
      <text>
        <r>
          <rPr>
            <b/>
            <sz val="9"/>
            <color indexed="81"/>
            <rFont val="Tahoma"/>
            <family val="2"/>
          </rPr>
          <t>EQW Code Length &gt;100</t>
        </r>
        <r>
          <rPr>
            <sz val="9"/>
            <color indexed="81"/>
            <rFont val="Tahoma"/>
            <family val="2"/>
          </rPr>
          <t xml:space="preserve">
</t>
        </r>
      </text>
    </comment>
    <comment ref="E1" authorId="0" shapeId="0" xr:uid="{143B00DD-DDD1-42DB-A802-DE6EDD5C5274}">
      <text>
        <r>
          <rPr>
            <b/>
            <sz val="9"/>
            <color indexed="81"/>
            <rFont val="Tahoma"/>
            <family val="2"/>
          </rPr>
          <t>EQW Title Length &gt;100</t>
        </r>
      </text>
    </comment>
    <comment ref="F1" authorId="0" shapeId="0" xr:uid="{83562F56-53F3-4A0F-BEF0-85D34F22C79B}">
      <text>
        <r>
          <rPr>
            <b/>
            <sz val="9"/>
            <color indexed="81"/>
            <rFont val="Tahoma"/>
            <family val="2"/>
          </rPr>
          <t>Space in EQWP Code</t>
        </r>
        <r>
          <rPr>
            <sz val="9"/>
            <color indexed="81"/>
            <rFont val="Tahoma"/>
            <family val="2"/>
          </rPr>
          <t xml:space="preserve">
</t>
        </r>
      </text>
    </comment>
    <comment ref="H1" authorId="0" shapeId="0" xr:uid="{D9D880DC-DFCB-43F4-B631-82C28DA7EBE0}">
      <text>
        <r>
          <rPr>
            <b/>
            <sz val="9"/>
            <color indexed="81"/>
            <rFont val="Tahoma"/>
            <family val="2"/>
          </rPr>
          <t>When paid weeks exceed full year. Check with customer</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Kim Smith</author>
  </authors>
  <commentList>
    <comment ref="F1" authorId="0" shapeId="0" xr:uid="{50C074B6-D362-4AF6-885F-BBAF6FA830BE}">
      <text>
        <r>
          <rPr>
            <b/>
            <sz val="9"/>
            <color indexed="81"/>
            <rFont val="Tahoma"/>
            <family val="2"/>
          </rPr>
          <t>Gross Salary Finance Code not in Finance Codes</t>
        </r>
        <r>
          <rPr>
            <sz val="9"/>
            <color indexed="81"/>
            <rFont val="Tahoma"/>
            <family val="2"/>
          </rPr>
          <t xml:space="preserve">
</t>
        </r>
      </text>
    </comment>
    <comment ref="G1" authorId="0" shapeId="0" xr:uid="{8BD06A68-C028-40F0-B8E0-97EE87FDB69E}">
      <text>
        <r>
          <rPr>
            <b/>
            <sz val="9"/>
            <color indexed="81"/>
            <rFont val="Tahoma"/>
            <family val="2"/>
          </rPr>
          <t>CRITICAL ERROR - Flag to LC asap, as  import will fail</t>
        </r>
        <r>
          <rPr>
            <sz val="9"/>
            <color indexed="81"/>
            <rFont val="Tahoma"/>
            <family val="2"/>
          </rPr>
          <t xml:space="preserve">
</t>
        </r>
      </text>
    </comment>
    <comment ref="H1" authorId="0" shapeId="0" xr:uid="{18CE87B8-B791-483C-A8B7-2E1FFB8E0B83}">
      <text>
        <r>
          <rPr>
            <b/>
            <sz val="9"/>
            <color indexed="81"/>
            <rFont val="Tahoma"/>
            <family val="2"/>
          </rPr>
          <t>Leave Rebate Finance Code not in Finance Codes</t>
        </r>
        <r>
          <rPr>
            <sz val="9"/>
            <color indexed="81"/>
            <rFont val="Tahoma"/>
            <family val="2"/>
          </rPr>
          <t xml:space="preserve">
</t>
        </r>
      </text>
    </comment>
    <comment ref="I1" authorId="0" shapeId="0" xr:uid="{B60BEFDD-03B1-4A65-A924-F8D32C9AE057}">
      <text>
        <r>
          <rPr>
            <b/>
            <sz val="9"/>
            <color indexed="81"/>
            <rFont val="Tahoma"/>
            <family val="2"/>
          </rPr>
          <t>CRITICAL ERROR - Flag to LC asap, as  import will fail</t>
        </r>
        <r>
          <rPr>
            <sz val="9"/>
            <color indexed="81"/>
            <rFont val="Tahoma"/>
            <family val="2"/>
          </rPr>
          <t xml:space="preserve">
</t>
        </r>
      </text>
    </comment>
    <comment ref="J1" authorId="0" shapeId="0" xr:uid="{C11BE440-B896-4E01-AEF2-29653E3793D4}">
      <text>
        <r>
          <rPr>
            <b/>
            <sz val="9"/>
            <color indexed="81"/>
            <rFont val="Tahoma"/>
            <family val="2"/>
          </rPr>
          <t>Allowances Finance Code not in Finance Codes</t>
        </r>
        <r>
          <rPr>
            <sz val="9"/>
            <color indexed="81"/>
            <rFont val="Tahoma"/>
            <family val="2"/>
          </rPr>
          <t xml:space="preserve">
</t>
        </r>
      </text>
    </comment>
    <comment ref="K1" authorId="0" shapeId="0" xr:uid="{D7D41752-5144-4488-8921-B00F1DDB6E1F}">
      <text>
        <r>
          <rPr>
            <b/>
            <sz val="9"/>
            <color indexed="81"/>
            <rFont val="Tahoma"/>
            <family val="2"/>
          </rPr>
          <t>CRITICAL ERROR - Flag to LC asap, as  import will fail</t>
        </r>
        <r>
          <rPr>
            <sz val="9"/>
            <color indexed="81"/>
            <rFont val="Tahoma"/>
            <family val="2"/>
          </rPr>
          <t xml:space="preserve">
</t>
        </r>
      </text>
    </comment>
    <comment ref="L1" authorId="0" shapeId="0" xr:uid="{CC64B939-0595-4513-BB90-51DC4C02463B}">
      <text>
        <r>
          <rPr>
            <b/>
            <sz val="9"/>
            <color indexed="81"/>
            <rFont val="Tahoma"/>
            <family val="2"/>
          </rPr>
          <t>Adjustment Finance Code not in Finance Codes</t>
        </r>
        <r>
          <rPr>
            <sz val="9"/>
            <color indexed="81"/>
            <rFont val="Tahoma"/>
            <family val="2"/>
          </rPr>
          <t xml:space="preserve">
</t>
        </r>
      </text>
    </comment>
    <comment ref="M1" authorId="0" shapeId="0" xr:uid="{BC6D0DF9-E7CE-42C1-B882-A53F3265604A}">
      <text>
        <r>
          <rPr>
            <b/>
            <sz val="9"/>
            <color indexed="81"/>
            <rFont val="Tahoma"/>
            <family val="2"/>
          </rPr>
          <t>CRITICAL ERROR - Flag to LC asap, as  import will fail</t>
        </r>
        <r>
          <rPr>
            <sz val="9"/>
            <color indexed="81"/>
            <rFont val="Tahoma"/>
            <family val="2"/>
          </rPr>
          <t xml:space="preserve">
</t>
        </r>
      </text>
    </comment>
    <comment ref="N1" authorId="0" shapeId="0" xr:uid="{CBF4D07F-684A-45A0-BF40-9FBE070DE060}">
      <text>
        <r>
          <rPr>
            <b/>
            <sz val="9"/>
            <color indexed="81"/>
            <rFont val="Tahoma"/>
            <family val="2"/>
          </rPr>
          <t>Employers NI Finance Code not in Finance Codes</t>
        </r>
        <r>
          <rPr>
            <sz val="9"/>
            <color indexed="81"/>
            <rFont val="Tahoma"/>
            <family val="2"/>
          </rPr>
          <t xml:space="preserve">
</t>
        </r>
      </text>
    </comment>
    <comment ref="O1" authorId="0" shapeId="0" xr:uid="{737D5CC7-FD7D-4973-8DCB-DD74D9BE0283}">
      <text>
        <r>
          <rPr>
            <b/>
            <sz val="9"/>
            <color indexed="81"/>
            <rFont val="Tahoma"/>
            <family val="2"/>
          </rPr>
          <t>CRITICAL ERROR - Flag to LC asap, as  import will fail</t>
        </r>
        <r>
          <rPr>
            <sz val="9"/>
            <color indexed="81"/>
            <rFont val="Tahoma"/>
            <family val="2"/>
          </rPr>
          <t xml:space="preserve">
</t>
        </r>
      </text>
    </comment>
    <comment ref="P1" authorId="0" shapeId="0" xr:uid="{20331B06-9BED-4FB3-AD50-E248D079F13A}">
      <text>
        <r>
          <rPr>
            <b/>
            <sz val="9"/>
            <color indexed="81"/>
            <rFont val="Tahoma"/>
            <family val="2"/>
          </rPr>
          <t>Pension Finance Code not in Finance Codes</t>
        </r>
        <r>
          <rPr>
            <sz val="9"/>
            <color indexed="81"/>
            <rFont val="Tahoma"/>
            <family val="2"/>
          </rPr>
          <t xml:space="preserve">
</t>
        </r>
      </text>
    </comment>
    <comment ref="Q1" authorId="0" shapeId="0" xr:uid="{5B704397-8D9E-4C2D-8536-15DEBDA74D7E}">
      <text>
        <r>
          <rPr>
            <b/>
            <sz val="9"/>
            <color indexed="81"/>
            <rFont val="Tahoma"/>
            <family val="2"/>
          </rPr>
          <t>CRITICAL ERROR - Flag to LC asap, as  import will fail</t>
        </r>
        <r>
          <rPr>
            <sz val="9"/>
            <color indexed="81"/>
            <rFont val="Tahoma"/>
            <family val="2"/>
          </rPr>
          <t xml:space="preserve">
</t>
        </r>
      </text>
    </comment>
    <comment ref="R1" authorId="0" shapeId="0" xr:uid="{AC6DCE1C-A386-4B59-BFFA-890612F80F6D}">
      <text>
        <r>
          <rPr>
            <b/>
            <sz val="9"/>
            <color indexed="81"/>
            <rFont val="Tahoma"/>
            <family val="2"/>
          </rPr>
          <t>Weekly FTE Finance Code / Ledger Check</t>
        </r>
      </text>
    </comment>
    <comment ref="S1" authorId="0" shapeId="0" xr:uid="{FE82C709-9932-4030-8031-3162F60A03FD}">
      <text>
        <r>
          <rPr>
            <b/>
            <sz val="9"/>
            <color indexed="81"/>
            <rFont val="Tahoma"/>
            <family val="2"/>
          </rPr>
          <t>Annual FTE Finance Code / Ledger Check</t>
        </r>
      </text>
    </comment>
    <comment ref="T1" authorId="0" shapeId="0" xr:uid="{E06F736E-37E7-477B-9350-8F6915EE7FF9}">
      <text>
        <r>
          <rPr>
            <b/>
            <sz val="9"/>
            <color indexed="81"/>
            <rFont val="Tahoma"/>
            <family val="2"/>
          </rPr>
          <t>Weekly FTE Leave Adj Finance Code / Ledger Check</t>
        </r>
        <r>
          <rPr>
            <sz val="9"/>
            <color indexed="81"/>
            <rFont val="Tahoma"/>
            <family val="2"/>
          </rPr>
          <t xml:space="preserve">
</t>
        </r>
      </text>
    </comment>
    <comment ref="U1" authorId="0" shapeId="0" xr:uid="{E1244061-78DF-4ADA-B10C-F282027DD25C}">
      <text>
        <r>
          <rPr>
            <b/>
            <sz val="9"/>
            <color indexed="81"/>
            <rFont val="Tahoma"/>
            <family val="2"/>
          </rPr>
          <t>Annual FTE Leave Adj Finance Code / Ledger Check</t>
        </r>
        <r>
          <rPr>
            <sz val="9"/>
            <color indexed="81"/>
            <rFont val="Tahoma"/>
            <family val="2"/>
          </rPr>
          <t xml:space="preserve">
</t>
        </r>
      </text>
    </comment>
    <comment ref="W1" authorId="0" shapeId="0" xr:uid="{7F21C803-3125-4A87-8930-BC05F603255D}">
      <text>
        <r>
          <rPr>
            <b/>
            <sz val="9"/>
            <color indexed="81"/>
            <rFont val="Tahoma"/>
            <family val="2"/>
          </rPr>
          <t>SRG Code Length &gt;100</t>
        </r>
        <r>
          <rPr>
            <sz val="9"/>
            <color indexed="81"/>
            <rFont val="Tahoma"/>
            <family val="2"/>
          </rPr>
          <t xml:space="preserve">
</t>
        </r>
      </text>
    </comment>
    <comment ref="X1" authorId="0" shapeId="0" xr:uid="{7951B57B-89B7-4D19-AEF8-689F28A0B497}">
      <text>
        <r>
          <rPr>
            <b/>
            <sz val="9"/>
            <color indexed="81"/>
            <rFont val="Tahoma"/>
            <family val="2"/>
          </rPr>
          <t>SRG Title Length &gt;100</t>
        </r>
      </text>
    </comment>
    <comment ref="Y1" authorId="0" shapeId="0" xr:uid="{04DB6D6D-2276-4916-A975-AAA4D5BC8D47}">
      <text>
        <r>
          <rPr>
            <b/>
            <sz val="9"/>
            <color indexed="81"/>
            <rFont val="Tahoma"/>
            <family val="2"/>
          </rPr>
          <t>Space in Staff Role Group Code</t>
        </r>
        <r>
          <rPr>
            <sz val="9"/>
            <color indexed="81"/>
            <rFont val="Tahoma"/>
            <family val="2"/>
          </rPr>
          <t xml:space="preserve">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C1" authorId="0" shapeId="0" xr:uid="{22F0B266-FB88-4271-9B3A-8047FC04C470}">
      <text>
        <r>
          <rPr>
            <b/>
            <sz val="9"/>
            <color indexed="81"/>
            <rFont val="Tahoma"/>
            <family val="2"/>
          </rPr>
          <t xml:space="preserve">SRG Salary Finance Code not available to School Code
</t>
        </r>
        <r>
          <rPr>
            <sz val="9"/>
            <color indexed="81"/>
            <rFont val="Tahoma"/>
            <family val="2"/>
          </rPr>
          <t xml:space="preserve">
</t>
        </r>
      </text>
    </comment>
    <comment ref="D1" authorId="0" shapeId="0" xr:uid="{E522EDED-F566-4976-BA37-C56695924E59}">
      <text>
        <r>
          <rPr>
            <b/>
            <sz val="9"/>
            <color indexed="81"/>
            <rFont val="Tahoma"/>
            <family val="2"/>
          </rPr>
          <t xml:space="preserve">SRG NI Finance Code not available to School Code
</t>
        </r>
      </text>
    </comment>
    <comment ref="E1" authorId="0" shapeId="0" xr:uid="{C0356A42-DFA4-4D88-A611-88381E7CC8B0}">
      <text>
        <r>
          <rPr>
            <b/>
            <sz val="9"/>
            <color indexed="81"/>
            <rFont val="Tahoma"/>
            <family val="2"/>
          </rPr>
          <t xml:space="preserve">SRG Pension Finance Code not available to School Code
</t>
        </r>
      </text>
    </comment>
    <comment ref="F1" authorId="0" shapeId="0" xr:uid="{44B594A9-30D4-4AAB-9C31-CDF72D201342}">
      <text>
        <r>
          <rPr>
            <b/>
            <sz val="9"/>
            <color indexed="81"/>
            <rFont val="Tahoma"/>
            <family val="2"/>
          </rPr>
          <t>Pay Scale Code not in Pay Scales</t>
        </r>
      </text>
    </comment>
    <comment ref="G1" authorId="1" shapeId="0" xr:uid="{70B63250-D0BE-4184-8857-B42FCB23A5F1}">
      <text>
        <r>
          <rPr>
            <b/>
            <sz val="9"/>
            <color indexed="81"/>
            <rFont val="Tahoma"/>
            <family val="2"/>
          </rPr>
          <t xml:space="preserve">John Dunridge:
</t>
        </r>
        <r>
          <rPr>
            <sz val="9"/>
            <color indexed="81"/>
            <rFont val="Tahoma"/>
            <family val="2"/>
          </rPr>
          <t>If available to all schools = TRUE then does that match the pay scale. If available to all schools = FALSE do the schools have access to the Payscale.</t>
        </r>
      </text>
    </comment>
    <comment ref="H1" authorId="0" shapeId="0" xr:uid="{9CB9400E-4B45-431C-89C4-3294387B0524}">
      <text>
        <r>
          <rPr>
            <b/>
            <sz val="9"/>
            <color indexed="81"/>
            <rFont val="Tahoma"/>
            <family val="2"/>
          </rPr>
          <t>Available all schools TRUE/FALSE + School Codes if applicable</t>
        </r>
        <r>
          <rPr>
            <sz val="9"/>
            <color indexed="81"/>
            <rFont val="Tahoma"/>
            <family val="2"/>
          </rPr>
          <t xml:space="preserve">
</t>
        </r>
      </text>
    </comment>
    <comment ref="J1" authorId="0" shapeId="0" xr:uid="{F2F67B15-1024-4CF2-A107-06DC287B1531}">
      <text>
        <r>
          <rPr>
            <b/>
            <sz val="9"/>
            <color indexed="81"/>
            <rFont val="Tahoma"/>
            <family val="2"/>
          </rPr>
          <t>Role Code Length &gt;100</t>
        </r>
        <r>
          <rPr>
            <sz val="9"/>
            <color indexed="81"/>
            <rFont val="Tahoma"/>
            <family val="2"/>
          </rPr>
          <t xml:space="preserve">
</t>
        </r>
      </text>
    </comment>
    <comment ref="K1" authorId="0" shapeId="0" xr:uid="{9ADAB599-52E2-46F6-AC61-7A072648DCCB}">
      <text>
        <r>
          <rPr>
            <b/>
            <sz val="9"/>
            <color indexed="81"/>
            <rFont val="Tahoma"/>
            <family val="2"/>
          </rPr>
          <t>Role Title Length &gt;100</t>
        </r>
      </text>
    </comment>
    <comment ref="M1" authorId="0" shapeId="0" xr:uid="{013E17E3-BE67-481F-BD3A-A036C1BDFA95}">
      <text>
        <r>
          <rPr>
            <b/>
            <sz val="9"/>
            <color indexed="81"/>
            <rFont val="Tahoma"/>
            <family val="2"/>
          </rPr>
          <t>Space in Staff Role Code</t>
        </r>
        <r>
          <rPr>
            <sz val="9"/>
            <color indexed="81"/>
            <rFont val="Tahoma"/>
            <family val="2"/>
          </rPr>
          <t xml:space="preserve">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D1" authorId="0" shapeId="0" xr:uid="{FDE96755-58BD-438D-9EE2-4234A8D09C25}">
      <text>
        <r>
          <rPr>
            <b/>
            <sz val="9"/>
            <color indexed="81"/>
            <rFont val="Tahoma"/>
            <family val="2"/>
          </rPr>
          <t>School Code not in Schools</t>
        </r>
        <r>
          <rPr>
            <sz val="9"/>
            <color indexed="81"/>
            <rFont val="Tahoma"/>
            <family val="2"/>
          </rPr>
          <t xml:space="preserve">
</t>
        </r>
      </text>
    </comment>
    <comment ref="E1" authorId="0" shapeId="0" xr:uid="{3F2DAE70-E325-468F-B679-62584625ADCB}">
      <text>
        <r>
          <rPr>
            <b/>
            <sz val="9"/>
            <color indexed="81"/>
            <rFont val="Tahoma"/>
            <family val="2"/>
          </rPr>
          <t>Available all schools TRUE/FALSE + School Codes if applicable</t>
        </r>
        <r>
          <rPr>
            <sz val="9"/>
            <color indexed="81"/>
            <rFont val="Tahoma"/>
            <family val="2"/>
          </rPr>
          <t xml:space="preserve">
</t>
        </r>
      </text>
    </comment>
    <comment ref="F1" authorId="0" shapeId="0" xr:uid="{D3A62B4E-2D8F-4A3D-8AF8-41E00DD2A718}">
      <text>
        <r>
          <rPr>
            <b/>
            <sz val="9"/>
            <color indexed="81"/>
            <rFont val="Tahoma"/>
            <family val="2"/>
          </rPr>
          <t>Service End Date To is before Service Start Date</t>
        </r>
      </text>
    </comment>
    <comment ref="G1" authorId="1" shapeId="0" xr:uid="{C90E1241-B181-445F-A9C4-CDDAB3860C64}">
      <text>
        <r>
          <rPr>
            <sz val="9"/>
            <color indexed="81"/>
            <rFont val="Tahoma"/>
            <family val="2"/>
          </rPr>
          <t xml:space="preserve">Checks that the Date fields are using the correct data type
</t>
        </r>
      </text>
    </comment>
    <comment ref="I1" authorId="0" shapeId="0" xr:uid="{0348DB40-F360-4739-8012-38BBE43CA9BF}">
      <text>
        <r>
          <rPr>
            <b/>
            <sz val="9"/>
            <color indexed="81"/>
            <rFont val="Tahoma"/>
            <family val="2"/>
          </rPr>
          <t>Sraff Member Code Length &gt;100</t>
        </r>
        <r>
          <rPr>
            <sz val="9"/>
            <color indexed="81"/>
            <rFont val="Tahoma"/>
            <family val="2"/>
          </rPr>
          <t xml:space="preserve">
</t>
        </r>
      </text>
    </comment>
    <comment ref="J1" authorId="0" shapeId="0" xr:uid="{7F97EF25-A15E-4504-9C1D-7049CBC73CAF}">
      <text>
        <r>
          <rPr>
            <b/>
            <sz val="9"/>
            <color indexed="81"/>
            <rFont val="Tahoma"/>
            <family val="2"/>
          </rPr>
          <t>Staff Member Title Length &gt;100</t>
        </r>
      </text>
    </comment>
    <comment ref="L1" authorId="0" shapeId="0" xr:uid="{CDA22C53-CB23-4684-970D-33E0B504FF56}">
      <text>
        <r>
          <rPr>
            <b/>
            <sz val="9"/>
            <color indexed="81"/>
            <rFont val="Tahoma"/>
            <family val="2"/>
          </rPr>
          <t xml:space="preserve">if error - Staff Member Code column needs to be formatted as Text (and re-enter data)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B1" authorId="0" shapeId="0" xr:uid="{FAFEAFDF-FF6E-4EB1-AF0C-5A6BABBA51E9}">
      <text>
        <r>
          <rPr>
            <b/>
            <sz val="9"/>
            <color indexed="81"/>
            <rFont val="Tahoma"/>
            <family val="2"/>
          </rPr>
          <t>Contract needs a Reference</t>
        </r>
        <r>
          <rPr>
            <sz val="9"/>
            <color indexed="81"/>
            <rFont val="Tahoma"/>
            <family val="2"/>
          </rPr>
          <t xml:space="preserve">
</t>
        </r>
      </text>
    </comment>
    <comment ref="C1" authorId="0" shapeId="0" xr:uid="{E23C0AC3-81D0-48B5-9C45-7AFA879678B1}">
      <text>
        <r>
          <rPr>
            <b/>
            <sz val="9"/>
            <color indexed="81"/>
            <rFont val="Tahoma"/>
            <family val="2"/>
          </rPr>
          <t>Location not available to Staff Member (in Staff Members)</t>
        </r>
        <r>
          <rPr>
            <sz val="9"/>
            <color indexed="81"/>
            <rFont val="Tahoma"/>
            <family val="2"/>
          </rPr>
          <t xml:space="preserve">
</t>
        </r>
      </text>
    </comment>
    <comment ref="D1" authorId="0" shapeId="0" xr:uid="{B79DD0C6-CA94-4CB8-B0E0-3B2753C413BA}">
      <text>
        <r>
          <rPr>
            <b/>
            <sz val="9"/>
            <color indexed="81"/>
            <rFont val="Tahoma"/>
            <family val="2"/>
          </rPr>
          <t>Role not available to School</t>
        </r>
      </text>
    </comment>
    <comment ref="E1" authorId="0" shapeId="0" xr:uid="{ED9D783C-8C5E-4583-8FF8-1121F9ABC256}">
      <text>
        <r>
          <rPr>
            <b/>
            <sz val="9"/>
            <color indexed="81"/>
            <rFont val="Tahoma"/>
            <family val="2"/>
          </rPr>
          <t>Check Finance Code For SRG</t>
        </r>
        <r>
          <rPr>
            <sz val="9"/>
            <color indexed="81"/>
            <rFont val="Tahoma"/>
            <family val="2"/>
          </rPr>
          <t xml:space="preserve">
</t>
        </r>
      </text>
    </comment>
    <comment ref="F1" authorId="0" shapeId="0" xr:uid="{C9D8CCF8-2FF8-495B-A27F-1A97838A653D}">
      <text>
        <r>
          <rPr>
            <b/>
            <sz val="9"/>
            <color indexed="81"/>
            <rFont val="Tahoma"/>
            <family val="2"/>
          </rPr>
          <t>Pay Scale not available to School</t>
        </r>
      </text>
    </comment>
    <comment ref="G1" authorId="0" shapeId="0" xr:uid="{1E9BD493-F256-4752-970C-E87F7610B68E}">
      <text>
        <r>
          <rPr>
            <b/>
            <sz val="9"/>
            <color indexed="81"/>
            <rFont val="Tahoma"/>
            <family val="2"/>
          </rPr>
          <t>Grade Code not available to School</t>
        </r>
      </text>
    </comment>
    <comment ref="H1" authorId="0" shapeId="0" xr:uid="{277F99FA-740B-4ADB-A132-04C7C8AF18C4}">
      <text>
        <r>
          <rPr>
            <b/>
            <sz val="9"/>
            <color indexed="81"/>
            <rFont val="Tahoma"/>
            <family val="2"/>
          </rPr>
          <t>Grade Code not in Pay Scale Grades</t>
        </r>
        <r>
          <rPr>
            <sz val="9"/>
            <color indexed="81"/>
            <rFont val="Tahoma"/>
            <family val="2"/>
          </rPr>
          <t xml:space="preserve">
</t>
        </r>
      </text>
    </comment>
    <comment ref="I1" authorId="0" shapeId="0" xr:uid="{21307DB7-232B-4892-A616-8EBD57E74D1F}">
      <text>
        <r>
          <rPr>
            <b/>
            <sz val="9"/>
            <color indexed="81"/>
            <rFont val="Tahoma"/>
            <family val="2"/>
          </rPr>
          <t>Scale Point code not in Pay Scale</t>
        </r>
        <r>
          <rPr>
            <sz val="9"/>
            <color indexed="81"/>
            <rFont val="Tahoma"/>
            <family val="2"/>
          </rPr>
          <t xml:space="preserve">
</t>
        </r>
      </text>
    </comment>
    <comment ref="J1" authorId="0" shapeId="0" xr:uid="{AE8B4E51-8E01-45D0-854F-6AE4C446DD5C}">
      <text>
        <r>
          <rPr>
            <b/>
            <sz val="9"/>
            <color indexed="81"/>
            <rFont val="Tahoma"/>
            <family val="2"/>
          </rPr>
          <t>Scale point code not in Grade points range</t>
        </r>
      </text>
    </comment>
    <comment ref="K1" authorId="0" shapeId="0" xr:uid="{43443C2A-F9D4-459E-8F2A-4E792EE530B6}">
      <text>
        <r>
          <rPr>
            <b/>
            <sz val="9"/>
            <color indexed="81"/>
            <rFont val="Tahoma"/>
            <family val="2"/>
          </rPr>
          <t>Scale Point Code is disabled in one or more Pay Scales - check scale for this contract line</t>
        </r>
      </text>
    </comment>
    <comment ref="L1" authorId="0" shapeId="0" xr:uid="{B3C296E0-48DE-4663-9A68-A11CE06D25FA}">
      <text>
        <r>
          <rPr>
            <b/>
            <sz val="9"/>
            <color indexed="81"/>
            <rFont val="Tahoma"/>
            <family val="2"/>
          </rPr>
          <t>Dept not available to School</t>
        </r>
      </text>
    </comment>
    <comment ref="M1" authorId="1" shapeId="0" xr:uid="{363F649C-E0F1-4ECA-8460-751A621CDD64}">
      <text>
        <r>
          <rPr>
            <b/>
            <sz val="9"/>
            <color indexed="81"/>
            <rFont val="Tahoma"/>
            <family val="2"/>
          </rPr>
          <t xml:space="preserve">Are the finance code and the department code on the same ledger?
</t>
        </r>
      </text>
    </comment>
    <comment ref="N1" authorId="0" shapeId="0" xr:uid="{26E707AB-7B4A-4146-9A03-76FA56E86289}">
      <text>
        <r>
          <rPr>
            <b/>
            <sz val="9"/>
            <color indexed="81"/>
            <rFont val="Tahoma"/>
            <family val="2"/>
          </rPr>
          <t>Pension Code not in Pensions</t>
        </r>
      </text>
    </comment>
    <comment ref="O1" authorId="0" shapeId="0" xr:uid="{A70F79D1-6D71-4001-BE31-C0BF551A94EA}">
      <text>
        <r>
          <rPr>
            <b/>
            <sz val="9"/>
            <color indexed="81"/>
            <rFont val="Tahoma"/>
            <family val="2"/>
          </rPr>
          <t>EQWP Code not in EQWP</t>
        </r>
      </text>
    </comment>
    <comment ref="P1" authorId="0" shapeId="0" xr:uid="{217C17DE-314D-4EF1-8087-A3F458584396}">
      <text>
        <r>
          <rPr>
            <b/>
            <sz val="9"/>
            <color indexed="81"/>
            <rFont val="Tahoma"/>
            <family val="2"/>
          </rPr>
          <t>Contract Type code not in Contract Types</t>
        </r>
        <r>
          <rPr>
            <sz val="9"/>
            <color indexed="81"/>
            <rFont val="Tahoma"/>
            <family val="2"/>
          </rPr>
          <t xml:space="preserve">
</t>
        </r>
      </text>
    </comment>
    <comment ref="Q1" authorId="0" shapeId="0" xr:uid="{7A837CFE-9140-4987-9F59-5FAB106E288A}">
      <text>
        <r>
          <rPr>
            <b/>
            <sz val="9"/>
            <color indexed="81"/>
            <rFont val="Tahoma"/>
            <family val="2"/>
          </rPr>
          <t>Contract From Date pre-dates Service Start Date (in Staff Members)</t>
        </r>
      </text>
    </comment>
    <comment ref="R1" authorId="0" shapeId="0" xr:uid="{3544C471-9726-4B05-8BE9-BA6AAA669EB9}">
      <text>
        <r>
          <rPr>
            <b/>
            <sz val="9"/>
            <color indexed="81"/>
            <rFont val="Tahoma"/>
            <family val="2"/>
          </rPr>
          <t>Contract To Date is after Service End Date (in Staff Members)</t>
        </r>
      </text>
    </comment>
    <comment ref="S1" authorId="0" shapeId="0" xr:uid="{572C713A-03B0-4A7A-9139-B7D159964307}">
      <text>
        <r>
          <rPr>
            <b/>
            <sz val="9"/>
            <color indexed="81"/>
            <rFont val="Tahoma"/>
            <family val="2"/>
          </rPr>
          <t>Date To is before Date From</t>
        </r>
      </text>
    </comment>
    <comment ref="T1" authorId="1" shapeId="0" xr:uid="{1920DAC5-CCFC-44E1-B501-718EC0A8F3C8}">
      <text>
        <r>
          <rPr>
            <sz val="9"/>
            <color indexed="81"/>
            <rFont val="Tahoma"/>
            <family val="2"/>
          </rPr>
          <t xml:space="preserve">Checks that the Date fields are using the correct data type
</t>
        </r>
      </text>
    </comment>
    <comment ref="V1" authorId="0" shapeId="0" xr:uid="{A3C23987-6C90-40D2-8267-49E7B958BAEB}">
      <text>
        <r>
          <rPr>
            <b/>
            <sz val="9"/>
            <color indexed="81"/>
            <rFont val="Tahoma"/>
            <family val="2"/>
          </rPr>
          <t>Fund Code not in Fund Codes</t>
        </r>
      </text>
    </comment>
    <comment ref="W1" authorId="0" shapeId="0" xr:uid="{58892ECE-CA1D-4FFA-8A50-EB4B948D0898}">
      <text>
        <r>
          <rPr>
            <b/>
            <sz val="9"/>
            <color indexed="81"/>
            <rFont val="Tahoma"/>
            <family val="2"/>
          </rPr>
          <t>Notes Length &gt;4000</t>
        </r>
        <r>
          <rPr>
            <sz val="9"/>
            <color indexed="81"/>
            <rFont val="Tahoma"/>
            <family val="2"/>
          </rPr>
          <t xml:space="preserve">
</t>
        </r>
      </text>
    </comment>
    <comment ref="X1" authorId="0" shapeId="0" xr:uid="{D950EE24-6797-487A-A838-02DE1716E9E6}">
      <text>
        <r>
          <rPr>
            <b/>
            <sz val="9"/>
            <color indexed="81"/>
            <rFont val="Tahoma"/>
            <family val="2"/>
          </rPr>
          <t>Space in Reference (this is a code)</t>
        </r>
        <r>
          <rPr>
            <sz val="9"/>
            <color indexed="81"/>
            <rFont val="Tahoma"/>
            <family val="2"/>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B1" authorId="0" shapeId="0" xr:uid="{A2C852DD-AC9F-43C6-B232-4FB5E6B416F2}">
      <text>
        <r>
          <rPr>
            <b/>
            <sz val="9"/>
            <color indexed="81"/>
            <rFont val="Tahoma"/>
            <family val="2"/>
          </rPr>
          <t>Contract needs a Reference</t>
        </r>
        <r>
          <rPr>
            <sz val="9"/>
            <color indexed="81"/>
            <rFont val="Tahoma"/>
            <family val="2"/>
          </rPr>
          <t xml:space="preserve">
</t>
        </r>
      </text>
    </comment>
    <comment ref="C1" authorId="0" shapeId="0" xr:uid="{030286B6-A0F7-4409-A039-921F932516C4}">
      <text>
        <r>
          <rPr>
            <b/>
            <sz val="9"/>
            <color indexed="81"/>
            <rFont val="Tahoma"/>
            <family val="2"/>
          </rPr>
          <t>Location not available to Staff Member (in Staff Members)</t>
        </r>
        <r>
          <rPr>
            <sz val="9"/>
            <color indexed="81"/>
            <rFont val="Tahoma"/>
            <family val="2"/>
          </rPr>
          <t xml:space="preserve">
</t>
        </r>
      </text>
    </comment>
    <comment ref="D1" authorId="0" shapeId="0" xr:uid="{CC8CBAE3-0BC1-4C45-8972-DE8DB8092B19}">
      <text>
        <r>
          <rPr>
            <b/>
            <sz val="9"/>
            <color indexed="81"/>
            <rFont val="Tahoma"/>
            <family val="2"/>
          </rPr>
          <t>Role not available to School</t>
        </r>
      </text>
    </comment>
    <comment ref="E1" authorId="0" shapeId="0" xr:uid="{95144BB3-C8F2-4F3B-AB0F-BB19ABD8F23C}">
      <text>
        <r>
          <rPr>
            <b/>
            <sz val="9"/>
            <color indexed="81"/>
            <rFont val="Tahoma"/>
            <family val="2"/>
          </rPr>
          <t>Check Finance Code For SRG</t>
        </r>
        <r>
          <rPr>
            <sz val="9"/>
            <color indexed="81"/>
            <rFont val="Tahoma"/>
            <family val="2"/>
          </rPr>
          <t xml:space="preserve">
</t>
        </r>
      </text>
    </comment>
    <comment ref="F1" authorId="0" shapeId="0" xr:uid="{A305A578-5918-452A-B3C3-71CAEDB0A953}">
      <text>
        <r>
          <rPr>
            <b/>
            <sz val="9"/>
            <color indexed="81"/>
            <rFont val="Tahoma"/>
            <family val="2"/>
          </rPr>
          <t>Pay Scale not available to School</t>
        </r>
      </text>
    </comment>
    <comment ref="G1" authorId="0" shapeId="0" xr:uid="{DC99C574-EEC5-4FF0-A757-CCC2AABD78C8}">
      <text>
        <r>
          <rPr>
            <b/>
            <sz val="9"/>
            <color indexed="81"/>
            <rFont val="Tahoma"/>
            <family val="2"/>
          </rPr>
          <t>Grade Code not available to School</t>
        </r>
      </text>
    </comment>
    <comment ref="H1" authorId="0" shapeId="0" xr:uid="{15AE5AD5-2357-43EA-85B2-22317EC30056}">
      <text>
        <r>
          <rPr>
            <b/>
            <sz val="9"/>
            <color indexed="81"/>
            <rFont val="Tahoma"/>
            <family val="2"/>
          </rPr>
          <t>Grade Code not in Pay Scale Grades</t>
        </r>
        <r>
          <rPr>
            <sz val="9"/>
            <color indexed="81"/>
            <rFont val="Tahoma"/>
            <family val="2"/>
          </rPr>
          <t xml:space="preserve">
</t>
        </r>
      </text>
    </comment>
    <comment ref="I1" authorId="0" shapeId="0" xr:uid="{2CC9E05A-A776-4FED-9AC4-BEC7D30D3D21}">
      <text>
        <r>
          <rPr>
            <b/>
            <sz val="9"/>
            <color indexed="81"/>
            <rFont val="Tahoma"/>
            <family val="2"/>
          </rPr>
          <t>Scale Point code not in Pay Scale</t>
        </r>
        <r>
          <rPr>
            <sz val="9"/>
            <color indexed="81"/>
            <rFont val="Tahoma"/>
            <family val="2"/>
          </rPr>
          <t xml:space="preserve">
</t>
        </r>
      </text>
    </comment>
    <comment ref="J1" authorId="0" shapeId="0" xr:uid="{B03068B6-D9BF-46E0-8E52-49B70D41A828}">
      <text>
        <r>
          <rPr>
            <b/>
            <sz val="9"/>
            <color indexed="81"/>
            <rFont val="Tahoma"/>
            <family val="2"/>
          </rPr>
          <t>Scale point code not in Grade points range</t>
        </r>
      </text>
    </comment>
    <comment ref="K1" authorId="0" shapeId="0" xr:uid="{5B6F10D4-11B1-400F-9EA7-D799028AA8A6}">
      <text>
        <r>
          <rPr>
            <b/>
            <sz val="9"/>
            <color indexed="81"/>
            <rFont val="Tahoma"/>
            <family val="2"/>
          </rPr>
          <t>Scale Point Code is disabled in one or more Pay Scales - check scale for this contract line</t>
        </r>
      </text>
    </comment>
    <comment ref="L1" authorId="0" shapeId="0" xr:uid="{F28EF990-A65F-41F7-AFB4-55EDB84A4DAF}">
      <text>
        <r>
          <rPr>
            <b/>
            <sz val="9"/>
            <color indexed="81"/>
            <rFont val="Tahoma"/>
            <family val="2"/>
          </rPr>
          <t>Dept not available to School</t>
        </r>
      </text>
    </comment>
    <comment ref="M1" authorId="1" shapeId="0" xr:uid="{054F3716-6B40-463D-B958-513D3777255B}">
      <text>
        <r>
          <rPr>
            <b/>
            <sz val="9"/>
            <color indexed="81"/>
            <rFont val="Tahoma"/>
            <family val="2"/>
          </rPr>
          <t xml:space="preserve">Are the finance code and the department code on the same ledger?
</t>
        </r>
      </text>
    </comment>
    <comment ref="N1" authorId="0" shapeId="0" xr:uid="{AA7B018F-0378-4BB3-A7EC-EA9BBD6C2BCD}">
      <text>
        <r>
          <rPr>
            <b/>
            <sz val="9"/>
            <color indexed="81"/>
            <rFont val="Tahoma"/>
            <family val="2"/>
          </rPr>
          <t>Pension Code not in Pensions</t>
        </r>
      </text>
    </comment>
    <comment ref="O1" authorId="0" shapeId="0" xr:uid="{8E8485E1-7E17-4CB0-83C8-0C2543FC77B8}">
      <text>
        <r>
          <rPr>
            <b/>
            <sz val="9"/>
            <color indexed="81"/>
            <rFont val="Tahoma"/>
            <family val="2"/>
          </rPr>
          <t>EQWP Code not in EQWP</t>
        </r>
      </text>
    </comment>
    <comment ref="P1" authorId="0" shapeId="0" xr:uid="{6D87BBC9-687B-4F1F-A25A-1371C4076D3B}">
      <text>
        <r>
          <rPr>
            <b/>
            <sz val="9"/>
            <color indexed="81"/>
            <rFont val="Tahoma"/>
            <family val="2"/>
          </rPr>
          <t>Contract Type code not in Contract Types</t>
        </r>
        <r>
          <rPr>
            <sz val="9"/>
            <color indexed="81"/>
            <rFont val="Tahoma"/>
            <family val="2"/>
          </rPr>
          <t xml:space="preserve">
</t>
        </r>
      </text>
    </comment>
    <comment ref="Q1" authorId="0" shapeId="0" xr:uid="{2F496226-C425-4F5B-9C5D-D3099000D5C8}">
      <text>
        <r>
          <rPr>
            <b/>
            <sz val="9"/>
            <color indexed="81"/>
            <rFont val="Tahoma"/>
            <family val="2"/>
          </rPr>
          <t>Contract From Date pre-dates Service Start Date (in Staff Members)</t>
        </r>
      </text>
    </comment>
    <comment ref="R1" authorId="0" shapeId="0" xr:uid="{1B95D011-7BB2-475F-A446-5AA5D258C818}">
      <text>
        <r>
          <rPr>
            <b/>
            <sz val="9"/>
            <color indexed="81"/>
            <rFont val="Tahoma"/>
            <family val="2"/>
          </rPr>
          <t>Contract To Date is after Service End Date (in Staff Members)</t>
        </r>
      </text>
    </comment>
    <comment ref="S1" authorId="0" shapeId="0" xr:uid="{925489F5-07B6-4352-8032-41D979154923}">
      <text>
        <r>
          <rPr>
            <b/>
            <sz val="9"/>
            <color indexed="81"/>
            <rFont val="Tahoma"/>
            <family val="2"/>
          </rPr>
          <t>Date To is before Date From</t>
        </r>
      </text>
    </comment>
    <comment ref="T1" authorId="1" shapeId="0" xr:uid="{C471B874-D4FC-42CD-A00D-81C233007026}">
      <text>
        <r>
          <rPr>
            <sz val="9"/>
            <color indexed="81"/>
            <rFont val="Tahoma"/>
            <family val="2"/>
          </rPr>
          <t xml:space="preserve">Checks that the Date fields are using the correct data type
</t>
        </r>
      </text>
    </comment>
    <comment ref="V1" authorId="0" shapeId="0" xr:uid="{30EC63F2-35D2-446C-9C81-7C11BB569B28}">
      <text>
        <r>
          <rPr>
            <b/>
            <sz val="9"/>
            <color indexed="81"/>
            <rFont val="Tahoma"/>
            <family val="2"/>
          </rPr>
          <t>Fund Code not in Fund Codes</t>
        </r>
      </text>
    </comment>
    <comment ref="W1" authorId="0" shapeId="0" xr:uid="{301301EE-2F24-470E-A7F2-82E9BCC7A800}">
      <text>
        <r>
          <rPr>
            <b/>
            <sz val="9"/>
            <color indexed="81"/>
            <rFont val="Tahoma"/>
            <family val="2"/>
          </rPr>
          <t>Notes Length &gt;4000</t>
        </r>
        <r>
          <rPr>
            <sz val="9"/>
            <color indexed="81"/>
            <rFont val="Tahoma"/>
            <family val="2"/>
          </rPr>
          <t xml:space="preserve">
</t>
        </r>
      </text>
    </comment>
    <comment ref="X1" authorId="0" shapeId="0" xr:uid="{5828F310-EEFB-4354-A31E-87485CDA9F79}">
      <text>
        <r>
          <rPr>
            <b/>
            <sz val="9"/>
            <color indexed="81"/>
            <rFont val="Tahoma"/>
            <family val="2"/>
          </rPr>
          <t>Space in Reference Code</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C1" authorId="0" shapeId="0" xr:uid="{72E693C3-2186-4195-8379-AA02F520DA7C}">
      <text>
        <r>
          <rPr>
            <b/>
            <sz val="9"/>
            <color indexed="81"/>
            <rFont val="Tahoma"/>
            <family val="2"/>
          </rPr>
          <t>Contract not in Contracts Teach / Contracts Support</t>
        </r>
        <r>
          <rPr>
            <sz val="9"/>
            <color indexed="81"/>
            <rFont val="Tahoma"/>
            <family val="2"/>
          </rPr>
          <t xml:space="preserve">
</t>
        </r>
      </text>
    </comment>
    <comment ref="D1" authorId="0" shapeId="0" xr:uid="{B1327E94-B598-418D-81F6-45801BC95F57}">
      <text>
        <r>
          <rPr>
            <b/>
            <sz val="9"/>
            <color indexed="81"/>
            <rFont val="Tahoma"/>
            <family val="2"/>
          </rPr>
          <t>point code not available to school</t>
        </r>
        <r>
          <rPr>
            <sz val="9"/>
            <color indexed="81"/>
            <rFont val="Tahoma"/>
            <family val="2"/>
          </rPr>
          <t xml:space="preserve">
</t>
        </r>
      </text>
    </comment>
    <comment ref="E1" authorId="0" shapeId="0" xr:uid="{FBA7E218-F850-4DAD-9F84-9203D5E03441}">
      <text>
        <r>
          <rPr>
            <b/>
            <sz val="9"/>
            <color indexed="81"/>
            <rFont val="Tahoma"/>
            <family val="2"/>
          </rPr>
          <t>Dept not available to School</t>
        </r>
      </text>
    </comment>
    <comment ref="F1" authorId="0" shapeId="0" xr:uid="{3AD65771-5EB5-4DF6-B15A-413193F9A266}">
      <text>
        <r>
          <rPr>
            <b/>
            <sz val="9"/>
            <color indexed="81"/>
            <rFont val="Tahoma"/>
            <family val="2"/>
          </rPr>
          <t>Allowance Code is not in Allowance Types</t>
        </r>
        <r>
          <rPr>
            <sz val="9"/>
            <color indexed="81"/>
            <rFont val="Tahoma"/>
            <family val="2"/>
          </rPr>
          <t xml:space="preserve">
</t>
        </r>
      </text>
    </comment>
    <comment ref="G1" authorId="0" shapeId="0" xr:uid="{1655D549-71A7-4FC0-8DE6-8F6788EBE1E2}">
      <text>
        <r>
          <rPr>
            <b/>
            <sz val="9"/>
            <color indexed="81"/>
            <rFont val="Tahoma"/>
            <family val="2"/>
          </rPr>
          <t>Allowance Point Code is not in Allowance Type Points</t>
        </r>
        <r>
          <rPr>
            <sz val="9"/>
            <color indexed="81"/>
            <rFont val="Tahoma"/>
            <family val="2"/>
          </rPr>
          <t xml:space="preserve">
</t>
        </r>
      </text>
    </comment>
    <comment ref="H1" authorId="0" shapeId="0" xr:uid="{BC1C0A69-4496-472F-AAD1-9AED5458589C}">
      <text>
        <r>
          <rPr>
            <b/>
            <sz val="9"/>
            <color indexed="81"/>
            <rFont val="Tahoma"/>
            <family val="2"/>
          </rPr>
          <t>If 2 same allowances is correct for one person, then create a code for second allowance (same type #2) in Allowance Type Point</t>
        </r>
        <r>
          <rPr>
            <sz val="9"/>
            <color indexed="81"/>
            <rFont val="Tahoma"/>
            <family val="2"/>
          </rPr>
          <t xml:space="preserve">
</t>
        </r>
      </text>
    </comment>
    <comment ref="I1" authorId="0" shapeId="0" xr:uid="{B62D6D72-4662-42AB-BE0D-B32DADCEBA05}">
      <text>
        <r>
          <rPr>
            <b/>
            <sz val="9"/>
            <color indexed="81"/>
            <rFont val="Tahoma"/>
            <family val="2"/>
          </rPr>
          <t>Allowance Date From pre-dates Contract Date From</t>
        </r>
        <r>
          <rPr>
            <sz val="9"/>
            <color indexed="81"/>
            <rFont val="Tahoma"/>
            <family val="2"/>
          </rPr>
          <t xml:space="preserve">
</t>
        </r>
      </text>
    </comment>
    <comment ref="J1" authorId="0" shapeId="0" xr:uid="{B67EF39B-9261-499E-B145-285AA7BF44A9}">
      <text>
        <r>
          <rPr>
            <b/>
            <sz val="9"/>
            <color indexed="81"/>
            <rFont val="Tahoma"/>
            <family val="2"/>
          </rPr>
          <t>Contract Date To is before Contract Date From</t>
        </r>
        <r>
          <rPr>
            <sz val="9"/>
            <color indexed="81"/>
            <rFont val="Tahoma"/>
            <family val="2"/>
          </rPr>
          <t xml:space="preserve">
</t>
        </r>
      </text>
    </comment>
    <comment ref="K1" authorId="0" shapeId="0" xr:uid="{9560B233-0B24-411E-9E70-704E73B97151}">
      <text>
        <r>
          <rPr>
            <b/>
            <sz val="9"/>
            <color indexed="81"/>
            <rFont val="Tahoma"/>
            <family val="2"/>
          </rPr>
          <t>Allowance Date To is before Allowance Date From</t>
        </r>
        <r>
          <rPr>
            <sz val="9"/>
            <color indexed="81"/>
            <rFont val="Tahoma"/>
            <family val="2"/>
          </rPr>
          <t xml:space="preserve">
</t>
        </r>
      </text>
    </comment>
    <comment ref="L1" authorId="1" shapeId="0" xr:uid="{79C47186-237D-492C-B27C-6FB483546E57}">
      <text>
        <r>
          <rPr>
            <sz val="9"/>
            <color indexed="81"/>
            <rFont val="Tahoma"/>
            <family val="2"/>
          </rPr>
          <t xml:space="preserve">Checks that the Date fields are using the correct data type
</t>
        </r>
      </text>
    </comment>
    <comment ref="N1" authorId="0" shapeId="0" xr:uid="{B75DE8C8-D74D-47F0-9B12-837CEF212AE6}">
      <text>
        <r>
          <rPr>
            <b/>
            <sz val="9"/>
            <color indexed="81"/>
            <rFont val="Tahoma"/>
            <family val="2"/>
          </rPr>
          <t>Notes Length &gt;4000</t>
        </r>
        <r>
          <rPr>
            <sz val="9"/>
            <color indexed="81"/>
            <rFont val="Tahoma"/>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C1" authorId="0" shapeId="0" xr:uid="{B658AD3E-79F8-4CC4-AD2C-E7583502CA3C}">
      <text>
        <r>
          <rPr>
            <b/>
            <sz val="9"/>
            <color indexed="81"/>
            <rFont val="Tahoma"/>
            <family val="2"/>
          </rPr>
          <t>Contract not in Contracts Teach / Contracts Support</t>
        </r>
        <r>
          <rPr>
            <sz val="9"/>
            <color indexed="81"/>
            <rFont val="Tahoma"/>
            <family val="2"/>
          </rPr>
          <t xml:space="preserve">
</t>
        </r>
      </text>
    </comment>
    <comment ref="D1" authorId="0" shapeId="0" xr:uid="{BE9CCE36-EDDA-479E-86A4-4B0A3EAFC863}">
      <text>
        <r>
          <rPr>
            <b/>
            <sz val="9"/>
            <color indexed="81"/>
            <rFont val="Tahoma"/>
            <family val="2"/>
          </rPr>
          <t>Dept not available to School</t>
        </r>
      </text>
    </comment>
    <comment ref="E1" authorId="0" shapeId="0" xr:uid="{3B8ABF92-8717-41F0-A87E-BD8271076B07}">
      <text>
        <r>
          <rPr>
            <b/>
            <sz val="9"/>
            <color indexed="81"/>
            <rFont val="Tahoma"/>
            <family val="2"/>
          </rPr>
          <t>Adjustment Code is not in Adjustment Types</t>
        </r>
        <r>
          <rPr>
            <sz val="9"/>
            <color indexed="81"/>
            <rFont val="Tahoma"/>
            <family val="2"/>
          </rPr>
          <t xml:space="preserve">
</t>
        </r>
      </text>
    </comment>
    <comment ref="F1" authorId="0" shapeId="0" xr:uid="{8C5371EC-B65B-4976-83B7-9DC37C9A1B6F}">
      <text>
        <r>
          <rPr>
            <b/>
            <sz val="9"/>
            <color indexed="81"/>
            <rFont val="Tahoma"/>
            <family val="2"/>
          </rPr>
          <t>If 2 same adjustments is correct for one person, then create a code for second adjustment (#2) in Adjustment Types</t>
        </r>
        <r>
          <rPr>
            <sz val="9"/>
            <color indexed="81"/>
            <rFont val="Tahoma"/>
            <family val="2"/>
          </rPr>
          <t xml:space="preserve">
</t>
        </r>
      </text>
    </comment>
    <comment ref="G1" authorId="0" shapeId="0" xr:uid="{1AF0F4D0-4E1F-4CE5-997C-F77425BB7EC9}">
      <text>
        <r>
          <rPr>
            <b/>
            <sz val="9"/>
            <color indexed="81"/>
            <rFont val="Tahoma"/>
            <family val="2"/>
          </rPr>
          <t>Adjustment Date From pre-dates Contract Date From</t>
        </r>
        <r>
          <rPr>
            <sz val="9"/>
            <color indexed="81"/>
            <rFont val="Tahoma"/>
            <family val="2"/>
          </rPr>
          <t xml:space="preserve">
</t>
        </r>
      </text>
    </comment>
    <comment ref="H1" authorId="0" shapeId="0" xr:uid="{F0976C2D-6314-4665-AE7C-E4E9AB9FAF68}">
      <text>
        <r>
          <rPr>
            <b/>
            <sz val="9"/>
            <color indexed="81"/>
            <rFont val="Tahoma"/>
            <family val="2"/>
          </rPr>
          <t>Contract Date To is before Contract Date From</t>
        </r>
        <r>
          <rPr>
            <sz val="9"/>
            <color indexed="81"/>
            <rFont val="Tahoma"/>
            <family val="2"/>
          </rPr>
          <t xml:space="preserve">
</t>
        </r>
      </text>
    </comment>
    <comment ref="I1" authorId="0" shapeId="0" xr:uid="{3FFD8083-4C84-42B8-B158-A4FAE0435503}">
      <text>
        <r>
          <rPr>
            <b/>
            <sz val="9"/>
            <color indexed="81"/>
            <rFont val="Tahoma"/>
            <family val="2"/>
          </rPr>
          <t>Adjustment Date To is before Adjustment Date From</t>
        </r>
        <r>
          <rPr>
            <sz val="9"/>
            <color indexed="81"/>
            <rFont val="Tahoma"/>
            <family val="2"/>
          </rPr>
          <t xml:space="preserve">
</t>
        </r>
      </text>
    </comment>
    <comment ref="J1" authorId="1" shapeId="0" xr:uid="{4D27A440-2A6B-4DAF-BE28-BCF4B1D56D06}">
      <text>
        <r>
          <rPr>
            <sz val="9"/>
            <color indexed="81"/>
            <rFont val="Tahoma"/>
            <family val="2"/>
          </rPr>
          <t xml:space="preserve">Checks that the Date fields are using the correct data type
</t>
        </r>
      </text>
    </comment>
    <comment ref="K1" authorId="0" shapeId="0" xr:uid="{451596EA-C888-4CFF-88B9-BA1BA5139A53}">
      <text>
        <r>
          <rPr>
            <b/>
            <sz val="9"/>
            <color indexed="81"/>
            <rFont val="Tahoma"/>
            <family val="2"/>
          </rPr>
          <t>Notes Length &gt;4000</t>
        </r>
        <r>
          <rPr>
            <sz val="9"/>
            <color indexed="81"/>
            <rFont val="Tahoma"/>
            <family val="2"/>
          </rPr>
          <t xml:space="preserve">
</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A1" authorId="0" shapeId="0" xr:uid="{A87B8ACC-44A1-4CEC-9E09-67B0D2E889FD}">
      <text>
        <r>
          <rPr>
            <b/>
            <sz val="9"/>
            <color indexed="81"/>
            <rFont val="Tahoma"/>
            <family val="2"/>
          </rPr>
          <t>Available all schools TRUE/FALSE + School Codes if applicable</t>
        </r>
        <r>
          <rPr>
            <sz val="9"/>
            <color indexed="81"/>
            <rFont val="Tahoma"/>
            <family val="2"/>
          </rPr>
          <t xml:space="preserve">
</t>
        </r>
      </text>
    </comment>
    <comment ref="D1" authorId="0" shapeId="0" xr:uid="{EBB78520-B0CB-43E6-AD1D-CB9CE79764C7}">
      <text>
        <r>
          <rPr>
            <b/>
            <sz val="9"/>
            <color indexed="81"/>
            <rFont val="Tahoma"/>
            <family val="2"/>
          </rPr>
          <t>Leave Type Code Length &gt;100</t>
        </r>
        <r>
          <rPr>
            <sz val="9"/>
            <color indexed="81"/>
            <rFont val="Tahoma"/>
            <family val="2"/>
          </rPr>
          <t xml:space="preserve">
</t>
        </r>
      </text>
    </comment>
    <comment ref="E1" authorId="0" shapeId="0" xr:uid="{F2C6CA3E-3511-4411-9751-A6021E8F0050}">
      <text>
        <r>
          <rPr>
            <b/>
            <sz val="9"/>
            <color indexed="81"/>
            <rFont val="Tahoma"/>
            <family val="2"/>
          </rPr>
          <t>Leave Type Title Length &gt;100</t>
        </r>
      </text>
    </comment>
    <comment ref="F1" authorId="0" shapeId="0" xr:uid="{A5D8486D-13B3-4AF9-8433-7D70240300C3}">
      <text>
        <r>
          <rPr>
            <b/>
            <sz val="9"/>
            <color indexed="81"/>
            <rFont val="Tahoma"/>
            <family val="2"/>
          </rPr>
          <t>Space in Leave Type 
Code</t>
        </r>
        <r>
          <rPr>
            <sz val="9"/>
            <color indexed="81"/>
            <rFont val="Tahoma"/>
            <family val="2"/>
          </rPr>
          <t xml:space="preserve">
</t>
        </r>
      </text>
    </comment>
    <comment ref="G1" authorId="1" shapeId="0" xr:uid="{250D5145-7B97-4EE6-8271-E091D27A480E}">
      <text>
        <r>
          <rPr>
            <b/>
            <sz val="9"/>
            <color indexed="81"/>
            <rFont val="Tahoma"/>
            <family val="2"/>
          </rPr>
          <t>Check if the leave types weeks from and weeks to overlap</t>
        </r>
        <r>
          <rPr>
            <sz val="9"/>
            <color indexed="81"/>
            <rFont val="Tahoma"/>
            <family val="2"/>
          </rPr>
          <t xml:space="preserve">
</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Kim Smith</author>
    <author>John Dunridge</author>
  </authors>
  <commentList>
    <comment ref="B1" authorId="0" shapeId="0" xr:uid="{D7106004-A573-4312-964B-47F5CE8F04D0}">
      <text>
        <r>
          <rPr>
            <b/>
            <sz val="9"/>
            <color indexed="81"/>
            <rFont val="Tahoma"/>
            <family val="2"/>
          </rPr>
          <t>Staff Member Code not in Staff Members</t>
        </r>
        <r>
          <rPr>
            <sz val="9"/>
            <color indexed="81"/>
            <rFont val="Tahoma"/>
            <family val="2"/>
          </rPr>
          <t xml:space="preserve">
</t>
        </r>
      </text>
    </comment>
    <comment ref="C1" authorId="0" shapeId="0" xr:uid="{4B72F0E3-387C-44B7-8ADF-7B364F44BEA3}">
      <text>
        <r>
          <rPr>
            <b/>
            <sz val="9"/>
            <color indexed="81"/>
            <rFont val="Tahoma"/>
            <family val="2"/>
          </rPr>
          <t>Leave Type code not in Leave Types</t>
        </r>
        <r>
          <rPr>
            <sz val="9"/>
            <color indexed="81"/>
            <rFont val="Tahoma"/>
            <family val="2"/>
          </rPr>
          <t xml:space="preserve">
</t>
        </r>
      </text>
    </comment>
    <comment ref="D1" authorId="0" shapeId="0" xr:uid="{D90D2A63-CC4D-4081-BE32-2AF20420F03E}">
      <text>
        <r>
          <rPr>
            <b/>
            <sz val="9"/>
            <color indexed="81"/>
            <rFont val="Tahoma"/>
            <family val="2"/>
          </rPr>
          <t>Date To is before Date From</t>
        </r>
        <r>
          <rPr>
            <sz val="9"/>
            <color indexed="81"/>
            <rFont val="Tahoma"/>
            <family val="2"/>
          </rPr>
          <t xml:space="preserve">
</t>
        </r>
      </text>
    </comment>
    <comment ref="E1" authorId="1" shapeId="0" xr:uid="{FF4CF436-E35C-420F-A966-2CB826B3F942}">
      <text>
        <r>
          <rPr>
            <sz val="9"/>
            <color indexed="81"/>
            <rFont val="Tahoma"/>
            <family val="2"/>
          </rPr>
          <t xml:space="preserve">Checks that the Date fields are using the correct data type
</t>
        </r>
      </text>
    </comment>
    <comment ref="I1" authorId="0" shapeId="0" xr:uid="{3909A71C-CB53-4EB7-B24B-A294F30CC82C}">
      <text>
        <r>
          <rPr>
            <b/>
            <sz val="9"/>
            <color indexed="81"/>
            <rFont val="Tahoma"/>
            <family val="2"/>
          </rPr>
          <t>Leave Start pre-dates Contract Start (enter Contract Start Date into Date From)</t>
        </r>
        <r>
          <rPr>
            <sz val="9"/>
            <color indexed="81"/>
            <rFont val="Tahoma"/>
            <family val="2"/>
          </rPr>
          <t xml:space="preserve">
</t>
        </r>
      </text>
    </comment>
    <comment ref="M1" authorId="0" shapeId="0" xr:uid="{FA92A748-23B8-4775-B508-CDE38B3ED034}">
      <text>
        <r>
          <rPr>
            <b/>
            <sz val="9"/>
            <color indexed="81"/>
            <rFont val="Tahoma"/>
            <family val="2"/>
          </rPr>
          <t>Enter Actual Leave Start Date</t>
        </r>
        <r>
          <rPr>
            <sz val="9"/>
            <color indexed="81"/>
            <rFont val="Tahoma"/>
            <family val="2"/>
          </rPr>
          <t xml:space="preserve">
</t>
        </r>
      </text>
    </comment>
    <comment ref="N1" authorId="0" shapeId="0" xr:uid="{51B6BC6A-1B2D-47D4-842A-C47E74E21D9F}">
      <text>
        <r>
          <rPr>
            <sz val="9"/>
            <color indexed="81"/>
            <rFont val="Tahoma"/>
            <family val="2"/>
          </rPr>
          <t xml:space="preserve">Enter 'the latest of' Actual Leave Start Date or Contract Start date or build effective date.
</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3582E54-F845-4469-8AF5-DEF9B716689B}" keepAlive="1" name="Query - Activities" description="Connection to the 'Activities' query in the workbook." type="5" refreshedVersion="8" saveData="1">
    <dbPr connection="Provider=Microsoft.Mashup.OleDb.1;Data Source=$Workbook$;Location=Activities;Extended Properties=&quot;&quot;" command="SELECT * FROM [Activities]"/>
    <extLst>
      <ext xmlns:x15="http://schemas.microsoft.com/office/spreadsheetml/2010/11/main" uri="{DE250136-89BD-433C-8126-D09CA5730AF9}">
        <x15:connection id="" excludeFromRefreshAll="1"/>
      </ext>
    </extLst>
  </connection>
  <connection id="2" xr16:uid="{1B6C49DB-A469-4E0B-8FFE-2D171E17BF79}" keepAlive="1" name="Query - CustGrouping" description="Connection to the 'CustGrouping' query in the workbook." type="5" refreshedVersion="8" saveData="1">
    <dbPr connection="Provider=Microsoft.Mashup.OleDb.1;Data Source=$Workbook$;Location=CustGrouping;Extended Properties=&quot;&quot;" command="SELECT * FROM [CustGrouping]"/>
    <extLst>
      <ext xmlns:x15="http://schemas.microsoft.com/office/spreadsheetml/2010/11/main" uri="{DE250136-89BD-433C-8126-D09CA5730AF9}">
        <x15:connection id="" excludeFromRefreshAll="1"/>
      </ext>
    </extLst>
  </connection>
  <connection id="3" xr16:uid="{1D8E59F6-9A2E-4D70-8C29-59023D16DF2A}" keepAlive="1" name="Query - Departments" description="Connection to the 'Departments' query in the workbook." type="5" refreshedVersion="8" saveData="1">
    <dbPr connection="Provider=Microsoft.Mashup.OleDb.1;Data Source=$Workbook$;Location=Departments;Extended Properties=&quot;&quot;" command="SELECT * FROM [Departments]"/>
    <extLst>
      <ext xmlns:x15="http://schemas.microsoft.com/office/spreadsheetml/2010/11/main" uri="{DE250136-89BD-433C-8126-D09CA5730AF9}">
        <x15:connection id="" excludeFromRefreshAll="1"/>
      </ext>
    </extLst>
  </connection>
  <connection id="4" xr16:uid="{5CCC8E74-257E-4BDA-B21E-EB7536CFF79B}" keepAlive="1" name="Query - Finance Codes" description="Connection to the 'Finance Codes' query in the workbook." type="5" refreshedVersion="8" background="1" saveData="1">
    <dbPr connection="Provider=Microsoft.Mashup.OleDb.1;Data Source=$Workbook$;Location=&quot;Finance Codes&quot;;Extended Properties=&quot;&quot;" command="SELECT * FROM [Finance Codes]"/>
    <extLst>
      <ext xmlns:x15="http://schemas.microsoft.com/office/spreadsheetml/2010/11/main" uri="{DE250136-89BD-433C-8126-D09CA5730AF9}">
        <x15:connection id="" excludeFromRefreshAll="1"/>
      </ext>
    </extLst>
  </connection>
  <connection id="5" xr16:uid="{DCA43FBC-74F0-4DEF-BCBD-24F97D5299ED}" keepAlive="1" name="Query - FinanceCodesBudget" description="Connection to the 'FinanceCodesBudget' query in the workbook." type="5" refreshedVersion="8" saveData="1">
    <dbPr connection="Provider=Microsoft.Mashup.OleDb.1;Data Source=$Workbook$;Location=FinanceCodesBudget;Extended Properties=&quot;&quot;" command="SELECT * FROM [FinanceCodesBudget]"/>
    <extLst>
      <ext xmlns:x15="http://schemas.microsoft.com/office/spreadsheetml/2010/11/main" uri="{DE250136-89BD-433C-8126-D09CA5730AF9}">
        <x15:connection id="" excludeFromRefreshAll="1"/>
      </ext>
    </extLst>
  </connection>
  <connection id="6" xr16:uid="{793DE8E4-5318-4FFD-A4DF-E53813DF653D}" keepAlive="1" name="Query - fnGetParameter" description="Connection to the 'fnGetParameter' query in the workbook." type="5" refreshedVersion="0" background="1">
    <dbPr connection="Provider=Microsoft.Mashup.OleDb.1;Data Source=$Workbook$;Location=fnGetParameter;Extended Properties=&quot;&quot;" command="SELECT * FROM [fnGetParameter]"/>
  </connection>
  <connection id="7" xr16:uid="{70394AAA-5E9F-42D6-8EF0-33C9BE5C2FDB}" keepAlive="1" name="Query - Funds" description="Connection to the 'Funds' query in the workbook." type="5" refreshedVersion="8" saveData="1">
    <dbPr connection="Provider=Microsoft.Mashup.OleDb.1;Data Source=$Workbook$;Location=Funds;Extended Properties=&quot;&quot;" command="SELECT * FROM [Funds]"/>
    <extLst>
      <ext xmlns:x15="http://schemas.microsoft.com/office/spreadsheetml/2010/11/main" uri="{DE250136-89BD-433C-8126-D09CA5730AF9}">
        <x15:connection id="" excludeFromRefreshAll="1"/>
      </ext>
    </extLst>
  </connection>
  <connection id="8" xr16:uid="{DED549A5-2405-4EDB-A297-7E5EF516D29D}" keepAlive="1" name="Query - LA" description="Connection to the 'LA' query in the workbook." type="5" refreshedVersion="0" background="1" saveData="1">
    <dbPr connection="Provider=Microsoft.Mashup.OleDb.1;Data Source=$Workbook$;Location=LA;Extended Properties=&quot;&quot;" command="SELECT * FROM [LA]"/>
    <extLst>
      <ext xmlns:x15="http://schemas.microsoft.com/office/spreadsheetml/2010/11/main" uri="{DE250136-89BD-433C-8126-D09CA5730AF9}">
        <x15:connection id="" excludeFromRefreshAll="1"/>
      </ext>
    </extLst>
  </connection>
  <connection id="9" xr16:uid="{B19A3596-9CB4-4FFF-BB7A-71659D674C8A}" keepAlive="1" name="Query - Ledger" description="Connection to the 'Ledger' query in the workbook." type="5" refreshedVersion="8" saveData="1">
    <dbPr connection="Provider=Microsoft.Mashup.OleDb.1;Data Source=$Workbook$;Location=Ledger;Extended Properties=&quot;&quot;" command="SELECT * FROM [Ledger]"/>
    <extLst>
      <ext xmlns:x15="http://schemas.microsoft.com/office/spreadsheetml/2010/11/main" uri="{DE250136-89BD-433C-8126-D09CA5730AF9}">
        <x15:connection id="" excludeFromRefreshAll="1"/>
      </ext>
    </extLst>
  </connection>
  <connection id="10" xr16:uid="{483D2804-9E07-44E7-8424-6C7D26B7AA26}" keepAlive="1" name="Query - LocalAuth" description="Connection to the 'LocalAuth' query in the workbook." type="5" refreshedVersion="8" background="1" saveData="1">
    <dbPr connection="Provider=Microsoft.Mashup.OleDb.1;Data Source=$Workbook$;Location=LocalAuth;Extended Properties=&quot;&quot;" command="SELECT * FROM [LocalAuth]"/>
  </connection>
  <connection id="11" xr16:uid="{4F9AAD7B-DC60-4681-B5A3-5D366F7AD439}" keepAlive="1" name="Query - SchHub" description="Connection to the 'SchHub' query in the workbook." type="5" refreshedVersion="8" saveData="1">
    <dbPr connection="Provider=Microsoft.Mashup.OleDb.1;Data Source=$Workbook$;Location=SchHub;Extended Properties=&quot;&quot;" command="SELECT * FROM [SchHub]"/>
    <extLst>
      <ext xmlns:x15="http://schemas.microsoft.com/office/spreadsheetml/2010/11/main" uri="{DE250136-89BD-433C-8126-D09CA5730AF9}">
        <x15:connection id="" excludeFromRefreshAll="1"/>
      </ext>
    </extLst>
  </connection>
  <connection id="12" xr16:uid="{71EF823E-81DF-4068-A5C6-20560AB0B450}" keepAlive="1" name="Query - SchoolList" description="Connection to the 'SchoolList' query in the workbook." type="5" refreshedVersion="8" background="1" saveData="1">
    <dbPr connection="Provider=Microsoft.Mashup.OleDb.1;Data Source=$Workbook$;Location=SchoolList;Extended Properties=&quot;&quot;" command="SELECT * FROM [SchoolList]"/>
    <extLst>
      <ext xmlns:x15="http://schemas.microsoft.com/office/spreadsheetml/2010/11/main" uri="{DE250136-89BD-433C-8126-D09CA5730AF9}">
        <x15:connection id="" excludeFromRefreshAll="1"/>
      </ext>
    </extLst>
  </connection>
  <connection id="13" xr16:uid="{0F117A54-DE79-4462-A9D2-6F87FD03556B}" keepAlive="1" name="Query - Schools" description="Connection to the 'Schools' query in the workbook." type="5" refreshedVersion="0" background="1" saveData="1">
    <dbPr connection="Provider=Microsoft.Mashup.OleDb.1;Data Source=$Workbook$;Location=Schools;Extended Properties=&quot;&quot;" command="SELECT * FROM [Schools]"/>
    <extLst>
      <ext xmlns:x15="http://schemas.microsoft.com/office/spreadsheetml/2010/11/main" uri="{DE250136-89BD-433C-8126-D09CA5730AF9}">
        <x15:connection id="" excludeFromRefreshAll="1"/>
      </ext>
    </extLst>
  </connection>
  <connection id="14" xr16:uid="{8C1498D9-8DFC-48DC-A5FC-3BC1A9E6EED1}" keepAlive="1" name="Query - SchType" description="Connection to the 'SchType' query in the workbook." type="5" refreshedVersion="8" saveData="1">
    <dbPr connection="Provider=Microsoft.Mashup.OleDb.1;Data Source=$Workbook$;Location=SchType;Extended Properties=&quot;&quot;" command="SELECT * FROM [SchType]"/>
    <extLst>
      <ext xmlns:x15="http://schemas.microsoft.com/office/spreadsheetml/2010/11/main" uri="{DE250136-89BD-433C-8126-D09CA5730AF9}">
        <x15:connection id="" excludeFromRefreshAll="1"/>
      </ext>
    </extLst>
  </connection>
  <connection id="15" xr16:uid="{4667A429-0D7D-4CBA-9F38-05B52E0B4538}" keepAlive="1" name="Query - System Grouping Codes" description="Connection to the 'System Grouping Codes' query in the workbook." type="5" refreshedVersion="8" saveData="1">
    <dbPr connection="Provider=Microsoft.Mashup.OleDb.1;Data Source=$Workbook$;Location=&quot;System Grouping Codes&quot;;Extended Properties=&quot;&quot;" command="SELECT * FROM [System Grouping Codes]"/>
    <extLst>
      <ext xmlns:x15="http://schemas.microsoft.com/office/spreadsheetml/2010/11/main" uri="{DE250136-89BD-433C-8126-D09CA5730AF9}">
        <x15:connection id="" excludeFromRefreshAl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<sst xmlns="http://schemas.openxmlformats.org/spreadsheetml/2006/main" count="5775" uniqueCount="2051">
  <si>
    <t>VERSION</t>
  </si>
  <si>
    <t>Parameter</t>
  </si>
  <si>
    <t>Value</t>
  </si>
  <si>
    <t>Link updated?</t>
  </si>
  <si>
    <t>No</t>
  </si>
  <si>
    <t>Token</t>
  </si>
  <si>
    <t>Year From</t>
  </si>
  <si>
    <t>2023/24</t>
  </si>
  <si>
    <t>Api Url Root</t>
  </si>
  <si>
    <t>https://api.impplanner.co.uk</t>
  </si>
  <si>
    <t>Date Last Amended</t>
  </si>
  <si>
    <t>update to today date (shortcut is CTRL + ;)</t>
  </si>
  <si>
    <t>Element</t>
  </si>
  <si>
    <t>Type</t>
  </si>
  <si>
    <t>CALCULATIONS</t>
  </si>
  <si>
    <t>SIMPLE</t>
  </si>
  <si>
    <t>Process Notes</t>
  </si>
  <si>
    <t>Updating API</t>
  </si>
  <si>
    <t>Step</t>
  </si>
  <si>
    <t>Add API code to parameter tab</t>
  </si>
  <si>
    <t>Navigate to the queries and connections in Data tab</t>
  </si>
  <si>
    <t>This will bring up a side menu</t>
  </si>
  <si>
    <t>Right click on the API folder and click "Refresh"</t>
  </si>
  <si>
    <t>If the below pop-up appears please tick the "Ignore Privacy Levels" box and then click the "Save" button.</t>
  </si>
  <si>
    <t>If the below pop-up appears please click the "Don't Update" button.</t>
  </si>
  <si>
    <t>Schools</t>
  </si>
  <si>
    <t>London Weighting Type needs to be updated with the correct type from the drop down. This is based on the Local authority, whose weighting can be found in column "Teachers IL/OL/FRI" of the "Local Authorities - standard codes" document.</t>
  </si>
  <si>
    <t>Checklist</t>
  </si>
  <si>
    <t>Task</t>
  </si>
  <si>
    <t>Notes</t>
  </si>
  <si>
    <t>Error Check</t>
  </si>
  <si>
    <t>Check for PayScale Issues</t>
  </si>
  <si>
    <t>Check for PayScale Point Issues</t>
  </si>
  <si>
    <t>Check for PayScale Increase % Issues</t>
  </si>
  <si>
    <t>Check for PayScale Grades Issues</t>
  </si>
  <si>
    <t>Check Allowance Type Issues</t>
  </si>
  <si>
    <t>Check Allowance Point Issues</t>
  </si>
  <si>
    <t>Check Allowance Increase % Issues</t>
  </si>
  <si>
    <t>Check for Pensions Issues</t>
  </si>
  <si>
    <t>Check for EQWP Issues</t>
  </si>
  <si>
    <t xml:space="preserve">Check for Staff Members Issues </t>
  </si>
  <si>
    <t>Check for Staff Role Groups Issues</t>
  </si>
  <si>
    <t>Check for Staff Roles Issues</t>
  </si>
  <si>
    <t>Check for Contract Issues (Teacher)</t>
  </si>
  <si>
    <t>Check for Contract Issues (Support)</t>
  </si>
  <si>
    <t>Check Adjustment Type Issues</t>
  </si>
  <si>
    <t>Check Contract Adjustment Issues</t>
  </si>
  <si>
    <t>Check Contract Allowance Issues</t>
  </si>
  <si>
    <t>Check Leave Types Issues</t>
  </si>
  <si>
    <t>Check Staff Member Leaves Issues</t>
  </si>
  <si>
    <t>Check Finance Codes S2 Issues (Ledger needed?)</t>
  </si>
  <si>
    <t>Total Tab Check</t>
  </si>
  <si>
    <t>Have the Scope Document info / Email Responses been reviewed?</t>
  </si>
  <si>
    <t>Do funds need to be assigned at Scenario Row Level? (See Scope Document info)</t>
  </si>
  <si>
    <t>If not standard, did we receive and check Statutory leave types?</t>
  </si>
  <si>
    <t>Do contract effective dates match the dates provided in the Scope Document?</t>
  </si>
  <si>
    <t>Have we built all the PayScales provided?</t>
  </si>
  <si>
    <t>Did we build contracts for all locations?</t>
  </si>
  <si>
    <t>Have all pension rates been supplied?</t>
  </si>
  <si>
    <t>Do PayScales increment and increase in line with Scope Document info?</t>
  </si>
  <si>
    <t>Are full time hours - for roles/locations - in line with Scope Document info?</t>
  </si>
  <si>
    <r>
      <t xml:space="preserve">Are notes added to Import Checklist (and against task row, this tab) to explain </t>
    </r>
    <r>
      <rPr>
        <b/>
        <sz val="11"/>
        <color theme="1"/>
        <rFont val="Calibri"/>
        <family val="2"/>
        <scheme val="minor"/>
      </rPr>
      <t>all 'non-errors'</t>
    </r>
    <r>
      <rPr>
        <sz val="11"/>
        <color theme="1"/>
        <rFont val="Calibri"/>
        <family val="2"/>
        <scheme val="minor"/>
      </rPr>
      <t xml:space="preserve">  with an Error Check score (Col C)?</t>
    </r>
  </si>
  <si>
    <r>
      <t xml:space="preserve">Are there any SRG </t>
    </r>
    <r>
      <rPr>
        <b/>
        <sz val="11"/>
        <color theme="1"/>
        <rFont val="Calibri"/>
        <family val="2"/>
        <scheme val="minor"/>
      </rPr>
      <t>Critical Errors</t>
    </r>
    <r>
      <rPr>
        <sz val="11"/>
        <color theme="1"/>
        <rFont val="Calibri"/>
        <family val="2"/>
        <scheme val="minor"/>
      </rPr>
      <t xml:space="preserve"> which will prevent successful Import? - </t>
    </r>
    <r>
      <rPr>
        <b/>
        <sz val="11"/>
        <color theme="1"/>
        <rFont val="Calibri"/>
        <family val="2"/>
        <scheme val="minor"/>
      </rPr>
      <t>if YES - alert LC</t>
    </r>
    <r>
      <rPr>
        <sz val="11"/>
        <color theme="1"/>
        <rFont val="Calibri"/>
        <family val="2"/>
        <scheme val="minor"/>
      </rPr>
      <t xml:space="preserve"> to issue</t>
    </r>
  </si>
  <si>
    <r>
      <rPr>
        <b/>
        <sz val="11"/>
        <color theme="1"/>
        <rFont val="Calibri"/>
        <family val="2"/>
        <scheme val="minor"/>
      </rPr>
      <t>Excluded</t>
    </r>
    <r>
      <rPr>
        <sz val="11"/>
        <color theme="1"/>
        <rFont val="Calibri"/>
        <family val="2"/>
        <scheme val="minor"/>
      </rPr>
      <t xml:space="preserve"> contracts/ allowances - Do any excluded lines have budgetary impact (ie. data lines show salary / allowance cost)?</t>
    </r>
  </si>
  <si>
    <t>Non-Contract staffing data - Has any data been sent to Strand 3 Builder? (Check with Kim if unsure)</t>
  </si>
  <si>
    <r>
      <rPr>
        <b/>
        <sz val="11"/>
        <color theme="1"/>
        <rFont val="Calibri"/>
        <family val="2"/>
        <scheme val="minor"/>
      </rPr>
      <t>Review</t>
    </r>
    <r>
      <rPr>
        <sz val="11"/>
        <color theme="1"/>
        <rFont val="Calibri"/>
        <family val="2"/>
        <scheme val="minor"/>
      </rPr>
      <t xml:space="preserve"> purposes - is (as at) Annual Full-Time Salary provided in the original staffing data?</t>
    </r>
  </si>
  <si>
    <r>
      <rPr>
        <b/>
        <sz val="11"/>
        <color theme="1"/>
        <rFont val="Calibri"/>
        <family val="2"/>
        <scheme val="minor"/>
      </rPr>
      <t>Review</t>
    </r>
    <r>
      <rPr>
        <sz val="11"/>
        <color theme="1"/>
        <rFont val="Calibri"/>
        <family val="2"/>
        <scheme val="minor"/>
      </rPr>
      <t xml:space="preserve"> purposes - is (as at) Actual Calculated Salary provided in the original staffing data?</t>
    </r>
  </si>
  <si>
    <r>
      <rPr>
        <b/>
        <sz val="11"/>
        <color theme="1"/>
        <rFont val="Calibri"/>
        <family val="2"/>
        <scheme val="minor"/>
      </rPr>
      <t>Review</t>
    </r>
    <r>
      <rPr>
        <sz val="11"/>
        <color theme="1"/>
        <rFont val="Calibri"/>
        <family val="2"/>
        <scheme val="minor"/>
      </rPr>
      <t xml:space="preserve"> purposes - if either (or both) Salaries in data NO, is the customer / LC already aware?</t>
    </r>
  </si>
  <si>
    <r>
      <rPr>
        <b/>
        <sz val="11"/>
        <color theme="1"/>
        <rFont val="Calibri"/>
        <family val="2"/>
        <scheme val="minor"/>
      </rPr>
      <t>Review</t>
    </r>
    <r>
      <rPr>
        <sz val="11"/>
        <color theme="1"/>
        <rFont val="Calibri"/>
        <family val="2"/>
        <scheme val="minor"/>
      </rPr>
      <t xml:space="preserve"> purposes - If Salaries in data YES, is this part of your Staff Contract Build Reconciliation? If not, please alert LC to any issue</t>
    </r>
  </si>
  <si>
    <t>Reviewed by Builder</t>
  </si>
  <si>
    <t>Y/N</t>
  </si>
  <si>
    <t>Reviewed by Lead Consultant</t>
  </si>
  <si>
    <t>If this is not zero - return to builder</t>
  </si>
  <si>
    <t>Column1</t>
  </si>
  <si>
    <t>Number of Rows to Import</t>
  </si>
  <si>
    <t>Number of Rows Imported</t>
  </si>
  <si>
    <t>Import Checked</t>
  </si>
  <si>
    <t>LC Import Notes</t>
  </si>
  <si>
    <t>Builder Import Notes</t>
  </si>
  <si>
    <t>Importer Notes/Issues</t>
  </si>
  <si>
    <t>Finance codes S2</t>
  </si>
  <si>
    <t>Allowance Type</t>
  </si>
  <si>
    <t>Allowance Point</t>
  </si>
  <si>
    <t>Allowance Increase %</t>
  </si>
  <si>
    <t>Payscales</t>
  </si>
  <si>
    <t>Payscale Points</t>
  </si>
  <si>
    <t>Payscale Increase Percentages</t>
  </si>
  <si>
    <t>Payscale Grades</t>
  </si>
  <si>
    <t>Equated Week Patterns</t>
  </si>
  <si>
    <t>Pensions</t>
  </si>
  <si>
    <t xml:space="preserve">Staff Members </t>
  </si>
  <si>
    <t>Staff Role Groups</t>
  </si>
  <si>
    <t>Staff Roles</t>
  </si>
  <si>
    <t>Contract (Teacher)</t>
  </si>
  <si>
    <t>If Values are built as FTE - Check that you have selected FTE!</t>
  </si>
  <si>
    <t>Contract (Support)</t>
  </si>
  <si>
    <t>Leave Types</t>
  </si>
  <si>
    <t>Adjustments</t>
  </si>
  <si>
    <t>Staff Member Leaves</t>
  </si>
  <si>
    <t>Imports - Maternity Start must not pre-date contract start. Import as-is for base weekly pay to calc, then manually backdate the Mat From date in Planner if needed.</t>
  </si>
  <si>
    <t>Contract Adjustments</t>
  </si>
  <si>
    <t>Contract Allowances</t>
  </si>
  <si>
    <t>groupingCodeCode</t>
  </si>
  <si>
    <t>title</t>
  </si>
  <si>
    <t>groupingCodeTypeCode</t>
  </si>
  <si>
    <t>510100</t>
  </si>
  <si>
    <t>IN: DfE Revenue Grants: GAG (not stud supp and trust grants)</t>
  </si>
  <si>
    <t>A</t>
  </si>
  <si>
    <t>510110</t>
  </si>
  <si>
    <t>IN: DfE Revenue Grants: GAG (student support)</t>
  </si>
  <si>
    <t>510120</t>
  </si>
  <si>
    <t>IN: DfE Revenue Grants: GAG (start up grants)</t>
  </si>
  <si>
    <t>510130</t>
  </si>
  <si>
    <t>IN: DfE Revenue Grants: Trust level grants</t>
  </si>
  <si>
    <t>510140</t>
  </si>
  <si>
    <t>IN: DfE Revenue Grants: Pupil number adjustment</t>
  </si>
  <si>
    <t>510150</t>
  </si>
  <si>
    <t>IN: DfE Revenue Grants: Rates reclaim</t>
  </si>
  <si>
    <t>510200</t>
  </si>
  <si>
    <t>IN: DfE Revenue Grants: Pupil Premium</t>
  </si>
  <si>
    <t>510250</t>
  </si>
  <si>
    <t>IN: DfE Revenue Grants: Universal Inf Free School Meals</t>
  </si>
  <si>
    <t>510300</t>
  </si>
  <si>
    <t>IN: DfE Revenue Grants: Insurance top up</t>
  </si>
  <si>
    <t>510350</t>
  </si>
  <si>
    <t>IN: DfE Revenue Grants: Sponsor capacity grant</t>
  </si>
  <si>
    <t>510400</t>
  </si>
  <si>
    <t>IN: DfE Revenue Grants: PE &amp; Sports grant</t>
  </si>
  <si>
    <t>510450</t>
  </si>
  <si>
    <t>IN: DfE Revenue Grants: Year 7 catch up</t>
  </si>
  <si>
    <t>510500</t>
  </si>
  <si>
    <t>IN: DfE Revenue Grants: Teachers Pay Grant</t>
  </si>
  <si>
    <t>510510</t>
  </si>
  <si>
    <t>IN: DfE Revenue Grants: Teachers Pension Employer Contribution Grant</t>
  </si>
  <si>
    <t>510550</t>
  </si>
  <si>
    <t>IN: DfE Revenue Grants: Teaching Schools grant</t>
  </si>
  <si>
    <t>510600</t>
  </si>
  <si>
    <t>IN: DfE Revenue Grants: ITT Bursaries Grant</t>
  </si>
  <si>
    <t>510700</t>
  </si>
  <si>
    <t>IN: DfE Revenue Grants: 16 to 19</t>
  </si>
  <si>
    <t>510950</t>
  </si>
  <si>
    <t>IN: DfE Revenue Grants: Other DfE revenue grants</t>
  </si>
  <si>
    <t>510970</t>
  </si>
  <si>
    <t>IN: DfE Revenue Grants: Temporary DfE / ESFA grants 1 (for DfE use)</t>
  </si>
  <si>
    <t>510980</t>
  </si>
  <si>
    <t>IN: DfE Revenue Grants: Temporary DfE / ESFA grants 2 (for DfE use)</t>
  </si>
  <si>
    <t>510990</t>
  </si>
  <si>
    <t>IN: DfE Revenue Grants: Temporary DfE / ESFA grants 3 (for DfE use)</t>
  </si>
  <si>
    <t>515100</t>
  </si>
  <si>
    <t>IN: DfE Group Grants: Standards &amp; Testing Agency</t>
  </si>
  <si>
    <t>515200</t>
  </si>
  <si>
    <t>IN: DfE Group Grants: Office of Childrens Commissioner</t>
  </si>
  <si>
    <t>515250</t>
  </si>
  <si>
    <t>IN: DfE Group Grants: Student Loans Company</t>
  </si>
  <si>
    <t>515300</t>
  </si>
  <si>
    <t>IN: DfE Group Grants: Office for Students</t>
  </si>
  <si>
    <t>515350</t>
  </si>
  <si>
    <t>IN: DfE Group Grants: Engineering Contraction ITB</t>
  </si>
  <si>
    <t>515400</t>
  </si>
  <si>
    <t>IN: DfE Group Grants: Construction ITB</t>
  </si>
  <si>
    <t>520100</t>
  </si>
  <si>
    <t>IN: Other Grants: LA - SEN</t>
  </si>
  <si>
    <t>520150</t>
  </si>
  <si>
    <t>IN: Other Grants: LA - Early Years</t>
  </si>
  <si>
    <t>520200</t>
  </si>
  <si>
    <t>IN: Other Grants: LA - Other grants</t>
  </si>
  <si>
    <t>520300</t>
  </si>
  <si>
    <t>IN: Other Grants: Government grant - not DfE</t>
  </si>
  <si>
    <t>520350</t>
  </si>
  <si>
    <t>IN: Other Grants: Other revenue grants</t>
  </si>
  <si>
    <t>520400</t>
  </si>
  <si>
    <t>IN: Other Grants: Temporary other Government revenue grants - not DfE (for DfE use)</t>
  </si>
  <si>
    <t>525100</t>
  </si>
  <si>
    <t>IN: Other Income: Academy trusts</t>
  </si>
  <si>
    <t>525150</t>
  </si>
  <si>
    <t>IN: Other Income: Govt sources - not grant</t>
  </si>
  <si>
    <t>525200</t>
  </si>
  <si>
    <t>IN: Other Income: Non-govt revenue</t>
  </si>
  <si>
    <t>525300</t>
  </si>
  <si>
    <t>IN: Other Income: Catering income from pupils</t>
  </si>
  <si>
    <t>525400</t>
  </si>
  <si>
    <t>IN: Other Income: Educational trips &amp; visits</t>
  </si>
  <si>
    <t>525500</t>
  </si>
  <si>
    <t>IN: Other Income: Apprenticeship levy drawdown</t>
  </si>
  <si>
    <t>525600</t>
  </si>
  <si>
    <t>IN: Other Income: Teaching School other income</t>
  </si>
  <si>
    <t>525750</t>
  </si>
  <si>
    <t>IN: Other Income: Investment income</t>
  </si>
  <si>
    <t>530100</t>
  </si>
  <si>
    <t>IN: Trading Income: Hire of facilities</t>
  </si>
  <si>
    <t>530200</t>
  </si>
  <si>
    <t>IN: Trading Income: Catering inc (visitors &amp; staff)</t>
  </si>
  <si>
    <t>530250</t>
  </si>
  <si>
    <t>IN: Trading Income: Rental Income</t>
  </si>
  <si>
    <t>530300</t>
  </si>
  <si>
    <t>IN: Trading Income: Supply teacher insurance claim</t>
  </si>
  <si>
    <t>530350</t>
  </si>
  <si>
    <t>IN: Trading Income: RPA claims</t>
  </si>
  <si>
    <t>530400</t>
  </si>
  <si>
    <t>IN: Trading Income: Sale of uniforms</t>
  </si>
  <si>
    <t>530500</t>
  </si>
  <si>
    <t>IN: Trading Income: Income from clubs</t>
  </si>
  <si>
    <t>530550</t>
  </si>
  <si>
    <t>IN: Trading Income: Parental income from nursery provision</t>
  </si>
  <si>
    <t>530580</t>
  </si>
  <si>
    <t>IN: Trading Income: Parental income from wraparound provision</t>
  </si>
  <si>
    <t>530600</t>
  </si>
  <si>
    <t>IN: Trading Income: Income from music</t>
  </si>
  <si>
    <t>530650</t>
  </si>
  <si>
    <t>IN: Trading Income: Sale of goods or services</t>
  </si>
  <si>
    <t>530700</t>
  </si>
  <si>
    <t>IN: Trading Income: Other trading income</t>
  </si>
  <si>
    <t>530990</t>
  </si>
  <si>
    <t>IN: Trading Income: Trust contribution from academy</t>
  </si>
  <si>
    <t>550100</t>
  </si>
  <si>
    <t>IN: DfE Capital Grants: Condition Improvement Fund</t>
  </si>
  <si>
    <t>W0</t>
  </si>
  <si>
    <t>550150</t>
  </si>
  <si>
    <t>IN: DfE Capital Grants: MAT Condition Allowance</t>
  </si>
  <si>
    <t>550200</t>
  </si>
  <si>
    <t>IN: DfE Capital Grants: Priority School Building Prog</t>
  </si>
  <si>
    <t>550250</t>
  </si>
  <si>
    <t>IN: DfE Capital Grants: Devolved Formula Capital</t>
  </si>
  <si>
    <t>550300</t>
  </si>
  <si>
    <t>IN: DfE Capital Grants: DfE Managed Free Schools</t>
  </si>
  <si>
    <t>550350</t>
  </si>
  <si>
    <t>IN: DfE Capital Grants: Building Schools for the Future</t>
  </si>
  <si>
    <t>550400</t>
  </si>
  <si>
    <t>IN: DfE Capital Grants: School Sponsorship Development</t>
  </si>
  <si>
    <t>550450</t>
  </si>
  <si>
    <t>IN: DfE Capital Grants: Other DfE capital grants</t>
  </si>
  <si>
    <t>550500</t>
  </si>
  <si>
    <t>IN: DfE Capital Grants: Teaching School capital grants</t>
  </si>
  <si>
    <t>550600</t>
  </si>
  <si>
    <t>IN: DfE Capital Grants: Temporary DfE / ESFA capital grants (for DfE use)</t>
  </si>
  <si>
    <t>555100</t>
  </si>
  <si>
    <t>IN: DfE Group capital grants: Standards &amp; Testing Agency</t>
  </si>
  <si>
    <t>555200</t>
  </si>
  <si>
    <t>IN: DfE Group capital grants: Office of Childrens Commissioner</t>
  </si>
  <si>
    <t>555250</t>
  </si>
  <si>
    <t>IN: DfE Group capital grants: Student Loans Company</t>
  </si>
  <si>
    <t>555300</t>
  </si>
  <si>
    <t>IN: DfE Group capital grants: Office for Students</t>
  </si>
  <si>
    <t>555350</t>
  </si>
  <si>
    <t>IN: DfE Group capital grants: Engineering Contraction ITB</t>
  </si>
  <si>
    <t>555400</t>
  </si>
  <si>
    <t>IN: DfE Group capital grants: Construction ITB</t>
  </si>
  <si>
    <t>560100</t>
  </si>
  <si>
    <t>IN: Other capital income: Local authority capital grants</t>
  </si>
  <si>
    <t>560200</t>
  </si>
  <si>
    <t>IN: Other capital income: Government grant - not DfE</t>
  </si>
  <si>
    <t>560300</t>
  </si>
  <si>
    <t>IN: Other capital income: Non-govt capital grants</t>
  </si>
  <si>
    <t>560400</t>
  </si>
  <si>
    <t>IN: Other capital income: Contributions from revenue</t>
  </si>
  <si>
    <t>570100</t>
  </si>
  <si>
    <t>IN: Boarding Income: Fee Income</t>
  </si>
  <si>
    <t>570200</t>
  </si>
  <si>
    <t>IN: Boarding Income: DfE grants</t>
  </si>
  <si>
    <t>570220</t>
  </si>
  <si>
    <t>IN: Boarding Income: Standards &amp; Testing Agency</t>
  </si>
  <si>
    <t>570240</t>
  </si>
  <si>
    <t>IN: Boarding Income: Office of Childrens Commissioner</t>
  </si>
  <si>
    <t>570250</t>
  </si>
  <si>
    <t>IN: Boarding Income: Other government grants</t>
  </si>
  <si>
    <t>570300</t>
  </si>
  <si>
    <t>IN: Boarding Income: Other boarding income</t>
  </si>
  <si>
    <t>580100</t>
  </si>
  <si>
    <t>IN: Donations: Donated FA - DfE</t>
  </si>
  <si>
    <t>580120</t>
  </si>
  <si>
    <t>IN: Donations: Donated FA - LA</t>
  </si>
  <si>
    <t>580150</t>
  </si>
  <si>
    <t>IN: Donations: Donated FA - other</t>
  </si>
  <si>
    <t>580200</t>
  </si>
  <si>
    <t>IN: Donations: Donated intangible assets</t>
  </si>
  <si>
    <t>580250</t>
  </si>
  <si>
    <t>IN: Donations: Other capital donations</t>
  </si>
  <si>
    <t>580300</t>
  </si>
  <si>
    <t>IN: Donations: Revenue donations - general</t>
  </si>
  <si>
    <t>580350</t>
  </si>
  <si>
    <t>IN: Donations: Revenue donations - charity</t>
  </si>
  <si>
    <t>580400</t>
  </si>
  <si>
    <t>IN: Donations: Revenue donations - gift aid</t>
  </si>
  <si>
    <t>590100</t>
  </si>
  <si>
    <t>IN: Academy conversions: Local authority capital</t>
  </si>
  <si>
    <t>590200</t>
  </si>
  <si>
    <t>IN: Academy conversions: Local authority revenue -surplus</t>
  </si>
  <si>
    <t>590210</t>
  </si>
  <si>
    <t>IN: Academy conversions: Local authority revenue -deficit</t>
  </si>
  <si>
    <t>590300</t>
  </si>
  <si>
    <t>IN: Academy conversions: Other body capital</t>
  </si>
  <si>
    <t>590350</t>
  </si>
  <si>
    <t>IN: Academy conversions: Other body revenue</t>
  </si>
  <si>
    <t>595100</t>
  </si>
  <si>
    <t>IN: Academy transfer in: Capital transferred in</t>
  </si>
  <si>
    <t>595200</t>
  </si>
  <si>
    <t>IN: Academy transfer in: Revenue transferred in</t>
  </si>
  <si>
    <t>599100</t>
  </si>
  <si>
    <t>IN: Academy transfer out: Capital transferred out</t>
  </si>
  <si>
    <t>599200</t>
  </si>
  <si>
    <t>IN: Academy transfer out: Revenue transferred out</t>
  </si>
  <si>
    <t>610100</t>
  </si>
  <si>
    <t>SF: Leadership - Teaching: Wages and salaries</t>
  </si>
  <si>
    <t>B</t>
  </si>
  <si>
    <t>610150</t>
  </si>
  <si>
    <t>SF: Leadership - Teaching: Overtime</t>
  </si>
  <si>
    <t>610200</t>
  </si>
  <si>
    <t>SF: Leadership - Teaching: Employers national insurance</t>
  </si>
  <si>
    <t>610300</t>
  </si>
  <si>
    <t>SF: Leadership - Teaching: Employers pension contribution</t>
  </si>
  <si>
    <t>611100</t>
  </si>
  <si>
    <t>SF: Leadership - Non-teaching: Wages and salaries</t>
  </si>
  <si>
    <t>611150</t>
  </si>
  <si>
    <t>SF: Leadership - Non-teaching: Overtime</t>
  </si>
  <si>
    <t>611200</t>
  </si>
  <si>
    <t>SF: Leadership - Non-teaching: Employers national insurance</t>
  </si>
  <si>
    <t>611300</t>
  </si>
  <si>
    <t>SF: Leadership - Non-teaching: Employers pension contribution</t>
  </si>
  <si>
    <t>612100</t>
  </si>
  <si>
    <t>SF: Teachers: Wages and salaries</t>
  </si>
  <si>
    <t>612150</t>
  </si>
  <si>
    <t>SF: Teachers: Overtime</t>
  </si>
  <si>
    <t>612200</t>
  </si>
  <si>
    <t>SF: Teachers: Employers national insurance</t>
  </si>
  <si>
    <t>612300</t>
  </si>
  <si>
    <t>SF: Teachers: Employers pension contribution</t>
  </si>
  <si>
    <t>615100</t>
  </si>
  <si>
    <t>SF: Teaching Assistants: Wages and salaries</t>
  </si>
  <si>
    <t>615150</t>
  </si>
  <si>
    <t>SF: Teaching Assistants: Overtime</t>
  </si>
  <si>
    <t>615200</t>
  </si>
  <si>
    <t>SF: Teaching Assistants: Employers national insurance</t>
  </si>
  <si>
    <t>615300</t>
  </si>
  <si>
    <t>SF: Teaching Assistants: Employers pension contribution</t>
  </si>
  <si>
    <t>620100</t>
  </si>
  <si>
    <t>SF: Librarians: Wages and salaries</t>
  </si>
  <si>
    <t>620150</t>
  </si>
  <si>
    <t>SF: Librarians: Overtime</t>
  </si>
  <si>
    <t>620200</t>
  </si>
  <si>
    <t>SF: Librarians: Employers national insurance</t>
  </si>
  <si>
    <t>620300</t>
  </si>
  <si>
    <t>SF: Librarians: Employers pension contribution</t>
  </si>
  <si>
    <t>622100</t>
  </si>
  <si>
    <t>SF: Technicians: Wages and salaries</t>
  </si>
  <si>
    <t>622150</t>
  </si>
  <si>
    <t>SF: Technicians: Overtime</t>
  </si>
  <si>
    <t>622200</t>
  </si>
  <si>
    <t>SF: Technicians: Employers national insurance</t>
  </si>
  <si>
    <t>622300</t>
  </si>
  <si>
    <t>SF: Technicians: Employers pension contribution</t>
  </si>
  <si>
    <t>623100</t>
  </si>
  <si>
    <t>SF: Cover supervisors: Wages and salaries</t>
  </si>
  <si>
    <t>623150</t>
  </si>
  <si>
    <t>SF: Cover supervisors: Overtime</t>
  </si>
  <si>
    <t>623200</t>
  </si>
  <si>
    <t>SF: Cover supervisors: Employers national insurance</t>
  </si>
  <si>
    <t>623300</t>
  </si>
  <si>
    <t>SF: Cover supervisors: Employers pension contribution</t>
  </si>
  <si>
    <t>625100</t>
  </si>
  <si>
    <t>SF: Finance and Admin: Wages and salaries</t>
  </si>
  <si>
    <t>625150</t>
  </si>
  <si>
    <t>SF: Finance and Admin: Overtime</t>
  </si>
  <si>
    <t>625200</t>
  </si>
  <si>
    <t>SF: Finance and Admin: Employers national insurance</t>
  </si>
  <si>
    <t>625300</t>
  </si>
  <si>
    <t>SF: Finance and Admin: Employers pension contribution</t>
  </si>
  <si>
    <t>627100</t>
  </si>
  <si>
    <t>SF: Site Staff: Wages and salaries</t>
  </si>
  <si>
    <t>627150</t>
  </si>
  <si>
    <t>SF: Site Staff: Overtime</t>
  </si>
  <si>
    <t>627200</t>
  </si>
  <si>
    <t>SF: Site Staff: Employers national insurance</t>
  </si>
  <si>
    <t>627300</t>
  </si>
  <si>
    <t>SF: Site Staff: Employers pension contribution</t>
  </si>
  <si>
    <t>630100</t>
  </si>
  <si>
    <t>SF: Cleaning Staff: Wages and salaries</t>
  </si>
  <si>
    <t>630150</t>
  </si>
  <si>
    <t>SF: Cleaning Staff: Overtime</t>
  </si>
  <si>
    <t>630200</t>
  </si>
  <si>
    <t>SF: Cleaning Staff: Employers national insurance</t>
  </si>
  <si>
    <t>630300</t>
  </si>
  <si>
    <t>SF: Cleaning Staff: Employers pension contribution</t>
  </si>
  <si>
    <t>632100</t>
  </si>
  <si>
    <t>SF: Catering Staff: Wages and salaries</t>
  </si>
  <si>
    <t>632150</t>
  </si>
  <si>
    <t>SF: Catering Staff: Overtime</t>
  </si>
  <si>
    <t>632200</t>
  </si>
  <si>
    <t>SF: Catering Staff: Employers national insurance</t>
  </si>
  <si>
    <t>632300</t>
  </si>
  <si>
    <t>SF: Catering Staff: Employers pension contribution</t>
  </si>
  <si>
    <t>635100</t>
  </si>
  <si>
    <t>SF: Midday Supervisors: Wages and salaries</t>
  </si>
  <si>
    <t>635150</t>
  </si>
  <si>
    <t>SF: Midday Supervisors: Overtime</t>
  </si>
  <si>
    <t>635200</t>
  </si>
  <si>
    <t>SF: Midday Supervisors: Employers national insurance</t>
  </si>
  <si>
    <t>635300</t>
  </si>
  <si>
    <t>SF: Midday Supervisors: Employers pension contribution</t>
  </si>
  <si>
    <t>637100</t>
  </si>
  <si>
    <t>SF: Nursery Staff: Wages and salaries</t>
  </si>
  <si>
    <t>637150</t>
  </si>
  <si>
    <t>SF: Nursery Staff: Overtime</t>
  </si>
  <si>
    <t>637200</t>
  </si>
  <si>
    <t>SF: Nursery Staff: Employers national insurance</t>
  </si>
  <si>
    <t>637300</t>
  </si>
  <si>
    <t>SF: Nursery Staff: Employers pension contribution</t>
  </si>
  <si>
    <t>640100</t>
  </si>
  <si>
    <t>SF: Family Support Workers: Wages and salaries</t>
  </si>
  <si>
    <t>640150</t>
  </si>
  <si>
    <t>SF: Family Support Workers: Overtime</t>
  </si>
  <si>
    <t>640200</t>
  </si>
  <si>
    <t>SF: Family Support Workers: Employers national insurance</t>
  </si>
  <si>
    <t>640300</t>
  </si>
  <si>
    <t>SF: Family Support Workers: Employers pension contribution</t>
  </si>
  <si>
    <t>642100</t>
  </si>
  <si>
    <t>SF: Exam Invigilators: Wages and salaries</t>
  </si>
  <si>
    <t>642150</t>
  </si>
  <si>
    <t>SF: Exam Invigilators: Overtime</t>
  </si>
  <si>
    <t>642200</t>
  </si>
  <si>
    <t>SF: Exam Invigilators: Employers national insurance</t>
  </si>
  <si>
    <t>642300</t>
  </si>
  <si>
    <t>SF: Exam Invigilators: Employers pension contribution</t>
  </si>
  <si>
    <t>645100</t>
  </si>
  <si>
    <t>SF: Community Facilities Staff: Wages and salaries</t>
  </si>
  <si>
    <t>645150</t>
  </si>
  <si>
    <t>SF: Community Facilities Staff: Overtime</t>
  </si>
  <si>
    <t>645200</t>
  </si>
  <si>
    <t>SF: Community Facilities Staff: Employers national insurance</t>
  </si>
  <si>
    <t>645300</t>
  </si>
  <si>
    <t>SF: Community Facilities Staff: Employers pension contribution</t>
  </si>
  <si>
    <t>647100</t>
  </si>
  <si>
    <t>SF: Other Staff: Wages and salaries</t>
  </si>
  <si>
    <t>647150</t>
  </si>
  <si>
    <t>SF: Other Staff: Overtime</t>
  </si>
  <si>
    <t>647200</t>
  </si>
  <si>
    <t>SF: Other Staff: Employers national insurance</t>
  </si>
  <si>
    <t>647300</t>
  </si>
  <si>
    <t>SF: Other Staff: Employers pension contribution</t>
  </si>
  <si>
    <t>648100</t>
  </si>
  <si>
    <t>SF: Cost of raising funds: Wages and salaries</t>
  </si>
  <si>
    <t>648150</t>
  </si>
  <si>
    <t>SF: Cost of raising funds: Overtime</t>
  </si>
  <si>
    <t>648200</t>
  </si>
  <si>
    <t>SF: Cost of raising funds: Employers national insurance</t>
  </si>
  <si>
    <t>648300</t>
  </si>
  <si>
    <t>SF: Cost of raising funds: Employers pension contribution</t>
  </si>
  <si>
    <t>649300</t>
  </si>
  <si>
    <t>SF: Pensions: Surplus/deficit on LGPS</t>
  </si>
  <si>
    <t>649350</t>
  </si>
  <si>
    <t>SF: Pensions: Suplus/deficit on LGPS</t>
  </si>
  <si>
    <t>650400</t>
  </si>
  <si>
    <t>SF: Supply Staff: Teachers - long term cover:Wages and salaries</t>
  </si>
  <si>
    <t>650410</t>
  </si>
  <si>
    <t>SF: Supply Staff: Teachers - long term cover:Employers national insurance</t>
  </si>
  <si>
    <t>650420</t>
  </si>
  <si>
    <t>SF: Supply Staff: Teachers - long term cover:Employers pension</t>
  </si>
  <si>
    <t>650450</t>
  </si>
  <si>
    <t>SF: Supply Staff: Teachers - short term cover:Wages and salaries</t>
  </si>
  <si>
    <t>650460</t>
  </si>
  <si>
    <t>SF: Supply Staff: Teachers - short term cover:Employers national insurance</t>
  </si>
  <si>
    <t>650470</t>
  </si>
  <si>
    <t>SF: Supply Staff: Teachers - short term cover:Employers pension</t>
  </si>
  <si>
    <t>650500</t>
  </si>
  <si>
    <t>SF: Supply Staff: Teaching assistants:Wages and salaries</t>
  </si>
  <si>
    <t>650510</t>
  </si>
  <si>
    <t>SF: Supply Staff: Teaching assistants:Employers national insurance</t>
  </si>
  <si>
    <t>650520</t>
  </si>
  <si>
    <t>SF: Supply Staff: Teaching assistants:Employers pension</t>
  </si>
  <si>
    <t>650550</t>
  </si>
  <si>
    <t>SF: Supply Staff: Support staff:Wages and salaries</t>
  </si>
  <si>
    <t>650560</t>
  </si>
  <si>
    <t>SF: Supply Staff: Support staff:Employers national insurance</t>
  </si>
  <si>
    <t>650570</t>
  </si>
  <si>
    <t>SF: Supply Staff: Support staff:Employers pension</t>
  </si>
  <si>
    <t>655100</t>
  </si>
  <si>
    <t>SF: Boarding Staff - direct: Wages and salaries</t>
  </si>
  <si>
    <t>655150</t>
  </si>
  <si>
    <t>SF: Boarding Staff - direct: Overtime</t>
  </si>
  <si>
    <t>655200</t>
  </si>
  <si>
    <t>SF: Boarding Staff - direct: Employers national insurance</t>
  </si>
  <si>
    <t>655300</t>
  </si>
  <si>
    <t>SF: Boarding Staff - direct: Employers pension contribution</t>
  </si>
  <si>
    <t>655500</t>
  </si>
  <si>
    <t>SF: Boarding Staff - direct: Agency staff - direct staff</t>
  </si>
  <si>
    <t>655550</t>
  </si>
  <si>
    <t>SF: Boarding Staff - direct: Compensation - direct staff</t>
  </si>
  <si>
    <t>656100</t>
  </si>
  <si>
    <t>SF: Boarding Staff - indirect: Wages and salaries</t>
  </si>
  <si>
    <t>656150</t>
  </si>
  <si>
    <t>SF: Boarding Staff - indirect: Overtime</t>
  </si>
  <si>
    <t>656200</t>
  </si>
  <si>
    <t>SF: Boarding Staff - indirect: Employers national insurance</t>
  </si>
  <si>
    <t>656300</t>
  </si>
  <si>
    <t>SF: Boarding Staff - indirect: Employers pension contribution</t>
  </si>
  <si>
    <t>656520</t>
  </si>
  <si>
    <t>SF: Boarding Staff - indirect: Agency staff - support</t>
  </si>
  <si>
    <t>656570</t>
  </si>
  <si>
    <t>SF: Boarding Staff - indirect: Compensation - support</t>
  </si>
  <si>
    <t>656600</t>
  </si>
  <si>
    <t>SF: Boarding Staff - indirect: Staff Welfare</t>
  </si>
  <si>
    <t>656620</t>
  </si>
  <si>
    <t>SF: Boarding Staff - indirect: Staff Development</t>
  </si>
  <si>
    <t>656650</t>
  </si>
  <si>
    <t>SF: Boarding Staff - indirect: Staff training</t>
  </si>
  <si>
    <t>656700</t>
  </si>
  <si>
    <t>SF: Boarding Staff - indirect: Staff insurance</t>
  </si>
  <si>
    <t>675100</t>
  </si>
  <si>
    <t>SF: Ind Emp Exp: Apprenticeship levy</t>
  </si>
  <si>
    <t>675150</t>
  </si>
  <si>
    <t>SF: Ind Emp Exp: Ex-gratia/severance - teachers</t>
  </si>
  <si>
    <t>675170</t>
  </si>
  <si>
    <t>SF: Ind Emp Exp: Ex-gratia/severance - support</t>
  </si>
  <si>
    <t>675200</t>
  </si>
  <si>
    <t>SF: Ind Emp Exp: Redundancy - teachers</t>
  </si>
  <si>
    <t>675220</t>
  </si>
  <si>
    <t>SF: Ind Emp Exp: Redundancy - support staff</t>
  </si>
  <si>
    <t>675250</t>
  </si>
  <si>
    <t>SF: Ind Emp Exp: Other restructuring - teachers</t>
  </si>
  <si>
    <t>675270</t>
  </si>
  <si>
    <t>SF: Ind Emp Exp: Other restructuring - support</t>
  </si>
  <si>
    <t>675300</t>
  </si>
  <si>
    <t>SF: Ind Emp Exp: Secondment income - teachers</t>
  </si>
  <si>
    <t>675320</t>
  </si>
  <si>
    <t>SF: Ind Emp Exp: Secondment income - support</t>
  </si>
  <si>
    <t>675400</t>
  </si>
  <si>
    <t>SF: Ind Emp Exp: Staff travel</t>
  </si>
  <si>
    <t>675410</t>
  </si>
  <si>
    <t>SF: Ind Emp Exp: Staff subsistence</t>
  </si>
  <si>
    <t>675420</t>
  </si>
  <si>
    <t>SF: Ind Emp Exp: Interview expenses</t>
  </si>
  <si>
    <t>675430</t>
  </si>
  <si>
    <t>SF: Ind Emp Exp: Staff uniforms</t>
  </si>
  <si>
    <t>675440</t>
  </si>
  <si>
    <t>SF: Ind Emp Exp: Childcare vouchers</t>
  </si>
  <si>
    <t>675450</t>
  </si>
  <si>
    <t>SF: Ind Emp Exp: Staff medical fees</t>
  </si>
  <si>
    <t>675460</t>
  </si>
  <si>
    <t>SF: Ind Emp Exp: Duty meals</t>
  </si>
  <si>
    <t>675500</t>
  </si>
  <si>
    <t>SF: Ind Emp Exp: Recruitment - teachers</t>
  </si>
  <si>
    <t>675510</t>
  </si>
  <si>
    <t>SF: Ind Emp Exp: Recruitment - support staff</t>
  </si>
  <si>
    <t>675520</t>
  </si>
  <si>
    <t>SF: Ind Emp Exp: Recruitment - leadership</t>
  </si>
  <si>
    <t>675550</t>
  </si>
  <si>
    <t>SF: Ind Emp Exp: Staff Advertising - teachers</t>
  </si>
  <si>
    <t>675560</t>
  </si>
  <si>
    <t>SF: Ind Emp Exp: Staff Advertising - support</t>
  </si>
  <si>
    <t>675570</t>
  </si>
  <si>
    <t>SF: Ind Emp Exp: Staff Advertising - leadership</t>
  </si>
  <si>
    <t>675600</t>
  </si>
  <si>
    <t>SF: Ind Emp Exp: DBS checks - teachers</t>
  </si>
  <si>
    <t>675620</t>
  </si>
  <si>
    <t>SF: Ind Emp Exp: DBS checks - support staff</t>
  </si>
  <si>
    <t>675650</t>
  </si>
  <si>
    <t>SF: Ind Emp Exp: Staff training - teachers</t>
  </si>
  <si>
    <t>675670</t>
  </si>
  <si>
    <t>SF: Ind Emp Exp: Staff training - support staff</t>
  </si>
  <si>
    <t>675690</t>
  </si>
  <si>
    <t>SF: Ind Emp Exp: Notional Apprenticeship levy exp</t>
  </si>
  <si>
    <t>675700</t>
  </si>
  <si>
    <t>SF: Ind Emp Exp: Other Ind Emp Expense - teachers</t>
  </si>
  <si>
    <t>675720</t>
  </si>
  <si>
    <t>SF: Ind Emp Exp: Other Ind Emp Expense - support</t>
  </si>
  <si>
    <t>675750</t>
  </si>
  <si>
    <t>SF: Ind Emp Exp: Supply insurance - teachers</t>
  </si>
  <si>
    <t>675770</t>
  </si>
  <si>
    <t>SF: Ind Emp Exp: Supply insurance - support</t>
  </si>
  <si>
    <t>675780</t>
  </si>
  <si>
    <t>SF: Ind Emp Exp: Employers liability insurance</t>
  </si>
  <si>
    <t>675800</t>
  </si>
  <si>
    <t>SF: Ind Emp Exp: Hospitality</t>
  </si>
  <si>
    <t>710100</t>
  </si>
  <si>
    <t>PR: R&amp;M: Building Repair and Maintenance</t>
  </si>
  <si>
    <t>C</t>
  </si>
  <si>
    <t>710200</t>
  </si>
  <si>
    <t>PR: R&amp;M: Building Improvements</t>
  </si>
  <si>
    <t>715100</t>
  </si>
  <si>
    <t>PR: Rates: Rates</t>
  </si>
  <si>
    <t>720100</t>
  </si>
  <si>
    <t>PR: Energy: Gas</t>
  </si>
  <si>
    <t>720200</t>
  </si>
  <si>
    <t>PR: Energy: Oil</t>
  </si>
  <si>
    <t>720300</t>
  </si>
  <si>
    <t>PR: Energy: Electricity</t>
  </si>
  <si>
    <t>725100</t>
  </si>
  <si>
    <t>PR: Insurance: Risk Protection Arrangement</t>
  </si>
  <si>
    <t>725200</t>
  </si>
  <si>
    <t>PR: Insurance: Premises Insurance (not RPA)</t>
  </si>
  <si>
    <t>725300</t>
  </si>
  <si>
    <t>PR: Insurance: Boarding Insurance</t>
  </si>
  <si>
    <t>725400</t>
  </si>
  <si>
    <t>PR: Insurance: Vehicle Insurance</t>
  </si>
  <si>
    <t>730100</t>
  </si>
  <si>
    <t>PR: Cleaning &amp; Caretaking: Cleaning contracts</t>
  </si>
  <si>
    <t>730200</t>
  </si>
  <si>
    <t>PR: Cleaning &amp; Caretaking: Cleaning equipment and materials</t>
  </si>
  <si>
    <t>730300</t>
  </si>
  <si>
    <t>PR: Cleaning &amp; Caretaking: Window Cleaning</t>
  </si>
  <si>
    <t>730400</t>
  </si>
  <si>
    <t>PR: Cleaning &amp; Caretaking: Caretaking Supplies and Equip</t>
  </si>
  <si>
    <t>735100</t>
  </si>
  <si>
    <t>PR: Operating leases: Building rent payable</t>
  </si>
  <si>
    <t>735200</t>
  </si>
  <si>
    <t>PR: Operating leases: Photocopiers</t>
  </si>
  <si>
    <t>735300</t>
  </si>
  <si>
    <t>PR: Operating leases: Telephony</t>
  </si>
  <si>
    <t>735400</t>
  </si>
  <si>
    <t>PR: Operating leases: Other equipment</t>
  </si>
  <si>
    <t>740100</t>
  </si>
  <si>
    <t>PR: Security: Security Alarms / CCTV Services</t>
  </si>
  <si>
    <t>740200</t>
  </si>
  <si>
    <t>PR: Security: Security Patrols</t>
  </si>
  <si>
    <t>750100</t>
  </si>
  <si>
    <t>PR: Special Facilities: Swimming pool equipment/material</t>
  </si>
  <si>
    <t>750150</t>
  </si>
  <si>
    <t>PR: Special Facilities: Sports centre equipment/materials</t>
  </si>
  <si>
    <t>750200</t>
  </si>
  <si>
    <t>PR: Special Facilities: Before and After School clubs</t>
  </si>
  <si>
    <t>750250</t>
  </si>
  <si>
    <t>PR: Special Facilities: Farm and Rural Studies</t>
  </si>
  <si>
    <t>750300</t>
  </si>
  <si>
    <t>PR: Special Facilities: External cluster funding contrib</t>
  </si>
  <si>
    <t>750350</t>
  </si>
  <si>
    <t>PR: Special Facilities: Pupil travel across the trust</t>
  </si>
  <si>
    <t>750400</t>
  </si>
  <si>
    <t>PR: Special Facilities: Home to school transport</t>
  </si>
  <si>
    <t>760100</t>
  </si>
  <si>
    <t>PR: Other Premises: Grounds Maintenance</t>
  </si>
  <si>
    <t>760150</t>
  </si>
  <si>
    <t>PR: Other Premises: Water and Sewerage</t>
  </si>
  <si>
    <t>760200</t>
  </si>
  <si>
    <t>PR: Other Premises: Septic Tanks</t>
  </si>
  <si>
    <t>760250</t>
  </si>
  <si>
    <t>PR: Other Premises: Refuse Removal</t>
  </si>
  <si>
    <t>760300</t>
  </si>
  <si>
    <t>PR: Other Premises: Hygiene Supplies &amp; Services</t>
  </si>
  <si>
    <t>760350</t>
  </si>
  <si>
    <t>PR: Other Premises: Health &amp; Safety</t>
  </si>
  <si>
    <t>760400</t>
  </si>
  <si>
    <t>PR: Other Premises: Electrical Service Contract</t>
  </si>
  <si>
    <t>760450</t>
  </si>
  <si>
    <t>PR: Other Premises: Mechanical Service Contract</t>
  </si>
  <si>
    <t>760500</t>
  </si>
  <si>
    <t>PR: Other Premises: Appliance Testing</t>
  </si>
  <si>
    <t>760550</t>
  </si>
  <si>
    <t>PR: Other Premises: Fire Alarm and Extinguisher Serv</t>
  </si>
  <si>
    <t>760600</t>
  </si>
  <si>
    <t>PR: Other Premises: Heating and Air Conditioning</t>
  </si>
  <si>
    <t>760650</t>
  </si>
  <si>
    <t>PR: Other Premises: Pest Control</t>
  </si>
  <si>
    <t>760700</t>
  </si>
  <si>
    <t>PR: Other Premises: Other Occupancy</t>
  </si>
  <si>
    <t>760710</t>
  </si>
  <si>
    <t>PR: Other premises: Revenue expenditure from capital funding</t>
  </si>
  <si>
    <t>780100</t>
  </si>
  <si>
    <t>PR: Boarding - premises: Rates</t>
  </si>
  <si>
    <t>780150</t>
  </si>
  <si>
    <t>PR: Boarding - premises: Water rates</t>
  </si>
  <si>
    <t>780200</t>
  </si>
  <si>
    <t>PR: Boarding - premises: Electricity</t>
  </si>
  <si>
    <t>780250</t>
  </si>
  <si>
    <t>PR: Boarding - premises: Gas</t>
  </si>
  <si>
    <t>780300</t>
  </si>
  <si>
    <t>PR: Boarding - premises: Heating oil</t>
  </si>
  <si>
    <t>780350</t>
  </si>
  <si>
    <t>PR: Boarding - premises: Operating lease - Land and build</t>
  </si>
  <si>
    <t>780400</t>
  </si>
  <si>
    <t>PR: Boarding - premises: Operating lease - Photocopiers</t>
  </si>
  <si>
    <t>780450</t>
  </si>
  <si>
    <t>PR: Boarding - premises: Operating lease - Telephones</t>
  </si>
  <si>
    <t>780500</t>
  </si>
  <si>
    <t>PR: Boarding - premises: Operating lease - Other equip</t>
  </si>
  <si>
    <t>780600</t>
  </si>
  <si>
    <t>PR: Boarding - premises: Insurance - Commercial provider</t>
  </si>
  <si>
    <t>780700</t>
  </si>
  <si>
    <t>PR: Boarding - premises: Reps &amp; renewals - Property</t>
  </si>
  <si>
    <t>780720</t>
  </si>
  <si>
    <t>PR: Boarding - premises: Reps &amp; renewals - Grounds</t>
  </si>
  <si>
    <t>780750</t>
  </si>
  <si>
    <t>PR: Boarding - premises: Reps &amp; renewals - Motor vehicles</t>
  </si>
  <si>
    <t>780770</t>
  </si>
  <si>
    <t>PR: Boarding - premises: Reps &amp; renewals - Equipment</t>
  </si>
  <si>
    <t>780800</t>
  </si>
  <si>
    <t>PR: Boarding - premises: Boarding - Security</t>
  </si>
  <si>
    <t>780850</t>
  </si>
  <si>
    <t>PR: Boarding - premises: Boarding - Other premises costs</t>
  </si>
  <si>
    <t>810100</t>
  </si>
  <si>
    <t>SP: Educ Supplies: Books</t>
  </si>
  <si>
    <t>810150</t>
  </si>
  <si>
    <t>SP: Educ Supplies: Library Services</t>
  </si>
  <si>
    <t>810200</t>
  </si>
  <si>
    <t>SP: Educ Supplies: Curriculum Materials</t>
  </si>
  <si>
    <t>810250</t>
  </si>
  <si>
    <t>SP: Educ Supplies: Education Equipment (not IT)</t>
  </si>
  <si>
    <t>810300</t>
  </si>
  <si>
    <t>SP: Educ Supplies: Education Eqpmt repairs (not IT)</t>
  </si>
  <si>
    <t>810350</t>
  </si>
  <si>
    <t>SP: Educ Supplies: Educ Furniture</t>
  </si>
  <si>
    <t>810400</t>
  </si>
  <si>
    <t>SP: Educ Supplies: Audio Visual</t>
  </si>
  <si>
    <t>810450</t>
  </si>
  <si>
    <t>SP: Educ Supplies: Repair of PE/Musical Equipment</t>
  </si>
  <si>
    <t>810500</t>
  </si>
  <si>
    <t>SP: Educ Supplies: External education providers</t>
  </si>
  <si>
    <t>810550</t>
  </si>
  <si>
    <t>SP: Educ Supplies: Primary school PIP exam fees</t>
  </si>
  <si>
    <t>815100</t>
  </si>
  <si>
    <t>SP: Examination Fees: Examination Fees</t>
  </si>
  <si>
    <t>815200</t>
  </si>
  <si>
    <t>SP: Examination Fees: Examination Resources</t>
  </si>
  <si>
    <t>820100</t>
  </si>
  <si>
    <t>SP: Technology Costs: Educational IT Equipment</t>
  </si>
  <si>
    <t>820150</t>
  </si>
  <si>
    <t>SP: Technology Costs: Educational software &amp; licences</t>
  </si>
  <si>
    <t>820300</t>
  </si>
  <si>
    <t>SP: Technology Costs: ICT Support contract</t>
  </si>
  <si>
    <t>820320</t>
  </si>
  <si>
    <t>SP: Technology Costs: ICT Hardware (not capital)</t>
  </si>
  <si>
    <t>820350</t>
  </si>
  <si>
    <t>SP: Technology Costs: ICT Repairs</t>
  </si>
  <si>
    <t>820370</t>
  </si>
  <si>
    <t>SP: Technology Costs: ICT Software (not capital)</t>
  </si>
  <si>
    <t>820400</t>
  </si>
  <si>
    <t>SP: Technology Costs: ICT Licences</t>
  </si>
  <si>
    <t>820420</t>
  </si>
  <si>
    <t>SP: Technology Costs: ICT Broadband</t>
  </si>
  <si>
    <t>820450</t>
  </si>
  <si>
    <t>SP: Technology Costs: ICT Consumable</t>
  </si>
  <si>
    <t>820470</t>
  </si>
  <si>
    <t>SP: Technology Costs: Printer Consumables</t>
  </si>
  <si>
    <t>820500</t>
  </si>
  <si>
    <t>SP: Technology Costs: ICT Annual Maintenance</t>
  </si>
  <si>
    <t>820520</t>
  </si>
  <si>
    <t>SP: Technology Costs: ICT Consultancy</t>
  </si>
  <si>
    <t>820550</t>
  </si>
  <si>
    <t>SP: Technology Costs: ICT Hosting Fees</t>
  </si>
  <si>
    <t>820570</t>
  </si>
  <si>
    <t>SP: Technology Costs: ICT Other</t>
  </si>
  <si>
    <t>825100</t>
  </si>
  <si>
    <t>SP: Educ Consultancy: External sports coaches</t>
  </si>
  <si>
    <t>825150</t>
  </si>
  <si>
    <t>SP: Educ Consultancy: Peripatetic music teachers</t>
  </si>
  <si>
    <t>825200</t>
  </si>
  <si>
    <t>SP: Educ Consultancy: Exam Invigilation costs</t>
  </si>
  <si>
    <t>825250</t>
  </si>
  <si>
    <t>SP: Educ Consultancy: Courses - external providers</t>
  </si>
  <si>
    <t>825300</t>
  </si>
  <si>
    <t>SP: Educ Consultancy: Behaviour support services</t>
  </si>
  <si>
    <t>825330</t>
  </si>
  <si>
    <t>SP: Educ Consultancy: Education welfare and attendance services</t>
  </si>
  <si>
    <t>825350</t>
  </si>
  <si>
    <t>SP: Educ Consultancy: Library &amp; museum services</t>
  </si>
  <si>
    <t>825400</t>
  </si>
  <si>
    <t>SP: Educ Consultancy: Other Educ consultancy</t>
  </si>
  <si>
    <t>830100</t>
  </si>
  <si>
    <t>SP: School Trips: School Trips - Travel costs</t>
  </si>
  <si>
    <t>830150</t>
  </si>
  <si>
    <t>SP: School Trips: School Trips - Accom/Entrance</t>
  </si>
  <si>
    <t>830200</t>
  </si>
  <si>
    <t>SP: School Trips: School Trips -  Food &amp; Drink</t>
  </si>
  <si>
    <t>830250</t>
  </si>
  <si>
    <t>SP: School Trips: School Trips - Sundry</t>
  </si>
  <si>
    <t>830300</t>
  </si>
  <si>
    <t>SP: School Trips: School Trips - Insurance</t>
  </si>
  <si>
    <t>835100</t>
  </si>
  <si>
    <t>SP: Administration: Subscriptions</t>
  </si>
  <si>
    <t>835120</t>
  </si>
  <si>
    <t>SP: Administration: TV licences</t>
  </si>
  <si>
    <t>835150</t>
  </si>
  <si>
    <t>SP: Administration: Non-ICT licences</t>
  </si>
  <si>
    <t>835170</t>
  </si>
  <si>
    <t>SP: Administration: Contribs from academies to trust</t>
  </si>
  <si>
    <t>835200</t>
  </si>
  <si>
    <t>SP: Administration: Admin Supplies &amp; Stationery</t>
  </si>
  <si>
    <t>835220</t>
  </si>
  <si>
    <t>SP: Administration: Admin Photocopying</t>
  </si>
  <si>
    <t>835250</t>
  </si>
  <si>
    <t>SP: Administration: Printing</t>
  </si>
  <si>
    <t>835270</t>
  </si>
  <si>
    <t>SP: Administration: PR (Literature &amp; Brochures)</t>
  </si>
  <si>
    <t>835300</t>
  </si>
  <si>
    <t>SP: Administration: Advertising</t>
  </si>
  <si>
    <t>835320</t>
  </si>
  <si>
    <t>SP: Administration: Postage and Carriage</t>
  </si>
  <si>
    <t>835350</t>
  </si>
  <si>
    <t>SP: Administration: Telephone Costs</t>
  </si>
  <si>
    <t>835370</t>
  </si>
  <si>
    <t>SP: Administration: Mobile Phones</t>
  </si>
  <si>
    <t>835400</t>
  </si>
  <si>
    <t>SP: Administration: Admin Furniture</t>
  </si>
  <si>
    <t>835420</t>
  </si>
  <si>
    <t>SP: Administration: Admin Equipment</t>
  </si>
  <si>
    <t>835450</t>
  </si>
  <si>
    <t>SP: Administration: Admin ICT</t>
  </si>
  <si>
    <t>835470</t>
  </si>
  <si>
    <t>SP: Administration: Admin Equipment repairs</t>
  </si>
  <si>
    <t>835500</t>
  </si>
  <si>
    <t>SP: Administration: Medical</t>
  </si>
  <si>
    <t>835520</t>
  </si>
  <si>
    <t>SP: Administration: Laundry</t>
  </si>
  <si>
    <t>835550</t>
  </si>
  <si>
    <t>SP: Administration: Refreshments</t>
  </si>
  <si>
    <t>835570</t>
  </si>
  <si>
    <t>SP: Administration: Bank charges</t>
  </si>
  <si>
    <t>840100</t>
  </si>
  <si>
    <t>SP: Transport: Vehicle Costs</t>
  </si>
  <si>
    <t>840200</t>
  </si>
  <si>
    <t>SP: Transport: Vehicle Hire</t>
  </si>
  <si>
    <t>845100</t>
  </si>
  <si>
    <t>SP: Bought in supply cover: Agency teaching staff long term</t>
  </si>
  <si>
    <t>845150</t>
  </si>
  <si>
    <t>SP: Bought in supply cover: Agency teaching staff short term</t>
  </si>
  <si>
    <t>845200</t>
  </si>
  <si>
    <t>SP: Bought in supply cover: Agency teaching assistants</t>
  </si>
  <si>
    <t>845260</t>
  </si>
  <si>
    <t>SP: Bought in supply cover: Agency support staff - cleaning and caretaking</t>
  </si>
  <si>
    <t>845270</t>
  </si>
  <si>
    <t>SP: Bought in supply cover: Agency support staff - grounds maintenance</t>
  </si>
  <si>
    <t>845280</t>
  </si>
  <si>
    <t>SP: Bought in supply cover: Agency support staff - other occupational costs</t>
  </si>
  <si>
    <t>845290</t>
  </si>
  <si>
    <t>SP: Bought in supply cover: Agency support staff - special facilities</t>
  </si>
  <si>
    <t>845300</t>
  </si>
  <si>
    <t>SP: Bought in supply cover: Agency support staff - catering</t>
  </si>
  <si>
    <t>845310</t>
  </si>
  <si>
    <t>SP: Bought in supply cover: Agency support staff - professional services - non-curriculum</t>
  </si>
  <si>
    <t>850100</t>
  </si>
  <si>
    <t>SP: Catering: Catering contract</t>
  </si>
  <si>
    <t>850150</t>
  </si>
  <si>
    <t>SP: Catering: Catering - Food &amp; Drink</t>
  </si>
  <si>
    <t>850200</t>
  </si>
  <si>
    <t>SP: Catering: Catering - Consumables</t>
  </si>
  <si>
    <t>850250</t>
  </si>
  <si>
    <t>SP: Catering: Catering - Equipment</t>
  </si>
  <si>
    <t>850300</t>
  </si>
  <si>
    <t>SP: Catering: Catering - Maint. and Repairs</t>
  </si>
  <si>
    <t>850350</t>
  </si>
  <si>
    <t>SP: Catering: Vending Machines</t>
  </si>
  <si>
    <t>855100</t>
  </si>
  <si>
    <t>SP: Non-educ contracts: Consultancy Fees</t>
  </si>
  <si>
    <t>855120</t>
  </si>
  <si>
    <t>SP: Non-educ contracts: Counsellors</t>
  </si>
  <si>
    <t>855150</t>
  </si>
  <si>
    <t>SP: Non-educ contracts: Financial</t>
  </si>
  <si>
    <t>855170</t>
  </si>
  <si>
    <t>SP: Non-educ contracts: Legal - Other</t>
  </si>
  <si>
    <t>855180</t>
  </si>
  <si>
    <t>SP: Non-educ contracts: Legal - Conversion</t>
  </si>
  <si>
    <t>855200</t>
  </si>
  <si>
    <t>SP: Non-educ contracts: Personnel/HR</t>
  </si>
  <si>
    <t>855220</t>
  </si>
  <si>
    <t>SP: Non-educ contracts: Payroll</t>
  </si>
  <si>
    <t>855250</t>
  </si>
  <si>
    <t>SP: Non-educ contracts: Clerking board/governor meetings</t>
  </si>
  <si>
    <t>855270</t>
  </si>
  <si>
    <t>SP: Non-educ contracts: Occupational Health</t>
  </si>
  <si>
    <t>855300</t>
  </si>
  <si>
    <t>SP: Non-educ contracts: Property Management Services</t>
  </si>
  <si>
    <t>855320</t>
  </si>
  <si>
    <t>SP: Non-educ contracts: Energy Management Services</t>
  </si>
  <si>
    <t>855350</t>
  </si>
  <si>
    <t>SP: Non-educ contracts: Free School Meals - pupil checks</t>
  </si>
  <si>
    <t>855370</t>
  </si>
  <si>
    <t>SP: Non-educ contracts: Admissions service</t>
  </si>
  <si>
    <t>855400</t>
  </si>
  <si>
    <t>SP: Non-educ contracts: educ Psychologist</t>
  </si>
  <si>
    <t>855420</t>
  </si>
  <si>
    <t>SP: Non-educ contracts: Speech &amp; Language Therapist</t>
  </si>
  <si>
    <t>855450</t>
  </si>
  <si>
    <t>SP: Non-educ contracts: External SEN consultancy</t>
  </si>
  <si>
    <t>855470</t>
  </si>
  <si>
    <t>SP: Non-educ contracts: Cash Collection services</t>
  </si>
  <si>
    <t>855500</t>
  </si>
  <si>
    <t>SP: Non-educ contracts: PFI contract management services</t>
  </si>
  <si>
    <t>855600</t>
  </si>
  <si>
    <t>SP: Non-educ contracts: Other non-educational contracts</t>
  </si>
  <si>
    <t>860100</t>
  </si>
  <si>
    <t>SP: Audit: Statutory audit fees</t>
  </si>
  <si>
    <t>860200</t>
  </si>
  <si>
    <t>SP: Audit: Internal audit &amp; other fees</t>
  </si>
  <si>
    <t>860300</t>
  </si>
  <si>
    <t>SP: Audit: Accounts return</t>
  </si>
  <si>
    <t>865100</t>
  </si>
  <si>
    <t>SP: Governance: Academy governor - travel</t>
  </si>
  <si>
    <t>865150</t>
  </si>
  <si>
    <t>SP: Governance: Academy governor - subsistence</t>
  </si>
  <si>
    <t>865200</t>
  </si>
  <si>
    <t>SP: Governance: Academy governor - other reimb.</t>
  </si>
  <si>
    <t>865300</t>
  </si>
  <si>
    <t>SP: Governance: Trust Director - travel</t>
  </si>
  <si>
    <t>865350</t>
  </si>
  <si>
    <t>SP: Governance: Trust Director - subsistence</t>
  </si>
  <si>
    <t>865400</t>
  </si>
  <si>
    <t>SP: Governance: Trust Director - other reimb.</t>
  </si>
  <si>
    <t>865410</t>
  </si>
  <si>
    <t>SP: Administration-support costs: Revenue expenditure from capital funding</t>
  </si>
  <si>
    <t>870200</t>
  </si>
  <si>
    <t>SP: Cost of raising funds: Cost of raising funds - premises</t>
  </si>
  <si>
    <t>870220</t>
  </si>
  <si>
    <t>SP: Cost of raising funds: Cost of raising funds - Depr'n</t>
  </si>
  <si>
    <t>870240</t>
  </si>
  <si>
    <t>SP: Cost of raising funds: Cost of raising funds - amortisation</t>
  </si>
  <si>
    <t>870260</t>
  </si>
  <si>
    <t>SP: Cost of raising funds: Cost of raising funds - Impair't</t>
  </si>
  <si>
    <t>870300</t>
  </si>
  <si>
    <t>SP: Cost of raising funds: Cost of raising funds - teaching/learning</t>
  </si>
  <si>
    <t>870350</t>
  </si>
  <si>
    <t>SP: Cost of raising funds: Cost of raising funds - technology</t>
  </si>
  <si>
    <t>870400</t>
  </si>
  <si>
    <t>SP: Cost of raising funds: Cost of raising funds - governance</t>
  </si>
  <si>
    <t>870500</t>
  </si>
  <si>
    <t>SP: Cost of raising funds: Cost of raising funds - other</t>
  </si>
  <si>
    <t>872100</t>
  </si>
  <si>
    <t>SP: Teaching School Hub: Staff costs - direct</t>
  </si>
  <si>
    <t>872150</t>
  </si>
  <si>
    <t>SP: Teaching School Hub: Staff Development</t>
  </si>
  <si>
    <t>872200</t>
  </si>
  <si>
    <t>SP: Teaching School Hub: Other Direct costs</t>
  </si>
  <si>
    <t>872500</t>
  </si>
  <si>
    <t>SP: Teaching School Hub: Staff costs - support</t>
  </si>
  <si>
    <t>872550</t>
  </si>
  <si>
    <t>SP: Teaching School Hub: Depr'n</t>
  </si>
  <si>
    <t>872600</t>
  </si>
  <si>
    <t>SP: Teaching School Hub: Technology costs</t>
  </si>
  <si>
    <t>872650</t>
  </si>
  <si>
    <t>SP: Teaching School Hub: Recruitment and support</t>
  </si>
  <si>
    <t>872700</t>
  </si>
  <si>
    <t>SP: Teaching School Hub: Security and support</t>
  </si>
  <si>
    <t>872750</t>
  </si>
  <si>
    <t>SP: Teaching School Hub: Governance costs</t>
  </si>
  <si>
    <t>872950</t>
  </si>
  <si>
    <t>SP: Teaching School Hub: Other support costs</t>
  </si>
  <si>
    <t>880100</t>
  </si>
  <si>
    <t>SP: Other supplies &amp; services: Pupil gifts and prizes</t>
  </si>
  <si>
    <t>880150</t>
  </si>
  <si>
    <t>SP: Other supplies &amp; services: Student bursary expenditure</t>
  </si>
  <si>
    <t>880170</t>
  </si>
  <si>
    <t>SP: Other supplies &amp; services: Welfare payments to pupils/students</t>
  </si>
  <si>
    <t>880200</t>
  </si>
  <si>
    <t>SP: Other supplies &amp; services: Increase in provisions</t>
  </si>
  <si>
    <t>880220</t>
  </si>
  <si>
    <t>SP: Other supplies &amp; services: Release of provisions</t>
  </si>
  <si>
    <t>880250</t>
  </si>
  <si>
    <t>SP: Other supplies &amp; services: Bad Debt written off</t>
  </si>
  <si>
    <t>880300</t>
  </si>
  <si>
    <t>SP: Other supplies &amp; services: Excluded pupils</t>
  </si>
  <si>
    <t>880350</t>
  </si>
  <si>
    <t>SP: Other supplies &amp; services: Academy performances</t>
  </si>
  <si>
    <t>880400</t>
  </si>
  <si>
    <t>SP: Other supplies &amp; services: Parent evenings/meetings</t>
  </si>
  <si>
    <t>880450</t>
  </si>
  <si>
    <t>SP: Other supplies &amp; services: Room Hire</t>
  </si>
  <si>
    <t>880500</t>
  </si>
  <si>
    <t>SP: Other supplies &amp; services: Other not attributable expend</t>
  </si>
  <si>
    <t>880530</t>
  </si>
  <si>
    <t>SP: Other supplies &amp; services: Donations to charities</t>
  </si>
  <si>
    <t>880550</t>
  </si>
  <si>
    <t>SP: Other supplies &amp; services: School uniforms (cost)</t>
  </si>
  <si>
    <t>890100</t>
  </si>
  <si>
    <t xml:space="preserve">SP: Financing costs: PFI Specialist concession acct </t>
  </si>
  <si>
    <t>890150</t>
  </si>
  <si>
    <t>SP: Financing costs: PFI payment to LA</t>
  </si>
  <si>
    <t>890200</t>
  </si>
  <si>
    <t>SP: Financing costs: Loan Interest paid - DfE Group</t>
  </si>
  <si>
    <t>890300</t>
  </si>
  <si>
    <t>SP: Financing costs: Loan Interest paid - other</t>
  </si>
  <si>
    <t>890400</t>
  </si>
  <si>
    <t>SP: Financing costs: Finance lease interest</t>
  </si>
  <si>
    <t>892100</t>
  </si>
  <si>
    <t>SP: Asset financing: Depr'n - direct costs - buildings</t>
  </si>
  <si>
    <t>892110</t>
  </si>
  <si>
    <t>SP: Asset financing: Depr'n - direct costs - other assets</t>
  </si>
  <si>
    <t>892150</t>
  </si>
  <si>
    <t>SP: Asset financing: Depr'n - indirect costs - buildings</t>
  </si>
  <si>
    <t>892160</t>
  </si>
  <si>
    <t>SP: Asset financing: Depr'n - indirect costs - other assets</t>
  </si>
  <si>
    <t>892200</t>
  </si>
  <si>
    <t>SP: Asset financing: Amortisation - direct costs</t>
  </si>
  <si>
    <t>892250</t>
  </si>
  <si>
    <t>SP: Asset financing: Amortisation - indirect costs</t>
  </si>
  <si>
    <t>892300</t>
  </si>
  <si>
    <t>SP: Asset financing: Impair't - direct costs</t>
  </si>
  <si>
    <t>892350</t>
  </si>
  <si>
    <t>SP: Asset financing: Impair't - indirect costs</t>
  </si>
  <si>
    <t>892500</t>
  </si>
  <si>
    <t>SP: Asset financing: (Gain)/loss on disp of tang FA</t>
  </si>
  <si>
    <t>892600</t>
  </si>
  <si>
    <t>SP: Asset financing: (Gain)/loss on disp of Intang FA</t>
  </si>
  <si>
    <t>892700</t>
  </si>
  <si>
    <t>SP: Asset financing: (Gain)/loss on disp of invest's</t>
  </si>
  <si>
    <t>892800</t>
  </si>
  <si>
    <t>SP: Asset financing: Revenue contributions to capital</t>
  </si>
  <si>
    <t>893100</t>
  </si>
  <si>
    <t>SP: Other recognised gains/losses: Actuarial gain/loss pension fund</t>
  </si>
  <si>
    <t>893200</t>
  </si>
  <si>
    <t>SP: Other recognised gains/losses: Valuation of FA</t>
  </si>
  <si>
    <t>893300</t>
  </si>
  <si>
    <t>SP: Other recognised gains/losses: Valuation of investments</t>
  </si>
  <si>
    <t>895100</t>
  </si>
  <si>
    <t>SP: Boarding - supplies: Direct Goods &amp; services</t>
  </si>
  <si>
    <t>895150</t>
  </si>
  <si>
    <t>SP: Boarding - supplies: Direct Travel</t>
  </si>
  <si>
    <t>895200</t>
  </si>
  <si>
    <t>SP: Boarding - supplies: Direct subsistence</t>
  </si>
  <si>
    <t>895250</t>
  </si>
  <si>
    <t>SP: Boarding - supplies: Catering</t>
  </si>
  <si>
    <t>895300</t>
  </si>
  <si>
    <t>SP: Boarding - supplies: Other direct cost</t>
  </si>
  <si>
    <t>895350</t>
  </si>
  <si>
    <t>SP: Boarding - supplies: Bad debt expense</t>
  </si>
  <si>
    <t>895400</t>
  </si>
  <si>
    <t>SP: Boarding - supplies: Travel</t>
  </si>
  <si>
    <t>895450</t>
  </si>
  <si>
    <t>SP: Boarding - supplies: Subsistence</t>
  </si>
  <si>
    <t>895500</t>
  </si>
  <si>
    <t>SP: Boarding - supplies: Other support cost</t>
  </si>
  <si>
    <t>895550</t>
  </si>
  <si>
    <t>SP: Boarding - supplies: Other support cost Academy Trusts</t>
  </si>
  <si>
    <t>895600</t>
  </si>
  <si>
    <t>SP: Boarding - supplies: (Gain)/loss on disp of tang FA</t>
  </si>
  <si>
    <t>895650</t>
  </si>
  <si>
    <t>SP: Boarding - supplies: (Gain)/loss on disp of Intang FA</t>
  </si>
  <si>
    <t>895700</t>
  </si>
  <si>
    <t>SP: Boarding - supplies: (Gain)/loss on disp of invest's</t>
  </si>
  <si>
    <t>895750</t>
  </si>
  <si>
    <t>SP: Boarding - supplies: Depr'n - boarding - buildings</t>
  </si>
  <si>
    <t>895760</t>
  </si>
  <si>
    <t>SP: Boarding - supplies: Depr'n - boarding - other assets</t>
  </si>
  <si>
    <t>895800</t>
  </si>
  <si>
    <t>SP: Boarding - supplies: Amortisation - boarding</t>
  </si>
  <si>
    <t>895850</t>
  </si>
  <si>
    <t>SP: Boarding - supplies: Impair't - boarding</t>
  </si>
  <si>
    <t>UNMAPPED</t>
  </si>
  <si>
    <t>Unmapped</t>
  </si>
  <si>
    <t>ZZZ</t>
  </si>
  <si>
    <t>Capital Income</t>
  </si>
  <si>
    <t>W1</t>
  </si>
  <si>
    <t>Capital Expenditure</t>
  </si>
  <si>
    <t>Z01</t>
  </si>
  <si>
    <t>No Longer In Use - Fund Opening Balances</t>
  </si>
  <si>
    <t>Z02</t>
  </si>
  <si>
    <t>Teaching Weekly FTE</t>
  </si>
  <si>
    <t>Z03</t>
  </si>
  <si>
    <t>Other Weekly FTE</t>
  </si>
  <si>
    <t>Z04</t>
  </si>
  <si>
    <t>Teaching Annual FTE</t>
  </si>
  <si>
    <t>Z05</t>
  </si>
  <si>
    <t>Other Annual FTE</t>
  </si>
  <si>
    <t>Z06</t>
  </si>
  <si>
    <t>Fixed Brought Forward Balances</t>
  </si>
  <si>
    <t>Z10</t>
  </si>
  <si>
    <t>Pupil Numbers - Lagged Funding</t>
  </si>
  <si>
    <t>Z11</t>
  </si>
  <si>
    <t>Free School Meals Pupil Numbers</t>
  </si>
  <si>
    <t>Z12</t>
  </si>
  <si>
    <t>Pupil Premium Pupil Numbers</t>
  </si>
  <si>
    <t>Z13</t>
  </si>
  <si>
    <t>Pupil Numbers - In Year Funding</t>
  </si>
  <si>
    <t>Z14</t>
  </si>
  <si>
    <t>Teaching Weekly FTE Leave Adjustment</t>
  </si>
  <si>
    <t>Z15</t>
  </si>
  <si>
    <t>Other Weekly FTE Leave Adjustment</t>
  </si>
  <si>
    <t>Z16</t>
  </si>
  <si>
    <t>Teaching Annual FTE Leave Adjustment</t>
  </si>
  <si>
    <t>Z17</t>
  </si>
  <si>
    <t>Other Annual FTE Leave Adjustment</t>
  </si>
  <si>
    <t>Not Applicable</t>
  </si>
  <si>
    <t>API - Do not edit</t>
  </si>
  <si>
    <t>Code is Blank</t>
  </si>
  <si>
    <t>Title is Blank</t>
  </si>
  <si>
    <t>Enabled is blank</t>
  </si>
  <si>
    <t>Code length Check</t>
  </si>
  <si>
    <t>Title length check</t>
  </si>
  <si>
    <t>Will import if zero</t>
  </si>
  <si>
    <t>FundCode</t>
  </si>
  <si>
    <t>Title</t>
  </si>
  <si>
    <t>FundEnabled</t>
  </si>
  <si>
    <t>DEFAULT</t>
  </si>
  <si>
    <t>01</t>
  </si>
  <si>
    <t>ActivityCode</t>
  </si>
  <si>
    <t>ActivityEnabled</t>
  </si>
  <si>
    <t>Default (no) Activity</t>
  </si>
  <si>
    <t>LedgerCode</t>
  </si>
  <si>
    <t>LedgerEnabled</t>
  </si>
  <si>
    <t>Default (no) Ledger</t>
  </si>
  <si>
    <t>DEPARTMENTS</t>
  </si>
  <si>
    <t>Departments Ledger</t>
  </si>
  <si>
    <t>CustomGroupingCode</t>
  </si>
  <si>
    <t>CustomGroupingEnabled</t>
  </si>
  <si>
    <t>Default Custom Group</t>
  </si>
  <si>
    <t>SchoolHubCode</t>
  </si>
  <si>
    <t>SchoolHubEnabled</t>
  </si>
  <si>
    <t>MAT</t>
  </si>
  <si>
    <t>Mat Hub</t>
  </si>
  <si>
    <t>Default</t>
  </si>
  <si>
    <t>SchoolTypeCode</t>
  </si>
  <si>
    <t>SchoolTypeEnabled</t>
  </si>
  <si>
    <t>CENTRAL</t>
  </si>
  <si>
    <t>Central Services</t>
  </si>
  <si>
    <t>PRIMARY</t>
  </si>
  <si>
    <t>Primary</t>
  </si>
  <si>
    <t>SECONDARY</t>
  </si>
  <si>
    <t>Secondary</t>
  </si>
  <si>
    <t>ALLTHROUGH</t>
  </si>
  <si>
    <t>All Through</t>
  </si>
  <si>
    <t>TEACHING</t>
  </si>
  <si>
    <t>Teaching</t>
  </si>
  <si>
    <t>SPECIAL</t>
  </si>
  <si>
    <t>Special</t>
  </si>
  <si>
    <t>OTHER</t>
  </si>
  <si>
    <t>Other</t>
  </si>
  <si>
    <t>LA</t>
  </si>
  <si>
    <t>This grey section can be edited</t>
  </si>
  <si>
    <t>SchoolLocalAuthorityCode</t>
  </si>
  <si>
    <t>SchoolLocalAuthorityEnabled</t>
  </si>
  <si>
    <t>LA0</t>
  </si>
  <si>
    <t>LA1</t>
  </si>
  <si>
    <t>DEV</t>
  </si>
  <si>
    <t>Devon</t>
  </si>
  <si>
    <t>LA2</t>
  </si>
  <si>
    <t>COR</t>
  </si>
  <si>
    <t>Cornwall</t>
  </si>
  <si>
    <t>HubIssues</t>
  </si>
  <si>
    <t>SchTypeIssue</t>
  </si>
  <si>
    <t>Blank Data</t>
  </si>
  <si>
    <t>Will Import if 0</t>
  </si>
  <si>
    <t>London Weighting Type</t>
  </si>
  <si>
    <t>School Type</t>
  </si>
  <si>
    <t>SchoolLocalAuthority</t>
  </si>
  <si>
    <t>SchoolCode</t>
  </si>
  <si>
    <t>SchoolHub</t>
  </si>
  <si>
    <t>SchoolType</t>
  </si>
  <si>
    <t>LondonWeighting</t>
  </si>
  <si>
    <t>UniqueReferenceNumber</t>
  </si>
  <si>
    <t>TeachingHours</t>
  </si>
  <si>
    <t>SchoolEnabled</t>
  </si>
  <si>
    <t>England &amp; Wales</t>
  </si>
  <si>
    <t>Central</t>
  </si>
  <si>
    <t>ALL</t>
  </si>
  <si>
    <t>Allthrough</t>
  </si>
  <si>
    <t xml:space="preserve">Central Services </t>
  </si>
  <si>
    <t>PRI</t>
  </si>
  <si>
    <t>AllThrough</t>
  </si>
  <si>
    <t>SEC</t>
  </si>
  <si>
    <t>SPE</t>
  </si>
  <si>
    <t>FundIssue</t>
  </si>
  <si>
    <t>ActivityIssue</t>
  </si>
  <si>
    <t>LedgerIssue</t>
  </si>
  <si>
    <t>DepartmentCode</t>
  </si>
  <si>
    <t>AvailableToAllSchools</t>
  </si>
  <si>
    <t>SchoolCodes</t>
  </si>
  <si>
    <t>DefaultFinanceCode</t>
  </si>
  <si>
    <t>DepartmentEnabled</t>
  </si>
  <si>
    <t>AADM</t>
  </si>
  <si>
    <t>Academy - Admin</t>
  </si>
  <si>
    <t>GAG</t>
  </si>
  <si>
    <t>COSTCTR</t>
  </si>
  <si>
    <t>London Weighting</t>
  </si>
  <si>
    <t>Key stage</t>
  </si>
  <si>
    <t>FinanceCode</t>
  </si>
  <si>
    <t>FinanceCodeTypeCode</t>
  </si>
  <si>
    <t>GroupingCode2</t>
  </si>
  <si>
    <t>CustomGrouping</t>
  </si>
  <si>
    <t>FinanceCodeEnabled</t>
  </si>
  <si>
    <t>BalanceToScenario</t>
  </si>
  <si>
    <t>All</t>
  </si>
  <si>
    <t>A_FTE_ADM</t>
  </si>
  <si>
    <t>Finance Admin Annual FTE</t>
  </si>
  <si>
    <t>STATISTICS</t>
  </si>
  <si>
    <t>A_FTE_CAT</t>
  </si>
  <si>
    <t>Catering Annual FTE</t>
  </si>
  <si>
    <t>A_FTE_CLE</t>
  </si>
  <si>
    <t>Cleaning Annual FTE</t>
  </si>
  <si>
    <t>A_FTE_COM</t>
  </si>
  <si>
    <t>Community Facilities Annual FTE</t>
  </si>
  <si>
    <t>A_FTE_COV</t>
  </si>
  <si>
    <t>Cover Annual FTE</t>
  </si>
  <si>
    <t>A_FTE_EDS</t>
  </si>
  <si>
    <t>Education Support Annual FTE</t>
  </si>
  <si>
    <t>A_FTE_ESTF</t>
  </si>
  <si>
    <t>External Staff Annual FTE</t>
  </si>
  <si>
    <t>A_FTE_EXT</t>
  </si>
  <si>
    <t>Extended Schools Annual FTE</t>
  </si>
  <si>
    <t>A_FTE_FLA</t>
  </si>
  <si>
    <t>FLA Annual FTE</t>
  </si>
  <si>
    <t>A_FTE_FSW</t>
  </si>
  <si>
    <t>Family Support Annual FTE</t>
  </si>
  <si>
    <t>A_FTE_INV</t>
  </si>
  <si>
    <t>Invigilator Annual FTE</t>
  </si>
  <si>
    <t>A_FTE_LEAVE_ADJ_ADM</t>
  </si>
  <si>
    <t>Finance Admin Annual FTE Leave Adjustment</t>
  </si>
  <si>
    <t>A_FTE_LEAVE_ADJ_CAT</t>
  </si>
  <si>
    <t>Catering Annual FTE Leave Adjustment</t>
  </si>
  <si>
    <t>A_FTE_LEAVE_ADJ_CLE</t>
  </si>
  <si>
    <t>Cleaning Annual FTE Leave Adjustment</t>
  </si>
  <si>
    <t>A_FTE_LEAVE_ADJ_COM</t>
  </si>
  <si>
    <t>Community Facilities Annual FTE Leave Adjustment</t>
  </si>
  <si>
    <t>A_FTE_LEAVE_ADJ_COV</t>
  </si>
  <si>
    <t>Cover Annual FTE Leave Adjustment</t>
  </si>
  <si>
    <t>A_FTE_LEAVE_ADJ_EDS</t>
  </si>
  <si>
    <t>Education Support Annual FTE Leave Adjustment</t>
  </si>
  <si>
    <t>A_FTE_LEAVE_ADJ_ESTF</t>
  </si>
  <si>
    <t>External Staff Annual FTE Leave Adjustment</t>
  </si>
  <si>
    <t>A_FTE_LEAVE_ADJ_EXT</t>
  </si>
  <si>
    <t>Extended Schools Annual FTE Leave Adjustment</t>
  </si>
  <si>
    <t>A_FTE_LEAVE_ADJ_FLA</t>
  </si>
  <si>
    <t>FLA Annual FTE Leave Adjustment</t>
  </si>
  <si>
    <t>A_FTE_LEAVE_ADJ_FSW</t>
  </si>
  <si>
    <t>Family Support Annual FTE Leave Adjustment</t>
  </si>
  <si>
    <t>A_FTE_LEAVE_ADJ_INV</t>
  </si>
  <si>
    <t>Invigilator Annual FTE Leave Adjustment</t>
  </si>
  <si>
    <t>A_FTE_LEAVE_ADJ_LIB</t>
  </si>
  <si>
    <t>Librarian Annual FTE Leave Adjustment</t>
  </si>
  <si>
    <t>A_FTE_LEAVE_ADJ_LSN</t>
  </si>
  <si>
    <t>Leadership Non-Teaching Annual FTE Leave Adjustment</t>
  </si>
  <si>
    <t>A_FTE_LEAVE_ADJ_LST</t>
  </si>
  <si>
    <t>Leadership Teaching Annual FTE Leave Adjustment</t>
  </si>
  <si>
    <t>A_FTE_LEAVE_ADJ_MDS</t>
  </si>
  <si>
    <t>Mid Day Supervisors Annual FTE Leave Adjustment</t>
  </si>
  <si>
    <t>A_FTE_LEAVE_ADJ_NUR</t>
  </si>
  <si>
    <t>Nursery Annual FTE Leave Adjustment</t>
  </si>
  <si>
    <t>A_FTE_LEAVE_ADJ_OTH</t>
  </si>
  <si>
    <t>Other Staff Annual FTE Leave Adjustment</t>
  </si>
  <si>
    <t>A_FTE_LEAVE_ADJ_PAS</t>
  </si>
  <si>
    <t>Pastoral Annual FTE Leave Adjustment</t>
  </si>
  <si>
    <t>A_FTE_LEAVE_ADJ_PRE</t>
  </si>
  <si>
    <t>Premises Annual FTE Leave Adjustment</t>
  </si>
  <si>
    <t>A_FTE_LEAVE_ADJ_TA</t>
  </si>
  <si>
    <t>Teaching Assistants Annual FTE Leave Adjustment</t>
  </si>
  <si>
    <t>A_FTE_LEAVE_ADJ_TEA</t>
  </si>
  <si>
    <t>A_FTE_LEAVE_ADJ_TEC</t>
  </si>
  <si>
    <t>Technicians Annual FTE Leave Adjustment</t>
  </si>
  <si>
    <t>A_FTE_LIB</t>
  </si>
  <si>
    <t>Librarian Annual FTE</t>
  </si>
  <si>
    <t>A_FTE_LSN</t>
  </si>
  <si>
    <t>Leadership Non-Teaching Annual FTE</t>
  </si>
  <si>
    <t>A_FTE_LST</t>
  </si>
  <si>
    <t>Leadership Teaching Annual FTE</t>
  </si>
  <si>
    <t>A_FTE_MDS</t>
  </si>
  <si>
    <t>Mid Day Supervisors Annual FTE</t>
  </si>
  <si>
    <t>A_FTE_NUR</t>
  </si>
  <si>
    <t>Nursery Annual FTE</t>
  </si>
  <si>
    <t>A_FTE_OTH</t>
  </si>
  <si>
    <t>Other Staff Annual FTE</t>
  </si>
  <si>
    <t>A_FTE_PAS</t>
  </si>
  <si>
    <t>Pastoral Annual FTE</t>
  </si>
  <si>
    <t>A_FTE_PRE</t>
  </si>
  <si>
    <t>Premises Annual FTE</t>
  </si>
  <si>
    <t>A_FTE_TA</t>
  </si>
  <si>
    <t>Teaching Assistants Annual FTE</t>
  </si>
  <si>
    <t>A_FTE_TEA</t>
  </si>
  <si>
    <t>A_FTE_TEC</t>
  </si>
  <si>
    <t>Technicians Annual FTE</t>
  </si>
  <si>
    <t>LIVWAGE</t>
  </si>
  <si>
    <t>Living Wage Topup</t>
  </si>
  <si>
    <t>MINWAGE</t>
  </si>
  <si>
    <t>Minimum Wage Top Up</t>
  </si>
  <si>
    <t>PENS</t>
  </si>
  <si>
    <t>Opted Out Pension Costs</t>
  </si>
  <si>
    <t>WK_FTE_ADM</t>
  </si>
  <si>
    <t>Finance Admin Weekly FTE</t>
  </si>
  <si>
    <t>WK_FTE_CAT</t>
  </si>
  <si>
    <t>Catering Weekly FTE</t>
  </si>
  <si>
    <t>WK_FTE_CLE</t>
  </si>
  <si>
    <t>Cleaning Weekly FTE</t>
  </si>
  <si>
    <t>WK_FTE_COM</t>
  </si>
  <si>
    <t>Community Facilities Weekly FTE</t>
  </si>
  <si>
    <t>WK_FTE_COV</t>
  </si>
  <si>
    <t>Cover Weekly FTE</t>
  </si>
  <si>
    <t>WK_FTE_EDS</t>
  </si>
  <si>
    <t>Education Support Weekly FTE</t>
  </si>
  <si>
    <t>WK_FTE_ESTF</t>
  </si>
  <si>
    <t>External Staff Weekly FTE</t>
  </si>
  <si>
    <t>WK_FTE_EXT</t>
  </si>
  <si>
    <t>Extended Schools Weekly FTE</t>
  </si>
  <si>
    <t>WK_FTE_FLA</t>
  </si>
  <si>
    <t>FLA Weekly  FTE</t>
  </si>
  <si>
    <t>WK_FTE_FSW</t>
  </si>
  <si>
    <t>Family Support Weekly  FTE</t>
  </si>
  <si>
    <t>WK_FTE_INV</t>
  </si>
  <si>
    <t>Invigilator Weekly  FTE</t>
  </si>
  <si>
    <t>WK_FTE_LEAVE_ADJ_ADM</t>
  </si>
  <si>
    <t>Finance Admin Weekly FTE Leave Adjustment</t>
  </si>
  <si>
    <t>WK_FTE_LEAVE_ADJ_CAT</t>
  </si>
  <si>
    <t>Catering Weekly FTE Leave Adjustment</t>
  </si>
  <si>
    <t>WK_FTE_LEAVE_ADJ_CLE</t>
  </si>
  <si>
    <t>Cleaning Weekly FTE Leave Adjustment</t>
  </si>
  <si>
    <t>WK_FTE_LEAVE_ADJ_COM</t>
  </si>
  <si>
    <t>Community Facilities Weekly FTE Leave Adjustment</t>
  </si>
  <si>
    <t>WK_FTE_LEAVE_ADJ_COV</t>
  </si>
  <si>
    <t>Cover Weekly FTE Leave Adjustment</t>
  </si>
  <si>
    <t>WK_FTE_LEAVE_ADJ_EDS</t>
  </si>
  <si>
    <t>Education Support Weekly FTE Leave Adjustment</t>
  </si>
  <si>
    <t>WK_FTE_LEAVE_ADJ_ESTF</t>
  </si>
  <si>
    <t>External Staff Weekly FTE Leave Adjustment</t>
  </si>
  <si>
    <t>WK_FTE_LEAVE_ADJ_EXT</t>
  </si>
  <si>
    <t>Extended Schools Weekly FTE Leave Adjustment</t>
  </si>
  <si>
    <t>WK_FTE_LEAVE_ADJ_FLA</t>
  </si>
  <si>
    <t>FLA Weekly  FTE Leave Adjustment</t>
  </si>
  <si>
    <t>WK_FTE_LEAVE_ADJ_FSW</t>
  </si>
  <si>
    <t>Family Support Weekly  FTE Leave Adjustment</t>
  </si>
  <si>
    <t>WK_FTE_LEAVE_ADJ_INV</t>
  </si>
  <si>
    <t>Invigilator Weekly  FTE Leave Adjustment</t>
  </si>
  <si>
    <t>WK_FTE_LEAVE_ADJ_LIB</t>
  </si>
  <si>
    <t>Librarian Weekly FTE Leave Adjustment</t>
  </si>
  <si>
    <t>WK_FTE_LEAVE_ADJ_LSN</t>
  </si>
  <si>
    <t>Leadership Non-Teaching Weekly FTE Leave Adjustment</t>
  </si>
  <si>
    <t>WK_FTE_LEAVE_ADJ_LST</t>
  </si>
  <si>
    <t>Leadership Teaching Weekly FTE Leave Adjustment</t>
  </si>
  <si>
    <t>WK_FTE_LEAVE_ADJ_MDS</t>
  </si>
  <si>
    <t>Mid Day Supervisors Weekly FTE Leave Adjustment</t>
  </si>
  <si>
    <t>WK_FTE_LEAVE_ADJ_NUR</t>
  </si>
  <si>
    <t>Nursery Weekly FTE Leave Adjustment</t>
  </si>
  <si>
    <t>WK_FTE_LEAVE_ADJ_OTH</t>
  </si>
  <si>
    <t>Other Staff Weekly FTE Leave Adjustment</t>
  </si>
  <si>
    <t>WK_FTE_LEAVE_ADJ_PAS</t>
  </si>
  <si>
    <t>Pastoral Weekly FTE Leave Adjustment</t>
  </si>
  <si>
    <t>WK_FTE_LEAVE_ADJ_PRE</t>
  </si>
  <si>
    <t>Premises Weekly FTE Leave Adjustment</t>
  </si>
  <si>
    <t>WK_FTE_LEAVE_ADJ_TA</t>
  </si>
  <si>
    <t>Teaching Assistants Weekly FTE Leave Adjustment</t>
  </si>
  <si>
    <t>WK_FTE_LEAVE_ADJ_TEA</t>
  </si>
  <si>
    <t>WK_FTE_LEAVE_ADJ_TEC</t>
  </si>
  <si>
    <t>Technicians Weekly FTE Leave Adjustment</t>
  </si>
  <si>
    <t>WK_FTE_LIB</t>
  </si>
  <si>
    <t>Librarian Weekly FTE</t>
  </si>
  <si>
    <t>WK_FTE_LSN</t>
  </si>
  <si>
    <t>Leadership Non-Teaching Weekly FTE</t>
  </si>
  <si>
    <t>WK_FTE_LST</t>
  </si>
  <si>
    <t>Leadership Teaching Weekly FTE</t>
  </si>
  <si>
    <t>WK_FTE_MDS</t>
  </si>
  <si>
    <t>Mid Day Supervisors Weekly FTE</t>
  </si>
  <si>
    <t>WK_FTE_NUR</t>
  </si>
  <si>
    <t>Nursery Weekly FTE</t>
  </si>
  <si>
    <t>WK_FTE_OTH</t>
  </si>
  <si>
    <t>Other Staff Weekly FTE</t>
  </si>
  <si>
    <t>WK_FTE_PAS</t>
  </si>
  <si>
    <t>Pastoral Weekly FTE</t>
  </si>
  <si>
    <t>WK_FTE_PRE</t>
  </si>
  <si>
    <t>Premises Weekly FTE</t>
  </si>
  <si>
    <t>WK_FTE_TA</t>
  </si>
  <si>
    <t>Teaching Assistants Weekly FTE</t>
  </si>
  <si>
    <t>WK_FTE_TEA</t>
  </si>
  <si>
    <t>WK_FTE_TEC</t>
  </si>
  <si>
    <t>Technicians Weekly FTE</t>
  </si>
  <si>
    <t>GroupingCodeIssue</t>
  </si>
  <si>
    <t>CustGrIssue</t>
  </si>
  <si>
    <t>SchCodeIssue</t>
  </si>
  <si>
    <t>DupCode</t>
  </si>
  <si>
    <t>DupDesc</t>
  </si>
  <si>
    <t>FCTypeIss</t>
  </si>
  <si>
    <t>TRUE/FALSE Check</t>
  </si>
  <si>
    <t>Blank Title Check</t>
  </si>
  <si>
    <t>Blank Code Check</t>
  </si>
  <si>
    <t>Balance to Scenario Blank</t>
  </si>
  <si>
    <t>Space in code</t>
  </si>
  <si>
    <t>GroupingCode</t>
  </si>
  <si>
    <t>IsBalanceSheet</t>
  </si>
  <si>
    <t>A0</t>
  </si>
  <si>
    <t>BUDGET</t>
  </si>
  <si>
    <t>Duplicate Scale Code</t>
  </si>
  <si>
    <t>Schools Check</t>
  </si>
  <si>
    <t>School Code Exists</t>
  </si>
  <si>
    <t>TRUE /FALSE Typo</t>
  </si>
  <si>
    <t>Code Length</t>
  </si>
  <si>
    <t>Title Length</t>
  </si>
  <si>
    <t>Blank in column</t>
  </si>
  <si>
    <t>Space in Code</t>
  </si>
  <si>
    <t>Increment Date</t>
  </si>
  <si>
    <t>Increase Date</t>
  </si>
  <si>
    <t>ScenarioCode</t>
  </si>
  <si>
    <t>PayScaleCode</t>
  </si>
  <si>
    <t>PayScaleTitle</t>
  </si>
  <si>
    <t>ServiceIncrementDateEnabled</t>
  </si>
  <si>
    <t>IncrementDate</t>
  </si>
  <si>
    <t>IncreaseDate</t>
  </si>
  <si>
    <t>IncreasePercentage</t>
  </si>
  <si>
    <t>PayScaleEnabled</t>
  </si>
  <si>
    <t>ExcludeNationalInsurance</t>
  </si>
  <si>
    <t>ExcludePension</t>
  </si>
  <si>
    <t>MAIN_EW</t>
  </si>
  <si>
    <t>Teachers Main EW</t>
  </si>
  <si>
    <t>Note: This tab is for pay scale default % uplift (per scope)</t>
  </si>
  <si>
    <t>LP_EW</t>
  </si>
  <si>
    <t>Lead Practitioner EW</t>
  </si>
  <si>
    <t>UQ_EW</t>
  </si>
  <si>
    <t>Teachers Unqualified EW</t>
  </si>
  <si>
    <t>LS_EW</t>
  </si>
  <si>
    <t>Leadership Group EW</t>
  </si>
  <si>
    <t>NJC_EW</t>
  </si>
  <si>
    <t>NJC EW</t>
  </si>
  <si>
    <t>Fringe</t>
  </si>
  <si>
    <t>MAIN_FRI</t>
  </si>
  <si>
    <t>Teachers Main Fringe</t>
  </si>
  <si>
    <t>LP_FRI</t>
  </si>
  <si>
    <t>Lead Practitioner Fringe</t>
  </si>
  <si>
    <t>UQ_FRI</t>
  </si>
  <si>
    <t>Teachers Unqualified Fringe</t>
  </si>
  <si>
    <t>LS_FRI</t>
  </si>
  <si>
    <t>Leadership Group Fringe</t>
  </si>
  <si>
    <t>Inner</t>
  </si>
  <si>
    <t>MAIN_INN</t>
  </si>
  <si>
    <t>Teachers Main Inner</t>
  </si>
  <si>
    <t>LP_INN</t>
  </si>
  <si>
    <t>Lead Practitioner Inner</t>
  </si>
  <si>
    <t>UQ_INN</t>
  </si>
  <si>
    <t>Teachers Unqualified Inner</t>
  </si>
  <si>
    <t>LS_INN</t>
  </si>
  <si>
    <t>Leadership Group Inner</t>
  </si>
  <si>
    <t>NJC_INN</t>
  </si>
  <si>
    <t>NJC Inner</t>
  </si>
  <si>
    <t>Outer</t>
  </si>
  <si>
    <t>MAIN_OUT</t>
  </si>
  <si>
    <t>Teachers Main Outer</t>
  </si>
  <si>
    <t>LP_OUT</t>
  </si>
  <si>
    <t>Lead Practitioner Outer</t>
  </si>
  <si>
    <t>UQ_OUT</t>
  </si>
  <si>
    <t>Teachers Unqualified Outer</t>
  </si>
  <si>
    <t>LS_OUT</t>
  </si>
  <si>
    <t>Leadership Group Outer</t>
  </si>
  <si>
    <t>NJC_OUT</t>
  </si>
  <si>
    <t>NJC Outer</t>
  </si>
  <si>
    <t>APP_NMW</t>
  </si>
  <si>
    <t>Apprentice / NMW Scale</t>
  </si>
  <si>
    <t>SPOT_SUP</t>
  </si>
  <si>
    <t>Spot Salary Scale - Support</t>
  </si>
  <si>
    <t>SPOT_TEA</t>
  </si>
  <si>
    <t>Spot Salary Scale - Teaching</t>
  </si>
  <si>
    <t>Pay Scale issue</t>
  </si>
  <si>
    <t>Duplicate Grade Code</t>
  </si>
  <si>
    <t>Scale Point Number From/To Issue</t>
  </si>
  <si>
    <t>PayScaleGrade and PayScaleCode Available to School</t>
  </si>
  <si>
    <t>PayScaleGradeCode</t>
  </si>
  <si>
    <t>Point From (Check)</t>
  </si>
  <si>
    <t>Point To (Check)</t>
  </si>
  <si>
    <t>ScalePointNumberFrom</t>
  </si>
  <si>
    <t>ScalePointNumberTo</t>
  </si>
  <si>
    <t>PayScaleGradeEnabled</t>
  </si>
  <si>
    <t>MAIN_UPS</t>
  </si>
  <si>
    <t>Teachers Main through UPS</t>
  </si>
  <si>
    <t>M1</t>
  </si>
  <si>
    <t>U3</t>
  </si>
  <si>
    <t>MAIN</t>
  </si>
  <si>
    <t>Teachers Main Scale only</t>
  </si>
  <si>
    <t>M6</t>
  </si>
  <si>
    <t>UPS</t>
  </si>
  <si>
    <t>Teachers Upper Scale only</t>
  </si>
  <si>
    <t>U1Y1</t>
  </si>
  <si>
    <t>UQ</t>
  </si>
  <si>
    <t>Teacher Unqualified</t>
  </si>
  <si>
    <t>UQ1</t>
  </si>
  <si>
    <t>UQ6</t>
  </si>
  <si>
    <t>LS</t>
  </si>
  <si>
    <t>Leadership Group</t>
  </si>
  <si>
    <t>L01</t>
  </si>
  <si>
    <t>L43</t>
  </si>
  <si>
    <t>LP</t>
  </si>
  <si>
    <t>Lead Practitioner Group</t>
  </si>
  <si>
    <t>LP01</t>
  </si>
  <si>
    <t>LP18</t>
  </si>
  <si>
    <t>NMW_Y1</t>
  </si>
  <si>
    <t>Apprentice Y1</t>
  </si>
  <si>
    <t>Y1</t>
  </si>
  <si>
    <t>NMW_&lt;18</t>
  </si>
  <si>
    <t>NMW &lt;18</t>
  </si>
  <si>
    <t>&lt;18</t>
  </si>
  <si>
    <t>NMW_18-20</t>
  </si>
  <si>
    <t>NMW 18-20</t>
  </si>
  <si>
    <t>18-20</t>
  </si>
  <si>
    <t>NMW_&gt;21</t>
  </si>
  <si>
    <t>NLW &gt;21</t>
  </si>
  <si>
    <t>&gt;21</t>
  </si>
  <si>
    <t>SUP_01</t>
  </si>
  <si>
    <t>Support Spot Salary 1</t>
  </si>
  <si>
    <t>SUP01</t>
  </si>
  <si>
    <t>TEA_01</t>
  </si>
  <si>
    <t>Teacher Spot Salary 1</t>
  </si>
  <si>
    <t>TEA01</t>
  </si>
  <si>
    <t>MAIN_UPS_FRI</t>
  </si>
  <si>
    <t>Teachers Main through UPS Fringe</t>
  </si>
  <si>
    <t>Teachers Main Scale only Fringe</t>
  </si>
  <si>
    <t>UPS_FRI</t>
  </si>
  <si>
    <t>Teachers Upper Scale only Fringe</t>
  </si>
  <si>
    <t>Teacher Unqualified Fringe</t>
  </si>
  <si>
    <t>Lead Practitioner Group Fringe</t>
  </si>
  <si>
    <t>MAIN_UPS_OUT</t>
  </si>
  <si>
    <t>Teachers Main through UPS Outer</t>
  </si>
  <si>
    <t>Teachers Main Scale only Outer</t>
  </si>
  <si>
    <t>UPS_OUT</t>
  </si>
  <si>
    <t>Teachers Upper Scale only Outer</t>
  </si>
  <si>
    <t>Teacher Unqualified Outer</t>
  </si>
  <si>
    <t>Lead Practitioner Group Outer</t>
  </si>
  <si>
    <t>NJC Outer London</t>
  </si>
  <si>
    <t>MAIN_UPS_INN</t>
  </si>
  <si>
    <t>Teachers Main through UPS Inner</t>
  </si>
  <si>
    <t>Teachers Main Scale only Inner</t>
  </si>
  <si>
    <t>UPS_INN</t>
  </si>
  <si>
    <t>Teachers Upper Scale only Inner</t>
  </si>
  <si>
    <t>Teacher Unqualified Inner</t>
  </si>
  <si>
    <t>Lead Practioner Group Inner</t>
  </si>
  <si>
    <t>NJC Inner London</t>
  </si>
  <si>
    <t>Pay Scale String</t>
  </si>
  <si>
    <t>Scale Point Issue</t>
  </si>
  <si>
    <t>Pay Scale String Duplicates</t>
  </si>
  <si>
    <t>Duplicate Scale Check</t>
  </si>
  <si>
    <t>Rate Date From Issue</t>
  </si>
  <si>
    <t>Dates From/To Issue</t>
  </si>
  <si>
    <t>Date Format Issue</t>
  </si>
  <si>
    <t>PayScalePointCode</t>
  </si>
  <si>
    <t>PayScalePointTitle</t>
  </si>
  <si>
    <t>ScalePointNumber</t>
  </si>
  <si>
    <t>Hourly</t>
  </si>
  <si>
    <t>PayScalePointEnabled</t>
  </si>
  <si>
    <t>RateDateFrom</t>
  </si>
  <si>
    <t>RateDateTo</t>
  </si>
  <si>
    <t>PayScaleRate</t>
  </si>
  <si>
    <t>M2</t>
  </si>
  <si>
    <t>M3</t>
  </si>
  <si>
    <t>M4</t>
  </si>
  <si>
    <t>M5</t>
  </si>
  <si>
    <t>U1Y2</t>
  </si>
  <si>
    <t>U2Y1</t>
  </si>
  <si>
    <t>U2Y2</t>
  </si>
  <si>
    <t>LP02</t>
  </si>
  <si>
    <t>LP03</t>
  </si>
  <si>
    <t>LP04</t>
  </si>
  <si>
    <t>LP05</t>
  </si>
  <si>
    <t>LP06</t>
  </si>
  <si>
    <t>LP07</t>
  </si>
  <si>
    <t>LP08</t>
  </si>
  <si>
    <t>LP09</t>
  </si>
  <si>
    <t>LP10</t>
  </si>
  <si>
    <t>LP11</t>
  </si>
  <si>
    <t>LP12</t>
  </si>
  <si>
    <t>LP13</t>
  </si>
  <si>
    <t>LP14</t>
  </si>
  <si>
    <t>LP15</t>
  </si>
  <si>
    <t>LP16</t>
  </si>
  <si>
    <t>LP17</t>
  </si>
  <si>
    <t>UQ2</t>
  </si>
  <si>
    <t>UQ3</t>
  </si>
  <si>
    <t>UQ4</t>
  </si>
  <si>
    <t>UQ5</t>
  </si>
  <si>
    <t>L02</t>
  </si>
  <si>
    <t>L03</t>
  </si>
  <si>
    <t>L04</t>
  </si>
  <si>
    <t>L05</t>
  </si>
  <si>
    <t>L06</t>
  </si>
  <si>
    <t>L07</t>
  </si>
  <si>
    <t>L08</t>
  </si>
  <si>
    <t>L09</t>
  </si>
  <si>
    <t>L10</t>
  </si>
  <si>
    <t>L11</t>
  </si>
  <si>
    <t>L12</t>
  </si>
  <si>
    <t>L13</t>
  </si>
  <si>
    <t>L14</t>
  </si>
  <si>
    <t>L15</t>
  </si>
  <si>
    <t>L16</t>
  </si>
  <si>
    <t>L17</t>
  </si>
  <si>
    <t>L18</t>
  </si>
  <si>
    <t>L19</t>
  </si>
  <si>
    <t>L20</t>
  </si>
  <si>
    <t>L21</t>
  </si>
  <si>
    <t>L22</t>
  </si>
  <si>
    <t>L23</t>
  </si>
  <si>
    <t>L24</t>
  </si>
  <si>
    <t>L25</t>
  </si>
  <si>
    <t>L26</t>
  </si>
  <si>
    <t>L27</t>
  </si>
  <si>
    <t>L28</t>
  </si>
  <si>
    <t>L29</t>
  </si>
  <si>
    <t>L30</t>
  </si>
  <si>
    <t>L31</t>
  </si>
  <si>
    <t>L32</t>
  </si>
  <si>
    <t>L33</t>
  </si>
  <si>
    <t>L34</t>
  </si>
  <si>
    <t>L35</t>
  </si>
  <si>
    <t>L36</t>
  </si>
  <si>
    <t>L37</t>
  </si>
  <si>
    <t>L38</t>
  </si>
  <si>
    <t>L39</t>
  </si>
  <si>
    <t>L40</t>
  </si>
  <si>
    <t>L41</t>
  </si>
  <si>
    <t>L42</t>
  </si>
  <si>
    <t>£7.55  / hour*37*52.143</t>
  </si>
  <si>
    <t>£10.00  / hour*37*52.143</t>
  </si>
  <si>
    <t>£12.21  / hour*37*52.143</t>
  </si>
  <si>
    <t>Pay Scale Code Issue</t>
  </si>
  <si>
    <t>FinancialYearsCode</t>
  </si>
  <si>
    <t>2025/26</t>
  </si>
  <si>
    <t>Note: This tab is for pay scale Year 1 % uplift (per scope)</t>
  </si>
  <si>
    <t>2024/25</t>
  </si>
  <si>
    <t>AllowanceTypeCode</t>
  </si>
  <si>
    <t>AllowanceTypeTitle</t>
  </si>
  <si>
    <t>ExcludeNI</t>
  </si>
  <si>
    <t>AllowanceTypeEnabled</t>
  </si>
  <si>
    <t>TLR</t>
  </si>
  <si>
    <t>Teaching and Learning Responsibilities</t>
  </si>
  <si>
    <t>Note: This tab is for default % uplift (per scope)</t>
  </si>
  <si>
    <t>SEN</t>
  </si>
  <si>
    <t>Special Educational Needs</t>
  </si>
  <si>
    <t>Allowance Type Issue</t>
  </si>
  <si>
    <t>Point Code Duplicate</t>
  </si>
  <si>
    <t>Allowance Type Code Available to School</t>
  </si>
  <si>
    <t>Will import if 0</t>
  </si>
  <si>
    <t>AllowancePointCode</t>
  </si>
  <si>
    <t>AllowancePointTitle</t>
  </si>
  <si>
    <t>AnnualRate</t>
  </si>
  <si>
    <t>AllowancePointEnabled</t>
  </si>
  <si>
    <t>TLR1A</t>
  </si>
  <si>
    <t>TLR1B</t>
  </si>
  <si>
    <t>TLR1C</t>
  </si>
  <si>
    <t>TLR2A</t>
  </si>
  <si>
    <t>TLR2B</t>
  </si>
  <si>
    <t>TLR2C</t>
  </si>
  <si>
    <t>TLR3_MIN</t>
  </si>
  <si>
    <t>TLR3 Minimum</t>
  </si>
  <si>
    <t>TLR3_MAX</t>
  </si>
  <si>
    <t>TLR3 Maximum</t>
  </si>
  <si>
    <t>SEN_MIN</t>
  </si>
  <si>
    <t>SEN Minimum</t>
  </si>
  <si>
    <t>SEN_MAX</t>
  </si>
  <si>
    <t>SEN Maximum</t>
  </si>
  <si>
    <t>Allowance Issue</t>
  </si>
  <si>
    <t>Note: This tab is for Year 1 % uplift (per scope)</t>
  </si>
  <si>
    <t>Type Code Duplicate</t>
  </si>
  <si>
    <t>AdjustmentTypeCode</t>
  </si>
  <si>
    <t>AnniversaryDate</t>
  </si>
  <si>
    <t>AdjustmentTypeEnabled</t>
  </si>
  <si>
    <t>OTH</t>
  </si>
  <si>
    <t>Note: This tab is for default % uplift (per scope). There is no Year 1 option for adjustments</t>
  </si>
  <si>
    <t>TLR3_MID</t>
  </si>
  <si>
    <t>TLR3 (between min-max)</t>
  </si>
  <si>
    <t>PensionCode</t>
  </si>
  <si>
    <t>PensionEnabled</t>
  </si>
  <si>
    <t>PensionPercentage</t>
  </si>
  <si>
    <t>TPS</t>
  </si>
  <si>
    <t>Teachers Pension Scheme</t>
  </si>
  <si>
    <t>OPTOUT</t>
  </si>
  <si>
    <t>Opted Out 0%</t>
  </si>
  <si>
    <t>LGPS</t>
  </si>
  <si>
    <t>EQW Total Check</t>
  </si>
  <si>
    <t>EquatedWeekPatternCode</t>
  </si>
  <si>
    <t>EquatedWeekPatternTitle</t>
  </si>
  <si>
    <t>ServiceYearsFrom</t>
  </si>
  <si>
    <t>ServiceYearsTo</t>
  </si>
  <si>
    <t>EquatedWeeks</t>
  </si>
  <si>
    <t>FullTimeWeeks</t>
  </si>
  <si>
    <t>EquatedWeekPatternEnabled</t>
  </si>
  <si>
    <t>AYR</t>
  </si>
  <si>
    <t>All Year Round</t>
  </si>
  <si>
    <t>COMPLETE AS REQUIRED FOR TRUST STANDARD WEEKS PER YEAR</t>
  </si>
  <si>
    <t>Duplicate SRG Code</t>
  </si>
  <si>
    <t>Duplicate Title</t>
  </si>
  <si>
    <t>Minimum Wage Ledger Issue</t>
  </si>
  <si>
    <t>Living Wage Ledger Issue</t>
  </si>
  <si>
    <t>Opt Out Pens Ledger Issue</t>
  </si>
  <si>
    <t>Gross Salary FC Issue</t>
  </si>
  <si>
    <t>Gross Salary FC &gt;1</t>
  </si>
  <si>
    <t>Leave Rebate FC Issue</t>
  </si>
  <si>
    <t>Leave Rebate FC &gt;1</t>
  </si>
  <si>
    <t>Allowance FC Issue</t>
  </si>
  <si>
    <t>Allowance FC &gt;1</t>
  </si>
  <si>
    <t>Adj FC Issue</t>
  </si>
  <si>
    <t>Adj FC &gt;1</t>
  </si>
  <si>
    <t>NI FC Issue</t>
  </si>
  <si>
    <t>NI FC &gt;1</t>
  </si>
  <si>
    <t>Pension FC Issue</t>
  </si>
  <si>
    <t>Pension FC &gt;1</t>
  </si>
  <si>
    <t>Weekly FTE Issue</t>
  </si>
  <si>
    <t>Annual FTE Issue</t>
  </si>
  <si>
    <t>Weekly FTE Leave Adj Issue</t>
  </si>
  <si>
    <t>Annual FTE Leave Adj Issue</t>
  </si>
  <si>
    <t>StaffRoleGroupCode</t>
  </si>
  <si>
    <t>GrossSalaryFinanceCode</t>
  </si>
  <si>
    <t>LeaveRebateFinanceCode</t>
  </si>
  <si>
    <t>AllowanceTypesFinanceCode</t>
  </si>
  <si>
    <t>AdjustmentsFinanceCode</t>
  </si>
  <si>
    <t>MinimumWageTopupFinanceCode</t>
  </si>
  <si>
    <t>LivingWageTopupFinanceCode</t>
  </si>
  <si>
    <t>EmployersNiFinanceCode</t>
  </si>
  <si>
    <t>PensionFinanceCode</t>
  </si>
  <si>
    <t>OptOutPensionFinanceCode</t>
  </si>
  <si>
    <t>OtherSalaryCostsFinanceCode</t>
  </si>
  <si>
    <t>WeeklyFteFinanceCode</t>
  </si>
  <si>
    <t>AnnualFteFinanceCode</t>
  </si>
  <si>
    <t>WeeklyFteLeaveAdjustmentFinanceCode</t>
  </si>
  <si>
    <t>AnnualFteLeaveAdjustmentFinanceCode</t>
  </si>
  <si>
    <t>TeachingRoleGroup</t>
  </si>
  <si>
    <t>StaffRoleGroupEnabled</t>
  </si>
  <si>
    <t>IncrementCount</t>
  </si>
  <si>
    <t>LST</t>
  </si>
  <si>
    <t>Staff Costs - Leadership Teaching-Wages and salaries</t>
  </si>
  <si>
    <t>LSN</t>
  </si>
  <si>
    <t>Staff Costs - Leadership Non-Teaching-Wages and salaries</t>
  </si>
  <si>
    <t>TEA</t>
  </si>
  <si>
    <t>Staff Costs - Teachers-Wages and salaries</t>
  </si>
  <si>
    <t>TA</t>
  </si>
  <si>
    <t>Staff Costs - Teaching Assistants-Wages and salaries</t>
  </si>
  <si>
    <t>LIB</t>
  </si>
  <si>
    <t>Staff Costs - Librarians-Wages and salaries</t>
  </si>
  <si>
    <t>TEC</t>
  </si>
  <si>
    <t>Staff Costs - Technicians-Wages and salaries</t>
  </si>
  <si>
    <t>COV</t>
  </si>
  <si>
    <t>Staff Costs - Cover Supervisors-Wages and salaries</t>
  </si>
  <si>
    <t>ADM</t>
  </si>
  <si>
    <t>Staff Costs - Finance and Admin-Wages and salaries</t>
  </si>
  <si>
    <t>PRE</t>
  </si>
  <si>
    <t>Staff Costs - Site Staff-Wages and salaries</t>
  </si>
  <si>
    <t>CLE</t>
  </si>
  <si>
    <t>Staff Costs - Cleaning Staff-Wages and salaries</t>
  </si>
  <si>
    <t>CAT</t>
  </si>
  <si>
    <t>Staff Costs - Catering Staff-Wages and salaries</t>
  </si>
  <si>
    <t>MDS</t>
  </si>
  <si>
    <t>Staff Costs - Midday Supervisors-Wages and salaries</t>
  </si>
  <si>
    <t>NUR</t>
  </si>
  <si>
    <t>Staff Costs - Nursery Staff-Wages and salaries</t>
  </si>
  <si>
    <t>FSW</t>
  </si>
  <si>
    <t>Staff Costs - Family Support Workers-Wages and salaries</t>
  </si>
  <si>
    <t>INV</t>
  </si>
  <si>
    <t>Staff Costs - Exam Invigilators-Wages and salaries</t>
  </si>
  <si>
    <t>COM</t>
  </si>
  <si>
    <t>Staff Costs - Community Facilities Staff-Wages and salaries</t>
  </si>
  <si>
    <t>Staff Costs - Other Staff-Wages and salaries</t>
  </si>
  <si>
    <t>Note to S2 builder: Once this StfRoleGroup tab is completed please let the Strand 3 builder know, for them to action next steps - and then delete this line.</t>
  </si>
  <si>
    <t>Duplicate Role Code</t>
  </si>
  <si>
    <t>SRG Gross Salary School Issue</t>
  </si>
  <si>
    <t>SRG NI School Issue</t>
  </si>
  <si>
    <t>SRG Pension School Issue</t>
  </si>
  <si>
    <t>PayScaleCode Available to School</t>
  </si>
  <si>
    <t>StaffRoleCode</t>
  </si>
  <si>
    <t>FullTimeHoursPerWeek</t>
  </si>
  <si>
    <t>MonthsServiceBeforeIncrement</t>
  </si>
  <si>
    <t>DaysServiceBeforeIncrement</t>
  </si>
  <si>
    <t>StaffRoleEnabled</t>
  </si>
  <si>
    <t>IsFinanceRole</t>
  </si>
  <si>
    <t>HT</t>
  </si>
  <si>
    <t>Headteacher</t>
  </si>
  <si>
    <t>DHT</t>
  </si>
  <si>
    <t>Deputy Headteacher</t>
  </si>
  <si>
    <t>AHT</t>
  </si>
  <si>
    <t>Assistant Headteacher</t>
  </si>
  <si>
    <t>EHT</t>
  </si>
  <si>
    <t>Executive Headteacher</t>
  </si>
  <si>
    <t>CEO</t>
  </si>
  <si>
    <t>Chief Executive Officer</t>
  </si>
  <si>
    <t>COO</t>
  </si>
  <si>
    <t>Chief Operations Officer</t>
  </si>
  <si>
    <t>CFO</t>
  </si>
  <si>
    <t>Chief Financial Officer</t>
  </si>
  <si>
    <t>Teacher</t>
  </si>
  <si>
    <t>UQT</t>
  </si>
  <si>
    <t>Unqualified Teacher</t>
  </si>
  <si>
    <t>Teaching Assistant</t>
  </si>
  <si>
    <t>HLTA</t>
  </si>
  <si>
    <t>Higher Level Teaching Assistant</t>
  </si>
  <si>
    <t>Librarian</t>
  </si>
  <si>
    <t>SBM</t>
  </si>
  <si>
    <t>School Business Manager</t>
  </si>
  <si>
    <t>FIN_MGR</t>
  </si>
  <si>
    <t>Finance Manager</t>
  </si>
  <si>
    <t>FIN_AST</t>
  </si>
  <si>
    <t>Finance Assistant</t>
  </si>
  <si>
    <t>HR_MGR</t>
  </si>
  <si>
    <t>HR Manager</t>
  </si>
  <si>
    <t>HR_AST</t>
  </si>
  <si>
    <t>HR Assistant</t>
  </si>
  <si>
    <t>ADM_MGR</t>
  </si>
  <si>
    <t>Admin Manager</t>
  </si>
  <si>
    <t>ADM_AST</t>
  </si>
  <si>
    <t>Admin Assistant</t>
  </si>
  <si>
    <t>REC</t>
  </si>
  <si>
    <t>Receptionist</t>
  </si>
  <si>
    <t>CT</t>
  </si>
  <si>
    <t>Caretaker</t>
  </si>
  <si>
    <t>AST_CT</t>
  </si>
  <si>
    <t>Assistant Caretaker</t>
  </si>
  <si>
    <t>SITE_MGR</t>
  </si>
  <si>
    <t>Site Manager</t>
  </si>
  <si>
    <t>SITE_AST</t>
  </si>
  <si>
    <t>Site Assistant</t>
  </si>
  <si>
    <t>Cleaner</t>
  </si>
  <si>
    <t>CAT_MGR</t>
  </si>
  <si>
    <t>Catering Manager</t>
  </si>
  <si>
    <t>CAT_AST</t>
  </si>
  <si>
    <t>Catering Assistant</t>
  </si>
  <si>
    <t>Midday Supervisors</t>
  </si>
  <si>
    <t>NUR_MGR</t>
  </si>
  <si>
    <t>Nursery Manager</t>
  </si>
  <si>
    <t>NUR_NUR</t>
  </si>
  <si>
    <t>Nursery Nurse</t>
  </si>
  <si>
    <t>Family Support Worker</t>
  </si>
  <si>
    <t>Exam Invigilators</t>
  </si>
  <si>
    <t>EXT</t>
  </si>
  <si>
    <t>Extended Schools</t>
  </si>
  <si>
    <t>Other Staff</t>
  </si>
  <si>
    <t>Code</t>
  </si>
  <si>
    <t>F</t>
  </si>
  <si>
    <t>Female</t>
  </si>
  <si>
    <t>M</t>
  </si>
  <si>
    <t>Male</t>
  </si>
  <si>
    <t>Not Selected</t>
  </si>
  <si>
    <t>FXT</t>
  </si>
  <si>
    <t>Fixed Term</t>
  </si>
  <si>
    <t>Maternity Cover</t>
  </si>
  <si>
    <t>PERM</t>
  </si>
  <si>
    <t>Permanent</t>
  </si>
  <si>
    <t>TEMP</t>
  </si>
  <si>
    <t>Temporary</t>
  </si>
  <si>
    <t>VAC</t>
  </si>
  <si>
    <t>Vacancy</t>
  </si>
  <si>
    <t>ZERO</t>
  </si>
  <si>
    <t>Zero Hours</t>
  </si>
  <si>
    <t>NameServiceStart</t>
  </si>
  <si>
    <t>Duplicate NameService Start</t>
  </si>
  <si>
    <t>Duplicate Staff Member Code</t>
  </si>
  <si>
    <t>Payroll Location</t>
  </si>
  <si>
    <t>StaffMemberCode</t>
  </si>
  <si>
    <t>FirstName</t>
  </si>
  <si>
    <t>LastName</t>
  </si>
  <si>
    <t>ServiceStartDate</t>
  </si>
  <si>
    <t>ServiceEndDate</t>
  </si>
  <si>
    <t>DateOfBirth</t>
  </si>
  <si>
    <t>Apprenticeship</t>
  </si>
  <si>
    <t>PensionOptOut</t>
  </si>
  <si>
    <t>StaffMemberEnabled</t>
  </si>
  <si>
    <t>PayrollLocation</t>
  </si>
  <si>
    <t>GenderCode</t>
  </si>
  <si>
    <t>Casual</t>
  </si>
  <si>
    <t>Kim</t>
  </si>
  <si>
    <t>Jordan</t>
  </si>
  <si>
    <t>Unique Contract</t>
  </si>
  <si>
    <t>Duplicate Contract</t>
  </si>
  <si>
    <t>Location Issue</t>
  </si>
  <si>
    <t>Role / School Issue</t>
  </si>
  <si>
    <t>SRG FC Issue</t>
  </si>
  <si>
    <t>Pay Scale / School Issue</t>
  </si>
  <si>
    <t>Grade / School Issue</t>
  </si>
  <si>
    <t>Grade / Pay Scale Issue</t>
  </si>
  <si>
    <t>Point / Pay Scale Issue</t>
  </si>
  <si>
    <t>Point / Grade Issue</t>
  </si>
  <si>
    <t>Scale Point Disabled</t>
  </si>
  <si>
    <t>Dept / School Issue</t>
  </si>
  <si>
    <t>Dept/FC Ledger Issue</t>
  </si>
  <si>
    <t>Pension Issue</t>
  </si>
  <si>
    <t>EQWP Issue</t>
  </si>
  <si>
    <t>Contract Type Issue</t>
  </si>
  <si>
    <t>Contract Date From Issue</t>
  </si>
  <si>
    <t>Contract Date To Issue</t>
  </si>
  <si>
    <t>Fund Code Issue</t>
  </si>
  <si>
    <t>Notes Length</t>
  </si>
  <si>
    <t>Reference</t>
  </si>
  <si>
    <t>SRG Gross</t>
  </si>
  <si>
    <t>SRG</t>
  </si>
  <si>
    <t>DateFrom</t>
  </si>
  <si>
    <t>DateTo</t>
  </si>
  <si>
    <r>
      <t>WeeklyFte</t>
    </r>
    <r>
      <rPr>
        <sz val="8"/>
        <color theme="0"/>
        <rFont val="Calibri"/>
        <family val="2"/>
        <scheme val="minor"/>
      </rPr>
      <t>OrHpw</t>
    </r>
  </si>
  <si>
    <t>MatEditOnly</t>
  </si>
  <si>
    <t>NoIncrement</t>
  </si>
  <si>
    <t>ContractTypeCode</t>
  </si>
  <si>
    <t>TRIP_BSL</t>
  </si>
  <si>
    <t>Date From' column is CONTRACT date from</t>
  </si>
  <si>
    <t>SAL_TEA</t>
  </si>
  <si>
    <r>
      <rPr>
        <sz val="8"/>
        <color theme="0"/>
        <rFont val="Calibri"/>
        <family val="2"/>
        <scheme val="minor"/>
      </rPr>
      <t>WeeklyFteOr</t>
    </r>
    <r>
      <rPr>
        <sz val="11"/>
        <color theme="0"/>
        <rFont val="Calibri"/>
        <family val="2"/>
        <scheme val="minor"/>
      </rPr>
      <t>Hpw</t>
    </r>
  </si>
  <si>
    <t>Person+AllowancePoint+ContractRef+SchoolCode</t>
  </si>
  <si>
    <t>Contract Issue</t>
  </si>
  <si>
    <t>Point Code / School isue</t>
  </si>
  <si>
    <t>Allw Code Issue</t>
  </si>
  <si>
    <t>Allw Point Issue</t>
  </si>
  <si>
    <t>Allw Point Duplicate</t>
  </si>
  <si>
    <t>Allw Date From issue</t>
  </si>
  <si>
    <t>Contract Dates From/To Issue</t>
  </si>
  <si>
    <t>Allw Dates From/To Issue</t>
  </si>
  <si>
    <t>ContractReference</t>
  </si>
  <si>
    <t>Staff Member Name</t>
  </si>
  <si>
    <t>ContractDateFrom</t>
  </si>
  <si>
    <t>ContractDateTo</t>
  </si>
  <si>
    <t>AllowanceCode</t>
  </si>
  <si>
    <t>AllowanceDateFrom</t>
  </si>
  <si>
    <t>AllowanceDateTo</t>
  </si>
  <si>
    <t>IgnoreFte</t>
  </si>
  <si>
    <t xml:space="preserve">Unique Contract </t>
  </si>
  <si>
    <t>Person+Adj Type Point+Contract Ref+SchoolCode</t>
  </si>
  <si>
    <t>Adj Code Issue</t>
  </si>
  <si>
    <t>Adj Type Duplicate</t>
  </si>
  <si>
    <t>Adj Date From issue</t>
  </si>
  <si>
    <t>Adj Dates From/To Issue</t>
  </si>
  <si>
    <t>AdjustmentDateFrom</t>
  </si>
  <si>
    <t>AdjustmentDateTo</t>
  </si>
  <si>
    <t>AnnualValuePreAnnualFte</t>
  </si>
  <si>
    <t>AnnualValuePostAnnualFte</t>
  </si>
  <si>
    <t>Leave Types Overlap</t>
  </si>
  <si>
    <t>LeaveTypeCode</t>
  </si>
  <si>
    <t>LeaveTypeTitle</t>
  </si>
  <si>
    <t>RebatePercentage</t>
  </si>
  <si>
    <t>LeaveTypeEnabled</t>
  </si>
  <si>
    <t>UseGrossValueForPension</t>
  </si>
  <si>
    <t>WeeksFrom</t>
  </si>
  <si>
    <t>WeeksTo</t>
  </si>
  <si>
    <t>StatutoryPayPercentage</t>
  </si>
  <si>
    <t>OtherPayPercentage</t>
  </si>
  <si>
    <t>MinimumStatutoryWeeklyValue</t>
  </si>
  <si>
    <t>MaximumStatutoryWeeklyValue</t>
  </si>
  <si>
    <t>TopUpToPercentage</t>
  </si>
  <si>
    <t>MAT_STAT</t>
  </si>
  <si>
    <t>Statutory Maternity /Adoption</t>
  </si>
  <si>
    <t>MAT_SUP_&lt;26W</t>
  </si>
  <si>
    <t>Support - Less than 26 wks service</t>
  </si>
  <si>
    <t>MAT_SUP_&gt;1YR</t>
  </si>
  <si>
    <t>Support - At Least 1 yr service</t>
  </si>
  <si>
    <t>MAT_SUP_&gt;26W_&lt;1YR</t>
  </si>
  <si>
    <t>Support - At Least 26 wks and less than 1 yr service</t>
  </si>
  <si>
    <t>MAT_TEA_&lt;26W</t>
  </si>
  <si>
    <t>Teacher - Less than 26 wks service</t>
  </si>
  <si>
    <t>MAT_TEA_&gt;1YR</t>
  </si>
  <si>
    <t>Teacher - At Least 1 yr service</t>
  </si>
  <si>
    <t>MAT_TEA_&gt;26W_&lt;1YR</t>
  </si>
  <si>
    <t>Teacher - At Least 26 wks and less than 1 yr service</t>
  </si>
  <si>
    <t>PAT_STAT</t>
  </si>
  <si>
    <t>Paternity - SPP only</t>
  </si>
  <si>
    <t>PAT_50</t>
  </si>
  <si>
    <t>Paternity - 50% salary</t>
  </si>
  <si>
    <t>PAT_100</t>
  </si>
  <si>
    <t>Paternity - 100% salary</t>
  </si>
  <si>
    <t>SICK_SSP</t>
  </si>
  <si>
    <t>Sickness - SSP only</t>
  </si>
  <si>
    <t>there is no SSP rebate</t>
  </si>
  <si>
    <t>SICK_0</t>
  </si>
  <si>
    <t>Sickness - unpaid</t>
  </si>
  <si>
    <t>SICK_50</t>
  </si>
  <si>
    <t>Sickness - 50% salary</t>
  </si>
  <si>
    <t>SICK_100</t>
  </si>
  <si>
    <t>Sickness - 100% salary</t>
  </si>
  <si>
    <t>SPL_0</t>
  </si>
  <si>
    <t>Shared Parental  - unpaid leave</t>
  </si>
  <si>
    <t>SPL_90</t>
  </si>
  <si>
    <t xml:space="preserve">Shared Parental  - 90% salary </t>
  </si>
  <si>
    <t>SPL_90/STAT</t>
  </si>
  <si>
    <t>Shared Parental  - (lower of) 90% salary /Statutory</t>
  </si>
  <si>
    <t>SPL_90/STAT+50</t>
  </si>
  <si>
    <t>Shared Parental  - (lower of) 90% salary /Statutory + 50% salary</t>
  </si>
  <si>
    <t>SPL_100</t>
  </si>
  <si>
    <t>Shared Parental  - 100% salary</t>
  </si>
  <si>
    <t>SPL_100_NR</t>
  </si>
  <si>
    <t>Shared Parental  - 100% salary (NO REBATE)</t>
  </si>
  <si>
    <t>Duplicate Employee</t>
  </si>
  <si>
    <t>Staff Member Code Issue</t>
  </si>
  <si>
    <t>Leave Type Code Issue</t>
  </si>
  <si>
    <t>Leave Before contract start date</t>
  </si>
  <si>
    <t>Actual Leave Start</t>
  </si>
  <si>
    <t>BaseWeeklyEarnings</t>
  </si>
  <si>
    <t>NAME</t>
  </si>
  <si>
    <t>Tab Name</t>
  </si>
  <si>
    <t>Export</t>
  </si>
  <si>
    <t>Ready for Import</t>
  </si>
  <si>
    <t>1 = Yes 0 = No</t>
  </si>
  <si>
    <t>0 = Yes 1 = No</t>
  </si>
  <si>
    <t>11_Finance Codes S2</t>
  </si>
  <si>
    <t>12_Genders</t>
  </si>
  <si>
    <t>13_ContractTypes</t>
  </si>
  <si>
    <t>16_AllowanceTypes</t>
  </si>
  <si>
    <t>17_AllowanceTypePoint</t>
  </si>
  <si>
    <t>18_AllowanceIncreasePercen</t>
  </si>
  <si>
    <t>19_PayScales</t>
  </si>
  <si>
    <t>20_PayScalePoints</t>
  </si>
  <si>
    <t>21_PayScaleIncreasePercen</t>
  </si>
  <si>
    <t>22_PayScaleGrades</t>
  </si>
  <si>
    <t>23_EQWPatterns</t>
  </si>
  <si>
    <t>24_Pensions</t>
  </si>
  <si>
    <t>25_StaffMembers</t>
  </si>
  <si>
    <t>26_StfRoleGroup</t>
  </si>
  <si>
    <t>27_StfRole</t>
  </si>
  <si>
    <t>28_ContractsTeachFTE</t>
  </si>
  <si>
    <t>29_ContractsSupportHours</t>
  </si>
  <si>
    <t>30_LeaveTypes</t>
  </si>
  <si>
    <t>31_AdjustmentTypes</t>
  </si>
  <si>
    <t>32_StaffMemberLeaves</t>
  </si>
  <si>
    <t>33_ContractAdjustments</t>
  </si>
  <si>
    <t>34_ContractAllowances</t>
  </si>
  <si>
    <t>Finance Code Types</t>
  </si>
  <si>
    <t>FUNDING</t>
  </si>
  <si>
    <t>PUPILNUMBERS</t>
  </si>
  <si>
    <t>CAPITALFUND</t>
  </si>
  <si>
    <t>REVENUEFUND</t>
  </si>
  <si>
    <t>Checklist:</t>
  </si>
  <si>
    <t>Yes/no:</t>
  </si>
  <si>
    <t>Years</t>
  </si>
  <si>
    <t>CalculatorTypeCode</t>
  </si>
  <si>
    <t>Not Started</t>
  </si>
  <si>
    <t>Yes</t>
  </si>
  <si>
    <t>RED</t>
  </si>
  <si>
    <t>Now</t>
  </si>
  <si>
    <t>2021/22</t>
  </si>
  <si>
    <t>In Progress</t>
  </si>
  <si>
    <t>AMBER</t>
  </si>
  <si>
    <t>Later</t>
  </si>
  <si>
    <t>2022/23</t>
  </si>
  <si>
    <t>Import Ready</t>
  </si>
  <si>
    <t>GREEN</t>
  </si>
  <si>
    <t>Completed</t>
  </si>
  <si>
    <t>Awaiting Customer</t>
  </si>
  <si>
    <t>Awaiting Sales</t>
  </si>
  <si>
    <t>01.SEPT</t>
  </si>
  <si>
    <t>September</t>
  </si>
  <si>
    <t>2026/27</t>
  </si>
  <si>
    <t>N/A</t>
  </si>
  <si>
    <t>02.OCT</t>
  </si>
  <si>
    <t>October</t>
  </si>
  <si>
    <t>03.NOV</t>
  </si>
  <si>
    <t>November</t>
  </si>
  <si>
    <t>04.DEC</t>
  </si>
  <si>
    <t>December</t>
  </si>
  <si>
    <t>05.JAN</t>
  </si>
  <si>
    <t>January</t>
  </si>
  <si>
    <t>06.FEB</t>
  </si>
  <si>
    <t>February</t>
  </si>
  <si>
    <t>07.MAR</t>
  </si>
  <si>
    <t>March</t>
  </si>
  <si>
    <t>08.APR</t>
  </si>
  <si>
    <t>April</t>
  </si>
  <si>
    <t>09.MAY</t>
  </si>
  <si>
    <t>May</t>
  </si>
  <si>
    <t>10.JUN</t>
  </si>
  <si>
    <t>June</t>
  </si>
  <si>
    <t>11.JUL</t>
  </si>
  <si>
    <t>July</t>
  </si>
  <si>
    <t>12.AUG</t>
  </si>
  <si>
    <t>August</t>
  </si>
  <si>
    <t>Primary &amp; Special</t>
  </si>
  <si>
    <t>M05_APR-AUG</t>
  </si>
  <si>
    <t>April to August</t>
  </si>
  <si>
    <t>Secondary &amp; Special</t>
  </si>
  <si>
    <t>M07_SEP-MAR</t>
  </si>
  <si>
    <t>September to March</t>
  </si>
  <si>
    <t>M11_SEP-JUL</t>
  </si>
  <si>
    <t>September to July</t>
  </si>
  <si>
    <t>MONTHLY</t>
  </si>
  <si>
    <t>Monthly</t>
  </si>
  <si>
    <t>QTRLY.01-SEPT</t>
  </si>
  <si>
    <t>Quarterly From September</t>
  </si>
  <si>
    <t>QTRLY.02-OCT</t>
  </si>
  <si>
    <t>Quarterly From October</t>
  </si>
  <si>
    <t>QTRLY.03-NOV</t>
  </si>
  <si>
    <t>Quarterly From November</t>
  </si>
  <si>
    <t>TERMLY</t>
  </si>
  <si>
    <t>Termly</t>
  </si>
  <si>
    <t>£8.00 / hour*37*52.143</t>
  </si>
  <si>
    <t>£10.85 / hour*37*52.143</t>
  </si>
  <si>
    <t>£12.71 / hour*37*52.143</t>
  </si>
  <si>
    <t>Ledger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</si>
</sst>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dd/mm/yyyy;@"/>
    <numFmt numFmtId="165" formatCode="dd/mm"/>
    <numFmt numFmtId="166" formatCode="0.000"/>
  </numFmts>
  <fonts count="24" x14ac:knownFonts="1">
    <font>
      <sz val="11"/>
      <color theme="1"/>
      <name val="Calibri"/>
      <family val="2"/>
      <scheme val="minor"/>
    </font>
    <font>
      <b/>
      <sz val="11"/>
      <color theme="1"/>
      <name val="Calibri"/>
      <family val="2"/>
      <scheme val="minor"/>
    </font>
    <font>
      <sz val="8"/>
      <name val="Calibri"/>
      <family val="2"/>
      <scheme val="minor"/>
    </font>
    <font>
      <sz val="11"/>
      <color rgb="FFFF0000"/>
      <name val="Calibri"/>
      <family val="2"/>
      <scheme val="minor"/>
    </font>
    <font>
      <sz val="11"/>
      <name val="Calibri"/>
      <family val="2"/>
      <scheme val="minor"/>
    </font>
    <font>
      <sz val="11"/>
      <color theme="0"/>
      <name val="Calibri"/>
      <family val="2"/>
      <scheme val="minor"/>
    </font>
    <font>
      <u/>
      <sz val="11"/>
      <color theme="10"/>
      <name val="Calibri"/>
      <family val="2"/>
      <scheme val="minor"/>
    </font>
    <font>
      <sz val="11"/>
      <color rgb="FFFFFFFF"/>
      <name val="Calibri"/>
      <family val="2"/>
      <scheme val="minor"/>
    </font>
    <font>
      <sz val="11"/>
      <color theme="5"/>
      <name val="Calibri"/>
      <family val="2"/>
      <scheme val="minor"/>
    </font>
    <font>
      <sz val="11"/>
      <color theme="9" tint="-0.499984740745262"/>
      <name val="Calibri"/>
      <family val="2"/>
      <scheme val="minor"/>
    </font>
    <font>
      <sz val="10"/>
      <name val="Arial"/>
      <family val="2"/>
    </font>
    <font>
      <sz val="11"/>
      <color rgb="FF1F497D"/>
      <name val="Calibri"/>
      <family val="2"/>
    </font>
    <font>
      <u/>
      <sz val="11"/>
      <color theme="0"/>
      <name val="Calibri"/>
      <family val="2"/>
      <scheme val="minor"/>
    </font>
    <font>
      <b/>
      <u/>
      <sz val="12"/>
      <color theme="0"/>
      <name val="Calibri"/>
      <family val="2"/>
      <scheme val="minor"/>
    </font>
    <font>
      <b/>
      <sz val="11"/>
      <color theme="0"/>
      <name val="Calibri"/>
      <family val="2"/>
      <scheme val="minor"/>
    </font>
    <font>
      <b/>
      <sz val="11"/>
      <name val="Calibri"/>
      <family val="2"/>
      <scheme val="minor"/>
    </font>
    <font>
      <b/>
      <sz val="11"/>
      <color rgb="FFFF0000"/>
      <name val="Calibri"/>
      <family val="2"/>
      <scheme val="minor"/>
    </font>
    <font>
      <b/>
      <sz val="18"/>
      <color theme="0"/>
      <name val="Calibri"/>
      <family val="2"/>
      <scheme val="minor"/>
    </font>
    <font>
      <b/>
      <sz val="22"/>
      <color theme="1"/>
      <name val="Calibri"/>
      <family val="2"/>
      <scheme val="minor"/>
    </font>
    <font>
      <b/>
      <sz val="12"/>
      <color rgb="FFFF0000"/>
      <name val="Calibri"/>
      <family val="2"/>
      <scheme val="minor"/>
    </font>
    <font>
      <sz val="9"/>
      <color indexed="81"/>
      <name val="Tahoma"/>
      <family val="2"/>
    </font>
    <font>
      <b/>
      <sz val="9"/>
      <color indexed="81"/>
      <name val="Tahoma"/>
      <family val="2"/>
    </font>
    <font>
      <sz val="11"/>
      <color theme="0" tint="-0.34998626667073579"/>
      <name val="Calibri"/>
      <family val="2"/>
      <scheme val="minor"/>
    </font>
    <font>
      <sz val="8"/>
      <color theme="0"/>
      <name val="Calibri"/>
      <family val="2"/>
      <scheme val="minor"/>
    </font>
  </fonts>
  <fills count="24">
    <fill>
      <patternFill patternType="none"/>
    </fill>
    <fill>
      <patternFill patternType="gray125"/>
    </fill>
    <fill>
      <patternFill patternType="solid">
        <fgColor rgb="FFAC8DBF"/>
        <bgColor indexed="64"/>
      </patternFill>
    </fill>
    <fill>
      <patternFill patternType="solid">
        <fgColor rgb="FFAC6689"/>
        <bgColor indexed="64"/>
      </patternFill>
    </fill>
    <fill>
      <patternFill patternType="solid">
        <fgColor theme="0" tint="-0.249977111117893"/>
        <bgColor rgb="FFFFFFFF"/>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1"/>
        <bgColor indexed="64"/>
      </patternFill>
    </fill>
    <fill>
      <patternFill patternType="solid">
        <fgColor rgb="FFA093DB"/>
        <bgColor indexed="64"/>
      </patternFill>
    </fill>
    <fill>
      <patternFill patternType="solid">
        <fgColor rgb="FF6A0F8E"/>
        <bgColor indexed="64"/>
      </patternFill>
    </fill>
    <fill>
      <patternFill patternType="solid">
        <fgColor rgb="FFE5E5E5"/>
        <bgColor indexed="64"/>
      </patternFill>
    </fill>
    <fill>
      <patternFill patternType="solid">
        <fgColor rgb="FF261342"/>
        <bgColor indexed="64"/>
      </patternFill>
    </fill>
    <fill>
      <patternFill patternType="solid">
        <fgColor rgb="FFE5E5E5"/>
        <bgColor theme="4"/>
      </patternFill>
    </fill>
    <fill>
      <patternFill patternType="solid">
        <fgColor rgb="FFE5E5E5"/>
        <bgColor rgb="FFFFFFFF"/>
      </patternFill>
    </fill>
    <fill>
      <patternFill patternType="solid">
        <fgColor theme="0" tint="-0.14999847407452621"/>
        <bgColor indexed="64"/>
      </patternFill>
    </fill>
    <fill>
      <patternFill patternType="solid">
        <fgColor theme="2"/>
        <bgColor indexed="64"/>
      </patternFill>
    </fill>
    <fill>
      <patternFill patternType="solid">
        <fgColor theme="0" tint="-4.9989318521683403E-2"/>
        <bgColor indexed="64"/>
      </patternFill>
    </fill>
    <fill>
      <patternFill patternType="solid">
        <fgColor rgb="FF7030A0"/>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E5E5E5"/>
        <bgColor rgb="FF000000"/>
      </patternFill>
    </fill>
  </fills>
  <borders count="18">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hair">
        <color theme="0" tint="-0.34998626667073579"/>
      </top>
      <bottom style="hair">
        <color theme="0" tint="-0.34998626667073579"/>
      </bottom>
      <diagonal/>
    </border>
    <border>
      <left/>
      <right/>
      <top style="hair">
        <color theme="0" tint="-0.499984740745262"/>
      </top>
      <bottom/>
      <diagonal/>
    </border>
    <border>
      <left style="thin">
        <color theme="4" tint="0.39997558519241921"/>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indexed="64"/>
      </left>
      <right style="thin">
        <color indexed="64"/>
      </right>
      <top/>
      <bottom/>
      <diagonal/>
    </border>
    <border>
      <left/>
      <right/>
      <top style="hair">
        <color theme="0" tint="-0.499984740745262"/>
      </top>
      <bottom style="hair">
        <color theme="0" tint="-0.499984740745262"/>
      </bottom>
      <diagonal/>
    </border>
    <border>
      <left/>
      <right style="thin">
        <color indexed="64"/>
      </right>
      <top/>
      <bottom/>
      <diagonal/>
    </border>
    <border>
      <left/>
      <right/>
      <top style="hair">
        <color theme="0" tint="-0.34998626667073579"/>
      </top>
      <bottom/>
      <diagonal/>
    </border>
    <border>
      <left/>
      <right/>
      <top/>
      <bottom style="hair">
        <color theme="0" tint="-0.34998626667073579"/>
      </bottom>
      <diagonal/>
    </border>
  </borders>
  <cellStyleXfs count="3">
    <xf numFmtId="0" fontId="0" fillId="0" borderId="0"/>
    <xf numFmtId="0" fontId="6" fillId="0" borderId="0" applyNumberFormat="0" applyFill="0" applyBorder="0" applyAlignment="0" applyProtection="0"/>
    <xf numFmtId="0" fontId="10" fillId="0" borderId="0"/>
  </cellStyleXfs>
  <cellXfs count="188">
    <xf numFmtId="0" fontId="0" fillId="0" borderId="0" xfId="0"/>
    <xf numFmtId="0" fontId="3" fillId="0" borderId="0" xfId="0" applyFont="1"/>
    <xf numFmtId="0" fontId="0" fillId="2" borderId="0" xfId="0" applyFill="1"/>
    <xf numFmtId="0" fontId="7" fillId="3" borderId="0" xfId="0" applyFont="1" applyFill="1"/>
    <xf numFmtId="0" fontId="1" fillId="0" borderId="0" xfId="0" applyFont="1"/>
    <xf numFmtId="49" fontId="0" fillId="0" borderId="0" xfId="0" applyNumberFormat="1"/>
    <xf numFmtId="0" fontId="8" fillId="0" borderId="0" xfId="0" applyFont="1"/>
    <xf numFmtId="0" fontId="9" fillId="0" borderId="0" xfId="0" applyFont="1"/>
    <xf numFmtId="49" fontId="7" fillId="3" borderId="0" xfId="0" applyNumberFormat="1" applyFont="1" applyFill="1"/>
    <xf numFmtId="0" fontId="0" fillId="2" borderId="0" xfId="0" applyFill="1" applyAlignment="1">
      <alignment horizontal="left"/>
    </xf>
    <xf numFmtId="0" fontId="4" fillId="0" borderId="0" xfId="0" applyFont="1"/>
    <xf numFmtId="0" fontId="0" fillId="0" borderId="0" xfId="0" applyAlignment="1">
      <alignment horizontal="right"/>
    </xf>
    <xf numFmtId="0" fontId="0" fillId="0" borderId="0" xfId="0" applyAlignment="1">
      <alignment horizontal="left"/>
    </xf>
    <xf numFmtId="14" fontId="0" fillId="0" borderId="0" xfId="0" applyNumberFormat="1" applyAlignment="1">
      <alignment horizontal="left"/>
    </xf>
    <xf numFmtId="2" fontId="0" fillId="0" borderId="0" xfId="0" applyNumberFormat="1" applyAlignment="1">
      <alignment horizontal="left"/>
    </xf>
    <xf numFmtId="49" fontId="0" fillId="0" borderId="0" xfId="0" applyNumberFormat="1" applyAlignment="1">
      <alignment horizontal="left"/>
    </xf>
    <xf numFmtId="1" fontId="0" fillId="0" borderId="0" xfId="0" applyNumberFormat="1" applyAlignment="1">
      <alignment horizontal="left"/>
    </xf>
    <xf numFmtId="0" fontId="7" fillId="4" borderId="0" xfId="0" applyFont="1" applyFill="1"/>
    <xf numFmtId="0" fontId="0" fillId="5" borderId="0" xfId="0" applyFill="1"/>
    <xf numFmtId="0" fontId="0" fillId="6" borderId="0" xfId="0" applyFill="1"/>
    <xf numFmtId="164" fontId="0" fillId="0" borderId="0" xfId="0" applyNumberFormat="1" applyAlignment="1">
      <alignment horizontal="left"/>
    </xf>
    <xf numFmtId="164" fontId="0" fillId="0" borderId="0" xfId="0" applyNumberFormat="1"/>
    <xf numFmtId="0" fontId="0" fillId="7" borderId="0" xfId="0" applyFill="1"/>
    <xf numFmtId="0" fontId="0" fillId="0" borderId="0" xfId="0" applyAlignment="1">
      <alignment vertical="center"/>
    </xf>
    <xf numFmtId="0" fontId="0" fillId="0" borderId="0" xfId="0" applyAlignment="1">
      <alignment horizontal="left" vertical="center" wrapText="1"/>
    </xf>
    <xf numFmtId="0" fontId="5" fillId="0" borderId="0" xfId="0" applyFont="1" applyAlignment="1">
      <alignment horizontal="left" vertical="center" wrapText="1"/>
    </xf>
    <xf numFmtId="0" fontId="0" fillId="6" borderId="0" xfId="0" applyFill="1" applyAlignment="1">
      <alignment horizontal="left"/>
    </xf>
    <xf numFmtId="0" fontId="0" fillId="9" borderId="0" xfId="0" applyFill="1"/>
    <xf numFmtId="0" fontId="0" fillId="0" borderId="0" xfId="0" applyAlignment="1">
      <alignment vertical="center" wrapText="1"/>
    </xf>
    <xf numFmtId="0" fontId="16" fillId="0" borderId="0" xfId="0" applyFont="1" applyAlignment="1">
      <alignment vertical="center"/>
    </xf>
    <xf numFmtId="0" fontId="14" fillId="0" borderId="2" xfId="0" applyFont="1" applyBorder="1"/>
    <xf numFmtId="0" fontId="0" fillId="0" borderId="1" xfId="0" applyBorder="1" applyAlignment="1">
      <alignment vertical="top"/>
    </xf>
    <xf numFmtId="0" fontId="0" fillId="0" borderId="1" xfId="0" applyBorder="1"/>
    <xf numFmtId="0" fontId="0" fillId="0" borderId="3" xfId="0" applyBorder="1"/>
    <xf numFmtId="0" fontId="6" fillId="0" borderId="3" xfId="1" applyFill="1" applyBorder="1"/>
    <xf numFmtId="0" fontId="0" fillId="13" borderId="0" xfId="0" applyFill="1"/>
    <xf numFmtId="0" fontId="13" fillId="0" borderId="0" xfId="0" applyFont="1"/>
    <xf numFmtId="0" fontId="13" fillId="12" borderId="0" xfId="0" applyFont="1" applyFill="1" applyAlignment="1">
      <alignment vertical="center" wrapText="1"/>
    </xf>
    <xf numFmtId="0" fontId="13" fillId="12" borderId="0" xfId="0" applyFont="1" applyFill="1" applyAlignment="1">
      <alignment vertical="center"/>
    </xf>
    <xf numFmtId="2" fontId="13" fillId="12" borderId="0" xfId="0" applyNumberFormat="1" applyFont="1" applyFill="1" applyAlignment="1">
      <alignment vertical="center"/>
    </xf>
    <xf numFmtId="0" fontId="0" fillId="11" borderId="6" xfId="0" applyFill="1" applyBorder="1" applyAlignment="1">
      <alignment vertical="center"/>
    </xf>
    <xf numFmtId="0" fontId="0" fillId="11" borderId="6" xfId="0" applyFill="1" applyBorder="1" applyAlignment="1">
      <alignment vertical="center" wrapText="1"/>
    </xf>
    <xf numFmtId="14" fontId="0" fillId="11" borderId="6" xfId="0" applyNumberFormat="1" applyFill="1" applyBorder="1" applyAlignment="1">
      <alignment vertical="center"/>
    </xf>
    <xf numFmtId="0" fontId="4" fillId="13" borderId="0" xfId="0" applyFont="1" applyFill="1"/>
    <xf numFmtId="0" fontId="15" fillId="15" borderId="0" xfId="0" applyFont="1" applyFill="1"/>
    <xf numFmtId="0" fontId="15" fillId="13" borderId="1" xfId="0" applyFont="1" applyFill="1" applyBorder="1"/>
    <xf numFmtId="0" fontId="15" fillId="13" borderId="0" xfId="0" applyFont="1" applyFill="1"/>
    <xf numFmtId="0" fontId="15" fillId="13" borderId="4" xfId="0" applyFont="1" applyFill="1" applyBorder="1"/>
    <xf numFmtId="0" fontId="4" fillId="13" borderId="1" xfId="0" applyFont="1" applyFill="1" applyBorder="1"/>
    <xf numFmtId="2" fontId="5" fillId="0" borderId="0" xfId="0" applyNumberFormat="1" applyFont="1" applyAlignment="1">
      <alignment horizontal="left" vertical="center" wrapText="1"/>
    </xf>
    <xf numFmtId="49" fontId="5" fillId="0" borderId="0" xfId="0" applyNumberFormat="1" applyFont="1" applyAlignment="1">
      <alignment horizontal="left" vertical="center" wrapText="1"/>
    </xf>
    <xf numFmtId="165" fontId="0" fillId="0" borderId="0" xfId="0" applyNumberFormat="1" applyAlignment="1">
      <alignment horizontal="left"/>
    </xf>
    <xf numFmtId="0" fontId="0" fillId="13" borderId="0" xfId="0" applyFill="1" applyAlignment="1">
      <alignment horizontal="left"/>
    </xf>
    <xf numFmtId="2" fontId="4" fillId="13" borderId="0" xfId="0" applyNumberFormat="1" applyFont="1" applyFill="1" applyAlignment="1">
      <alignment horizontal="left" vertical="center" wrapText="1"/>
    </xf>
    <xf numFmtId="0" fontId="4" fillId="16" borderId="0" xfId="0" applyFont="1" applyFill="1" applyAlignment="1">
      <alignment horizontal="left" vertical="center" wrapText="1"/>
    </xf>
    <xf numFmtId="164" fontId="4" fillId="13" borderId="0" xfId="0" applyNumberFormat="1" applyFont="1" applyFill="1" applyAlignment="1">
      <alignment horizontal="left" vertical="center" wrapText="1"/>
    </xf>
    <xf numFmtId="164" fontId="4" fillId="13" borderId="0" xfId="0" applyNumberFormat="1" applyFont="1" applyFill="1" applyAlignment="1">
      <alignment vertical="center" wrapText="1"/>
    </xf>
    <xf numFmtId="0" fontId="4" fillId="13" borderId="0" xfId="0" applyFont="1" applyFill="1" applyAlignment="1">
      <alignment horizontal="left"/>
    </xf>
    <xf numFmtId="164" fontId="5" fillId="0" borderId="0" xfId="0" applyNumberFormat="1" applyFont="1" applyAlignment="1">
      <alignment horizontal="left" vertical="center" wrapText="1"/>
    </xf>
    <xf numFmtId="0" fontId="4" fillId="13" borderId="0" xfId="0" applyFont="1" applyFill="1" applyAlignment="1">
      <alignment horizontal="left" vertical="center" wrapText="1"/>
    </xf>
    <xf numFmtId="0" fontId="7" fillId="0" borderId="0" xfId="0" applyFont="1" applyAlignment="1">
      <alignment horizontal="left" vertical="center" wrapText="1"/>
    </xf>
    <xf numFmtId="164" fontId="5" fillId="0" borderId="0" xfId="0" applyNumberFormat="1" applyFont="1" applyAlignment="1">
      <alignment vertical="center" wrapText="1"/>
    </xf>
    <xf numFmtId="164" fontId="7" fillId="0" borderId="0" xfId="0" applyNumberFormat="1" applyFont="1" applyAlignment="1">
      <alignment horizontal="left" vertical="center" wrapText="1"/>
    </xf>
    <xf numFmtId="0" fontId="4" fillId="0" borderId="0" xfId="0" applyFont="1" applyAlignment="1">
      <alignment horizontal="left"/>
    </xf>
    <xf numFmtId="0" fontId="4" fillId="0" borderId="0" xfId="0" applyFont="1" applyAlignment="1">
      <alignment horizontal="left" wrapText="1"/>
    </xf>
    <xf numFmtId="14" fontId="4" fillId="13" borderId="0" xfId="0" applyNumberFormat="1" applyFont="1" applyFill="1" applyAlignment="1">
      <alignment horizontal="left" vertical="center" wrapText="1"/>
    </xf>
    <xf numFmtId="0" fontId="4" fillId="13" borderId="0" xfId="0" quotePrefix="1" applyFont="1" applyFill="1" applyAlignment="1">
      <alignment horizontal="left"/>
    </xf>
    <xf numFmtId="14" fontId="5" fillId="0" borderId="0" xfId="0" applyNumberFormat="1" applyFont="1" applyAlignment="1">
      <alignment horizontal="left" vertical="center" wrapText="1"/>
    </xf>
    <xf numFmtId="10" fontId="0" fillId="0" borderId="0" xfId="0" applyNumberFormat="1" applyAlignment="1">
      <alignment horizontal="left"/>
    </xf>
    <xf numFmtId="0" fontId="5" fillId="0" borderId="0" xfId="0" applyFont="1" applyAlignment="1">
      <alignment vertical="center" wrapText="1"/>
    </xf>
    <xf numFmtId="49" fontId="5" fillId="0" borderId="0" xfId="0" applyNumberFormat="1" applyFont="1" applyAlignment="1">
      <alignment horizontal="center" vertical="center" wrapText="1"/>
    </xf>
    <xf numFmtId="49" fontId="5" fillId="0" borderId="0" xfId="0" applyNumberFormat="1" applyFont="1" applyAlignment="1">
      <alignment vertical="center" wrapText="1"/>
    </xf>
    <xf numFmtId="0" fontId="5" fillId="0" borderId="0" xfId="0" applyFont="1" applyAlignment="1">
      <alignment horizontal="right" vertical="center" wrapText="1"/>
    </xf>
    <xf numFmtId="1" fontId="5" fillId="0" borderId="0" xfId="0" applyNumberFormat="1" applyFont="1" applyAlignment="1">
      <alignment horizontal="left" vertical="center" wrapText="1"/>
    </xf>
    <xf numFmtId="14" fontId="14" fillId="0" borderId="2" xfId="0" applyNumberFormat="1" applyFont="1" applyBorder="1" applyAlignment="1">
      <alignment horizontal="left" vertical="center" wrapText="1"/>
    </xf>
    <xf numFmtId="0" fontId="0" fillId="0" borderId="1" xfId="0" applyBorder="1" applyAlignment="1">
      <alignment horizontal="left"/>
    </xf>
    <xf numFmtId="0" fontId="0" fillId="0" borderId="3" xfId="0" applyBorder="1" applyAlignment="1">
      <alignment horizontal="left"/>
    </xf>
    <xf numFmtId="14" fontId="5" fillId="0" borderId="0" xfId="0" applyNumberFormat="1" applyFont="1" applyAlignment="1">
      <alignment vertical="center" wrapText="1"/>
    </xf>
    <xf numFmtId="14" fontId="4" fillId="13" borderId="0" xfId="0" applyNumberFormat="1" applyFont="1" applyFill="1"/>
    <xf numFmtId="164" fontId="4" fillId="13" borderId="0" xfId="0" applyNumberFormat="1" applyFont="1" applyFill="1"/>
    <xf numFmtId="0" fontId="4" fillId="13" borderId="2" xfId="0" applyFont="1" applyFill="1" applyBorder="1"/>
    <xf numFmtId="0" fontId="4" fillId="13" borderId="3" xfId="0" applyFont="1" applyFill="1" applyBorder="1"/>
    <xf numFmtId="0" fontId="5" fillId="14" borderId="0" xfId="0" applyFont="1" applyFill="1"/>
    <xf numFmtId="0" fontId="12" fillId="14" borderId="0" xfId="1" applyFont="1" applyFill="1"/>
    <xf numFmtId="0" fontId="0" fillId="11" borderId="0" xfId="0" applyFill="1" applyAlignment="1">
      <alignment horizontal="left"/>
    </xf>
    <xf numFmtId="0" fontId="14" fillId="12" borderId="0" xfId="0" applyFont="1" applyFill="1" applyAlignment="1">
      <alignment horizontal="center" vertical="center"/>
    </xf>
    <xf numFmtId="164" fontId="0" fillId="6" borderId="0" xfId="0" applyNumberFormat="1" applyFill="1" applyAlignment="1">
      <alignment horizontal="left"/>
    </xf>
    <xf numFmtId="166" fontId="14" fillId="12" borderId="0" xfId="0" applyNumberFormat="1" applyFont="1" applyFill="1" applyAlignment="1">
      <alignment horizontal="center" vertical="center"/>
    </xf>
    <xf numFmtId="0" fontId="0" fillId="13" borderId="7" xfId="0" applyFill="1" applyBorder="1"/>
    <xf numFmtId="0" fontId="4" fillId="13" borderId="7" xfId="0" applyFont="1" applyFill="1" applyBorder="1"/>
    <xf numFmtId="0" fontId="15" fillId="15" borderId="3" xfId="0" applyFont="1" applyFill="1" applyBorder="1"/>
    <xf numFmtId="0" fontId="15" fillId="13" borderId="3" xfId="0" applyFont="1" applyFill="1" applyBorder="1"/>
    <xf numFmtId="0" fontId="15" fillId="15" borderId="5" xfId="0" applyFont="1" applyFill="1" applyBorder="1"/>
    <xf numFmtId="0" fontId="15" fillId="13" borderId="7" xfId="0" applyFont="1" applyFill="1" applyBorder="1"/>
    <xf numFmtId="0" fontId="15" fillId="13" borderId="5" xfId="0" applyFont="1" applyFill="1" applyBorder="1"/>
    <xf numFmtId="0" fontId="4" fillId="13" borderId="4" xfId="0" applyFont="1" applyFill="1" applyBorder="1"/>
    <xf numFmtId="0" fontId="0" fillId="8" borderId="1" xfId="0" applyFill="1" applyBorder="1" applyAlignment="1">
      <alignment wrapText="1"/>
    </xf>
    <xf numFmtId="0" fontId="1" fillId="0" borderId="0" xfId="0" applyFont="1" applyAlignment="1">
      <alignment horizontal="center" vertical="center"/>
    </xf>
    <xf numFmtId="0" fontId="15" fillId="15" borderId="7" xfId="0" applyFont="1" applyFill="1" applyBorder="1"/>
    <xf numFmtId="0" fontId="16" fillId="0" borderId="0" xfId="0" applyFont="1"/>
    <xf numFmtId="49" fontId="15" fillId="13" borderId="0" xfId="0" applyNumberFormat="1" applyFont="1" applyFill="1"/>
    <xf numFmtId="0" fontId="15" fillId="16" borderId="0" xfId="0" applyFont="1" applyFill="1"/>
    <xf numFmtId="49" fontId="4" fillId="13" borderId="7" xfId="0" applyNumberFormat="1" applyFont="1" applyFill="1" applyBorder="1"/>
    <xf numFmtId="14" fontId="0" fillId="8" borderId="3" xfId="0" applyNumberFormat="1" applyFill="1" applyBorder="1"/>
    <xf numFmtId="0" fontId="16" fillId="13" borderId="0" xfId="0" applyFont="1" applyFill="1"/>
    <xf numFmtId="49" fontId="4" fillId="13" borderId="0" xfId="0" applyNumberFormat="1" applyFont="1" applyFill="1"/>
    <xf numFmtId="49" fontId="16" fillId="13" borderId="0" xfId="0" applyNumberFormat="1" applyFont="1" applyFill="1" applyAlignment="1">
      <alignment horizontal="center" vertical="center" wrapText="1"/>
    </xf>
    <xf numFmtId="49" fontId="19" fillId="0" borderId="0" xfId="0" applyNumberFormat="1" applyFont="1" applyAlignment="1">
      <alignment horizontal="left"/>
    </xf>
    <xf numFmtId="0" fontId="19" fillId="0" borderId="0" xfId="0" applyFont="1" applyAlignment="1">
      <alignment horizontal="left"/>
    </xf>
    <xf numFmtId="1" fontId="0" fillId="17" borderId="0" xfId="0" applyNumberFormat="1" applyFill="1" applyAlignment="1">
      <alignment horizontal="left"/>
    </xf>
    <xf numFmtId="2" fontId="0" fillId="6" borderId="0" xfId="0" applyNumberFormat="1" applyFill="1"/>
    <xf numFmtId="0" fontId="0" fillId="7" borderId="0" xfId="0" applyFill="1" applyAlignment="1">
      <alignment horizontal="left"/>
    </xf>
    <xf numFmtId="49" fontId="0" fillId="7" borderId="0" xfId="0" applyNumberFormat="1" applyFill="1" applyAlignment="1">
      <alignment horizontal="left"/>
    </xf>
    <xf numFmtId="0" fontId="4" fillId="13" borderId="0" xfId="0" applyFont="1" applyFill="1" applyAlignment="1">
      <alignment vertical="center"/>
    </xf>
    <xf numFmtId="0" fontId="11" fillId="9" borderId="0" xfId="0" applyFont="1" applyFill="1" applyAlignment="1">
      <alignment vertical="center"/>
    </xf>
    <xf numFmtId="14" fontId="4" fillId="13" borderId="0" xfId="0" applyNumberFormat="1" applyFont="1" applyFill="1" applyAlignment="1">
      <alignment vertical="center" wrapText="1"/>
    </xf>
    <xf numFmtId="14" fontId="5" fillId="10" borderId="0" xfId="0" applyNumberFormat="1" applyFont="1" applyFill="1" applyAlignment="1">
      <alignment vertical="center" wrapText="1"/>
    </xf>
    <xf numFmtId="165" fontId="4" fillId="13" borderId="0" xfId="0" applyNumberFormat="1" applyFont="1" applyFill="1" applyAlignment="1">
      <alignment horizontal="left"/>
    </xf>
    <xf numFmtId="0" fontId="0" fillId="18" borderId="0" xfId="0" applyFill="1"/>
    <xf numFmtId="0" fontId="0" fillId="19" borderId="0" xfId="0" applyFill="1"/>
    <xf numFmtId="1" fontId="4" fillId="13" borderId="0" xfId="0" applyNumberFormat="1" applyFont="1" applyFill="1" applyAlignment="1">
      <alignment horizontal="left"/>
    </xf>
    <xf numFmtId="14" fontId="4" fillId="18" borderId="0" xfId="0" applyNumberFormat="1" applyFont="1" applyFill="1" applyAlignment="1">
      <alignment horizontal="left" vertical="center" wrapText="1"/>
    </xf>
    <xf numFmtId="14" fontId="5" fillId="20" borderId="0" xfId="0" applyNumberFormat="1" applyFont="1" applyFill="1" applyAlignment="1">
      <alignment horizontal="left" vertical="center" wrapText="1"/>
    </xf>
    <xf numFmtId="0" fontId="0" fillId="21" borderId="0" xfId="0" applyFill="1" applyAlignment="1">
      <alignment horizontal="left"/>
    </xf>
    <xf numFmtId="0" fontId="0" fillId="0" borderId="0" xfId="0" applyAlignment="1">
      <alignment wrapText="1"/>
    </xf>
    <xf numFmtId="0" fontId="13" fillId="0" borderId="12" xfId="0" applyFont="1" applyBorder="1"/>
    <xf numFmtId="2" fontId="0" fillId="0" borderId="12" xfId="0" applyNumberFormat="1" applyBorder="1"/>
    <xf numFmtId="14" fontId="4" fillId="18" borderId="0" xfId="0" applyNumberFormat="1" applyFont="1" applyFill="1" applyAlignment="1">
      <alignment vertical="center" wrapText="1"/>
    </xf>
    <xf numFmtId="0" fontId="11" fillId="18" borderId="0" xfId="0" applyFont="1" applyFill="1" applyAlignment="1">
      <alignment vertical="center"/>
    </xf>
    <xf numFmtId="14" fontId="5" fillId="20" borderId="0" xfId="0" applyNumberFormat="1" applyFont="1" applyFill="1" applyAlignment="1">
      <alignment vertical="center" wrapText="1"/>
    </xf>
    <xf numFmtId="164" fontId="5" fillId="20" borderId="0" xfId="0" applyNumberFormat="1" applyFont="1" applyFill="1" applyAlignment="1">
      <alignment vertical="center" wrapText="1"/>
    </xf>
    <xf numFmtId="0" fontId="4" fillId="18" borderId="0" xfId="0" applyFont="1" applyFill="1" applyAlignment="1">
      <alignment horizontal="left" vertical="center" wrapText="1"/>
    </xf>
    <xf numFmtId="2" fontId="4" fillId="18" borderId="0" xfId="0" applyNumberFormat="1" applyFont="1" applyFill="1" applyAlignment="1">
      <alignment horizontal="left" vertical="center" wrapText="1"/>
    </xf>
    <xf numFmtId="2" fontId="0" fillId="6" borderId="12" xfId="0" applyNumberFormat="1" applyFill="1" applyBorder="1"/>
    <xf numFmtId="2" fontId="0" fillId="0" borderId="0" xfId="0" applyNumberFormat="1"/>
    <xf numFmtId="0" fontId="0" fillId="0" borderId="13" xfId="0" applyBorder="1" applyAlignment="1">
      <alignment vertical="center" wrapText="1"/>
    </xf>
    <xf numFmtId="0" fontId="0" fillId="0" borderId="12" xfId="0" applyBorder="1" applyAlignment="1">
      <alignment vertical="center" wrapText="1"/>
    </xf>
    <xf numFmtId="0" fontId="0" fillId="0" borderId="12" xfId="0" applyBorder="1" applyAlignment="1">
      <alignment horizontal="left" vertical="center" wrapText="1"/>
    </xf>
    <xf numFmtId="14" fontId="0" fillId="0" borderId="0" xfId="0" applyNumberFormat="1" applyAlignment="1">
      <alignment vertical="center"/>
    </xf>
    <xf numFmtId="2" fontId="22" fillId="13" borderId="0" xfId="0" applyNumberFormat="1" applyFont="1" applyFill="1" applyAlignment="1">
      <alignment horizontal="left" vertical="center" wrapText="1"/>
    </xf>
    <xf numFmtId="164" fontId="0" fillId="11" borderId="14" xfId="0" applyNumberFormat="1" applyFill="1" applyBorder="1" applyAlignment="1">
      <alignment horizontal="left"/>
    </xf>
    <xf numFmtId="164" fontId="0" fillId="11" borderId="7" xfId="0" applyNumberFormat="1" applyFill="1" applyBorder="1" applyAlignment="1">
      <alignment horizontal="left"/>
    </xf>
    <xf numFmtId="14" fontId="4" fillId="13" borderId="0" xfId="0" applyNumberFormat="1" applyFont="1" applyFill="1" applyAlignment="1">
      <alignment horizontal="right" vertical="center" wrapText="1"/>
    </xf>
    <xf numFmtId="14" fontId="4" fillId="17" borderId="0" xfId="0" applyNumberFormat="1" applyFont="1" applyFill="1" applyAlignment="1">
      <alignment horizontal="left" vertical="center" wrapText="1"/>
    </xf>
    <xf numFmtId="0" fontId="0" fillId="17" borderId="0" xfId="0" applyFill="1" applyAlignment="1">
      <alignment horizontal="left"/>
    </xf>
    <xf numFmtId="0" fontId="0" fillId="18" borderId="0" xfId="0" applyFill="1" applyAlignment="1">
      <alignment horizontal="left"/>
    </xf>
    <xf numFmtId="0" fontId="3" fillId="5" borderId="0" xfId="0" applyFont="1" applyFill="1" applyAlignment="1">
      <alignment horizontal="left"/>
    </xf>
    <xf numFmtId="0" fontId="0" fillId="0" borderId="15" xfId="0" applyBorder="1" applyAlignment="1">
      <alignment vertical="center" wrapText="1"/>
    </xf>
    <xf numFmtId="0" fontId="22" fillId="0" borderId="0" xfId="0" applyFont="1" applyAlignment="1">
      <alignment horizontal="left"/>
    </xf>
    <xf numFmtId="14" fontId="5" fillId="22" borderId="0" xfId="0" applyNumberFormat="1" applyFont="1" applyFill="1" applyAlignment="1">
      <alignment vertical="center" wrapText="1"/>
    </xf>
    <xf numFmtId="14" fontId="0" fillId="0" borderId="0" xfId="0" applyNumberFormat="1"/>
    <xf numFmtId="0" fontId="3" fillId="0" borderId="0" xfId="0" applyFont="1" applyAlignment="1">
      <alignment horizontal="left"/>
    </xf>
    <xf numFmtId="49" fontId="3" fillId="0" borderId="0" xfId="0" applyNumberFormat="1" applyFont="1" applyAlignment="1">
      <alignment horizontal="left"/>
    </xf>
    <xf numFmtId="0" fontId="3" fillId="17" borderId="0" xfId="0" applyFont="1" applyFill="1" applyAlignment="1">
      <alignment horizontal="left"/>
    </xf>
    <xf numFmtId="49" fontId="4" fillId="0" borderId="0" xfId="0" applyNumberFormat="1" applyFont="1" applyAlignment="1">
      <alignment horizontal="left"/>
    </xf>
    <xf numFmtId="0" fontId="0" fillId="7" borderId="0" xfId="0" applyFill="1" applyAlignment="1">
      <alignment horizontal="right"/>
    </xf>
    <xf numFmtId="0" fontId="0" fillId="11" borderId="0" xfId="0" applyFill="1"/>
    <xf numFmtId="2" fontId="0" fillId="7" borderId="0" xfId="0" applyNumberFormat="1" applyFill="1" applyAlignment="1">
      <alignment horizontal="left"/>
    </xf>
    <xf numFmtId="0" fontId="0" fillId="23" borderId="0" xfId="0" applyFill="1" applyAlignment="1">
      <alignment horizontal="left"/>
    </xf>
    <xf numFmtId="164" fontId="5" fillId="10" borderId="0" xfId="0" applyNumberFormat="1" applyFont="1" applyFill="1" applyAlignment="1">
      <alignment vertical="center" wrapText="1"/>
    </xf>
    <xf numFmtId="164" fontId="0" fillId="9" borderId="0" xfId="0" applyNumberFormat="1" applyFill="1"/>
    <xf numFmtId="0" fontId="4" fillId="5" borderId="0" xfId="0" applyFont="1" applyFill="1"/>
    <xf numFmtId="2" fontId="0" fillId="11" borderId="14" xfId="0" applyNumberFormat="1" applyFill="1" applyBorder="1" applyAlignment="1">
      <alignment horizontal="left"/>
    </xf>
    <xf numFmtId="2" fontId="0" fillId="11" borderId="0" xfId="0" applyNumberFormat="1" applyFill="1" applyAlignment="1">
      <alignment horizontal="left"/>
    </xf>
    <xf numFmtId="164" fontId="0" fillId="6" borderId="14" xfId="0" applyNumberFormat="1" applyFill="1" applyBorder="1" applyAlignment="1">
      <alignment horizontal="left"/>
    </xf>
    <xf numFmtId="0" fontId="16" fillId="13" borderId="0" xfId="0" applyFont="1" applyFill="1" applyAlignment="1">
      <alignment horizontal="left" vertical="center" wrapText="1"/>
    </xf>
    <xf numFmtId="2" fontId="3" fillId="9" borderId="0" xfId="0" applyNumberFormat="1" applyFont="1" applyFill="1"/>
    <xf numFmtId="0" fontId="4" fillId="13" borderId="0" xfId="0" applyFont="1" applyFill="1" applyAlignment="1">
      <alignment horizontal="left" vertical="top" wrapText="1"/>
    </xf>
    <xf numFmtId="0" fontId="4" fillId="13" borderId="8" xfId="0" applyFont="1" applyFill="1" applyBorder="1"/>
    <xf numFmtId="2" fontId="4" fillId="6" borderId="0" xfId="0" applyNumberFormat="1" applyFont="1" applyFill="1"/>
    <xf numFmtId="0" fontId="3" fillId="0" borderId="0" xfId="0" quotePrefix="1" applyFont="1" applyAlignment="1">
      <alignment horizontal="left"/>
    </xf>
    <xf numFmtId="0" fontId="5" fillId="0" borderId="0" xfId="0" applyFont="1"/>
    <xf numFmtId="0" fontId="0" fillId="11" borderId="16" xfId="0" applyFill="1" applyBorder="1" applyAlignment="1">
      <alignment vertical="center"/>
    </xf>
    <xf numFmtId="0" fontId="0" fillId="11" borderId="16" xfId="0" applyFill="1" applyBorder="1" applyAlignment="1">
      <alignment vertical="center" wrapText="1"/>
    </xf>
    <xf numFmtId="0" fontId="0" fillId="11" borderId="17" xfId="0" applyFill="1" applyBorder="1" applyAlignment="1">
      <alignment vertical="center"/>
    </xf>
    <xf numFmtId="164" fontId="0" fillId="21" borderId="0" xfId="0" applyNumberFormat="1" applyFill="1" applyAlignment="1">
      <alignment horizontal="left"/>
    </xf>
    <xf numFmtId="0" fontId="18" fillId="13" borderId="9" xfId="0" applyFont="1" applyFill="1" applyBorder="1" applyAlignment="1">
      <alignment horizontal="center"/>
    </xf>
    <xf numFmtId="0" fontId="18" fillId="13" borderId="10" xfId="0" applyFont="1" applyFill="1" applyBorder="1" applyAlignment="1">
      <alignment horizontal="center"/>
    </xf>
    <xf numFmtId="0" fontId="18" fillId="13" borderId="11" xfId="0" applyFont="1" applyFill="1" applyBorder="1" applyAlignment="1">
      <alignment horizontal="center"/>
    </xf>
    <xf numFmtId="0" fontId="1" fillId="13" borderId="9" xfId="0" applyFont="1" applyFill="1" applyBorder="1" applyAlignment="1">
      <alignment horizontal="left"/>
    </xf>
    <xf numFmtId="0" fontId="1" fillId="13" borderId="10" xfId="0" applyFont="1" applyFill="1" applyBorder="1" applyAlignment="1">
      <alignment horizontal="left"/>
    </xf>
    <xf numFmtId="0" fontId="1" fillId="13" borderId="11" xfId="0" applyFont="1" applyFill="1" applyBorder="1" applyAlignment="1">
      <alignment horizontal="left"/>
    </xf>
    <xf numFmtId="0" fontId="0" fillId="0" borderId="0" xfId="0" applyAlignment="1">
      <alignment horizontal="left"/>
    </xf>
    <xf numFmtId="0" fontId="0" fillId="0" borderId="0" xfId="0" applyAlignment="1">
      <alignment horizontal="left" vertical="center" wrapText="1"/>
    </xf>
    <xf numFmtId="0" fontId="0" fillId="0" borderId="0" xfId="0" applyAlignment="1">
      <alignment horizontal="left" vertical="top" wrapText="1"/>
    </xf>
    <xf numFmtId="0" fontId="17" fillId="14" borderId="0" xfId="0" applyFont="1" applyFill="1" applyAlignment="1">
      <alignment horizontal="center"/>
    </xf>
    <xf numFmtId="0" fontId="16" fillId="0" borderId="0" xfId="0" applyFont="1" applyAlignment="1">
      <alignment horizontal="center"/>
    </xf>
    <xf numFmtId="0" fontId="16" fillId="11" borderId="0" xfId="0" applyFont="1" applyFill="1" applyAlignment="1">
      <alignment horizontal="center"/>
    </xf>
  </cellXfs>
  <cellStyles count="3">
    <cellStyle name="Hyperlink" xfId="1" builtinId="8"/>
    <cellStyle name="Normal" xfId="0" builtinId="0"/>
    <cellStyle name="Normal 2" xfId="2" xr:uid="{364D0991-BCFB-46D1-BC05-3E383CD10499}"/>
  </cellStyles>
  <dxfs count="725">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font>
      <fill>
        <patternFill>
          <bgColor theme="5" tint="0.59996337778862885"/>
        </patternFill>
      </fill>
    </dxf>
    <dxf>
      <font>
        <color rgb="FF9C0006"/>
      </font>
      <fill>
        <patternFill>
          <bgColor rgb="FFFFC7CE"/>
        </patternFill>
      </fill>
    </dxf>
    <dxf>
      <font>
        <color rgb="FF006100"/>
      </font>
      <fill>
        <patternFill>
          <bgColor rgb="FFC6EFCE"/>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dxf>
    <dxf>
      <numFmt numFmtId="0" formatCode="General"/>
      <fill>
        <patternFill patternType="solid">
          <fgColor indexed="64"/>
          <bgColor theme="6" tint="0.5999938962981048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numFmt numFmtId="164" formatCode="dd/mm/yyyy;@"/>
      <fill>
        <patternFill patternType="solid">
          <fgColor indexed="64"/>
          <bgColor rgb="FFE5E5E5"/>
        </patternFill>
      </fill>
    </dxf>
    <dxf>
      <font>
        <strike val="0"/>
        <outline val="0"/>
        <shadow val="0"/>
        <u val="none"/>
        <vertAlign val="baseline"/>
        <sz val="11"/>
        <color auto="1"/>
        <name val="Calibri"/>
        <family val="2"/>
        <scheme val="minor"/>
      </font>
      <numFmt numFmtId="164" formatCode="dd/mm/yyyy;@"/>
      <fill>
        <patternFill patternType="solid">
          <fgColor indexed="64"/>
          <bgColor rgb="FFE5E5E5"/>
        </patternFill>
      </fill>
    </dxf>
    <dxf>
      <numFmt numFmtId="164" formatCode="dd/mm/yyyy;@"/>
      <fill>
        <patternFill patternType="solid">
          <fgColor indexed="64"/>
          <bgColor theme="7" tint="0.59999389629810485"/>
        </patternFill>
      </fill>
    </dxf>
    <dxf>
      <font>
        <strike val="0"/>
        <outline val="0"/>
        <shadow val="0"/>
        <u val="none"/>
        <vertAlign val="baseline"/>
        <sz val="11"/>
        <color auto="1"/>
        <name val="Calibri"/>
        <family val="2"/>
        <scheme val="minor"/>
      </font>
      <numFmt numFmtId="19" formatCode="dd/mm/yyyy"/>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font>
        <strike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7" tint="0.59999389629810485"/>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dxf>
    <dxf>
      <numFmt numFmtId="0" formatCode="General"/>
    </dxf>
    <dxf>
      <numFmt numFmtId="0" formatCode="General"/>
      <alignment horizontal="right" textRotation="0" wrapText="0" indent="0" justifyLastLine="0" shrinkToFit="0" readingOrder="0"/>
    </dxf>
    <dxf>
      <numFmt numFmtId="0" formatCode="General"/>
    </dxf>
    <dxf>
      <numFmt numFmtId="0" formatCode="General"/>
      <alignment horizontal="right" textRotation="0" indent="0" justifyLastLine="0" shrinkToFit="0" readingOrder="0"/>
    </dxf>
    <dxf>
      <numFmt numFmtId="0" formatCode="General"/>
      <fill>
        <patternFill patternType="solid">
          <fgColor indexed="64"/>
          <bgColor theme="2"/>
        </patternFill>
      </fill>
    </dxf>
    <dxf>
      <fill>
        <patternFill patternType="solid">
          <fgColor indexed="64"/>
          <bgColor theme="2"/>
        </patternFill>
      </fill>
    </dxf>
    <dxf>
      <fill>
        <patternFill patternType="solid">
          <fgColor indexed="64"/>
          <bgColor theme="6" tint="0.59999389629810485"/>
        </patternFill>
      </fill>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6" tint="0.39997558519241921"/>
        </patternFill>
      </fill>
      <alignment horizontal="general" vertical="center" textRotation="0" wrapText="1"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numFmt numFmtId="19" formatCode="dd/mm/yyyy"/>
      <fill>
        <patternFill patternType="none">
          <fgColor indexed="64"/>
          <bgColor auto="1"/>
        </patternFill>
      </fill>
    </dxf>
    <dxf>
      <font>
        <b val="0"/>
        <i val="0"/>
        <strike val="0"/>
        <condense val="0"/>
        <extend val="0"/>
        <outline val="0"/>
        <shadow val="0"/>
        <u val="none"/>
        <vertAlign val="baseline"/>
        <sz val="11"/>
        <color theme="0"/>
        <name val="Calibri"/>
        <family val="2"/>
        <scheme val="minor"/>
      </font>
      <numFmt numFmtId="19" formatCode="dd/mm/yyyy"/>
      <fill>
        <patternFill patternType="none">
          <fgColor indexed="64"/>
          <bgColor auto="1"/>
        </patternFill>
      </fill>
      <alignment horizontal="general"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2" formatCode="0.0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 formatCode="0"/>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alignment horizontal="left" vertical="bottom" textRotation="0" wrapText="0" indent="0" justifyLastLine="0" shrinkToFit="0" readingOrder="0"/>
    </dxf>
    <dxf>
      <alignment horizontal="left" vertical="bottom" textRotation="0" wrapText="0" indent="0" justifyLastLine="0" shrinkToFit="0" readingOrder="0"/>
    </dxf>
    <dxf>
      <fill>
        <patternFill patternType="solid">
          <fgColor rgb="FF000000"/>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14" formatCode="0.0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6" tint="0.39997558519241921"/>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9" formatCode="dd/mm/yyyy"/>
      <fill>
        <patternFill patternType="none">
          <fgColor indexed="64"/>
          <bgColor auto="1"/>
        </patternFill>
      </fill>
      <alignment horizontal="left" vertical="bottom" textRotation="0" wrapText="0" indent="0" justifyLastLine="0" shrinkToFit="0" readingOrder="0"/>
    </dxf>
    <dxf>
      <numFmt numFmtId="14" formatCode="0.0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6" tint="0.39997558519241921"/>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0" formatCode="General"/>
      <fill>
        <patternFill patternType="solid">
          <fgColor indexed="64"/>
          <bgColor theme="0" tint="-0.14999847407452621"/>
        </patternFill>
      </fill>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rgb="FFAC6689"/>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left/>
        <right/>
        <top style="thin">
          <color theme="4" tint="0.39997558519241921"/>
        </top>
        <bottom style="thin">
          <color theme="4" tint="0.39997558519241921"/>
        </bottom>
        <vertical/>
        <horizontal/>
      </border>
    </dxf>
    <dxf>
      <border outline="0">
        <top style="thin">
          <color rgb="FF8EA9DB"/>
        </top>
      </border>
    </dxf>
    <dxf>
      <border outline="0">
        <top style="thin">
          <color rgb="FF8EA9DB"/>
        </top>
        <bottom style="thin">
          <color rgb="FF8EA9DB"/>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dxf>
    <dxf>
      <border outline="0">
        <bottom style="thin">
          <color rgb="FF8EA9DB"/>
        </bottom>
      </border>
    </dxf>
    <dxf>
      <font>
        <b/>
        <i val="0"/>
        <strike val="0"/>
        <condense val="0"/>
        <extend val="0"/>
        <outline val="0"/>
        <shadow val="0"/>
        <u val="none"/>
        <vertAlign val="baseline"/>
        <sz val="11"/>
        <color theme="0"/>
        <name val="Calibri"/>
        <family val="2"/>
        <scheme val="minor"/>
      </font>
      <numFmt numFmtId="19" formatCode="dd/mm/yyyy"/>
      <fill>
        <patternFill patternType="none">
          <fgColor indexed="64"/>
          <bgColor auto="1"/>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fill>
        <patternFill patternType="none">
          <fgColor indexed="64"/>
          <bgColor auto="1"/>
        </patternFill>
      </fill>
      <alignment horizontal="left" vertical="bottom" textRotation="0" wrapText="0" indent="0" justifyLastLine="0" shrinkToFit="0" readingOrder="0"/>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top style="thin">
          <color theme="4" tint="0.39997558519241921"/>
        </top>
        <bottom style="thin">
          <color theme="4" tint="0.39997558519241921"/>
        </bottom>
      </border>
    </dxf>
    <dxf>
      <font>
        <b val="0"/>
        <i val="0"/>
        <strike val="0"/>
        <condense val="0"/>
        <extend val="0"/>
        <outline val="0"/>
        <shadow val="0"/>
        <u val="none"/>
        <vertAlign val="baseline"/>
        <sz val="11"/>
        <color theme="1"/>
        <name val="Calibri"/>
        <family val="2"/>
        <scheme val="minor"/>
      </font>
      <numFmt numFmtId="19" formatCode="dd/mm/yyyy"/>
      <fill>
        <patternFill patternType="none">
          <fgColor indexed="64"/>
          <bgColor auto="1"/>
        </patternFill>
      </fill>
      <alignment horizontal="left" vertical="bottom" textRotation="0" wrapText="0" indent="0" justifyLastLine="0" shrinkToFit="0" readingOrder="0"/>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numFmt numFmtId="19" formatCode="dd/mm/yyyy"/>
      <fill>
        <patternFill patternType="none">
          <fgColor indexed="64"/>
          <bgColor auto="1"/>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rgb="FFFF0000"/>
        <name val="Calibri"/>
        <family val="2"/>
        <scheme val="minor"/>
      </font>
      <numFmt numFmtId="0" formatCode="General"/>
      <fill>
        <patternFill patternType="solid">
          <fgColor indexed="64"/>
          <bgColor theme="6" tint="0.59999389629810485"/>
        </patternFill>
      </fill>
      <alignment horizontal="left" vertical="bottom" textRotation="0" wrapText="0" indent="0" justifyLastLine="0" shrinkToFit="0" readingOrder="0"/>
    </dxf>
    <dxf>
      <fill>
        <patternFill patternType="solid">
          <fgColor indexed="64"/>
          <bgColor theme="0" tint="-0.1499984740745262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30" formatCode="@"/>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 formatCode="0"/>
      <fill>
        <patternFill patternType="solid">
          <fgColor indexed="64"/>
          <bgColor theme="0" tint="-0.1499984740745262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 formatCode="0"/>
      <fill>
        <patternFill patternType="none">
          <fgColor indexed="64"/>
          <bgColor auto="1"/>
        </patternFill>
      </fill>
      <alignment horizontal="left" vertical="bottom" textRotation="0" wrapText="0" indent="0" justifyLastLine="0" shrinkToFit="0" readingOrder="0"/>
    </dxf>
    <dxf>
      <numFmt numFmtId="1" formatCode="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 formatCode="0"/>
      <fill>
        <patternFill patternType="solid">
          <fgColor indexed="64"/>
          <bgColor theme="0" tint="-0.14999847407452621"/>
        </patternFill>
      </fill>
      <alignment horizontal="left" vertical="bottom" textRotation="0" wrapText="0" indent="0" justifyLastLine="0" shrinkToFit="0" readingOrder="0"/>
    </dxf>
    <dxf>
      <numFmt numFmtId="1" formatCode="0"/>
      <fill>
        <patternFill patternType="solid">
          <fgColor indexed="64"/>
          <bgColor theme="0" tint="-0.14999847407452621"/>
        </patternFill>
      </fill>
      <alignment horizontal="left" vertical="bottom" textRotation="0" wrapText="0" indent="0" justifyLastLine="0" shrinkToFit="0" readingOrder="0"/>
    </dxf>
    <dxf>
      <numFmt numFmtId="1" formatCode="0"/>
      <fill>
        <patternFill patternType="solid">
          <fgColor indexed="64"/>
          <bgColor theme="0" tint="-0.14999847407452621"/>
        </patternFill>
      </fill>
      <alignment horizontal="left" vertical="bottom" textRotation="0" wrapText="0" indent="0" justifyLastLine="0" shrinkToFit="0" readingOrder="0"/>
    </dxf>
    <dxf>
      <numFmt numFmtId="1" formatCode="0"/>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theme="6" tint="0.5999938962981048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numFmt numFmtId="19" formatCode="dd/mm/yyyy"/>
      <fill>
        <patternFill patternType="solid">
          <fgColor indexed="64"/>
          <bgColor theme="0" tint="-0.249977111117893"/>
        </patternFill>
      </fill>
      <alignment horizontal="left" vertical="center" textRotation="0" wrapText="1" indent="0" justifyLastLine="0" shrinkToFit="0" readingOrder="0"/>
    </dxf>
    <dxf>
      <fill>
        <patternFill patternType="none">
          <fgColor indexed="64"/>
          <bgColor auto="1"/>
        </patternFill>
      </fill>
    </dxf>
    <dxf>
      <fill>
        <patternFill patternType="solid">
          <fgColor indexed="64"/>
          <bgColor theme="7" tint="0.79998168889431442"/>
        </patternFill>
      </fill>
    </dxf>
    <dxf>
      <fill>
        <patternFill patternType="solid">
          <fgColor indexed="64"/>
          <bgColor theme="7" tint="0.79998168889431442"/>
        </patternFill>
      </fill>
      <alignment horizontal="righ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ill>
        <patternFill patternType="none">
          <fgColor indexed="64"/>
          <bgColor auto="1"/>
        </patternFill>
      </fill>
    </dxf>
    <dxf>
      <font>
        <color auto="1"/>
      </font>
      <fill>
        <patternFill patternType="solid">
          <fgColor indexed="64"/>
          <bgColor rgb="FFE5E5E5"/>
        </patternFill>
      </fill>
      <alignment horizontal="left" vertical="bottom" textRotation="0" wrapText="0" indent="0" justifyLastLine="0" shrinkToFit="0" readingOrder="0"/>
    </dxf>
    <dxf>
      <fill>
        <patternFill patternType="solid">
          <fgColor indexed="64"/>
          <bgColor theme="2"/>
        </patternFill>
      </fill>
      <alignment horizontal="left" vertical="bottom" textRotation="0" wrapText="0" indent="0" justifyLastLine="0" shrinkToFit="0" readingOrder="0"/>
    </dxf>
    <dxf>
      <font>
        <color auto="1"/>
      </font>
      <fill>
        <patternFill patternType="solid">
          <fgColor indexed="64"/>
          <bgColor rgb="FFE5E5E5"/>
        </patternFill>
      </fill>
      <alignment horizontal="left" vertical="bottom" textRotation="0" wrapText="0" indent="0" justifyLastLine="0" shrinkToFit="0" readingOrder="0"/>
    </dxf>
    <dxf>
      <font>
        <color auto="1"/>
      </font>
      <fill>
        <patternFill patternType="solid">
          <fgColor indexed="64"/>
          <bgColor rgb="FFE5E5E5"/>
        </patternFill>
      </fill>
      <alignment horizontal="left" vertical="bottom" textRotation="0" wrapText="0" indent="0" justifyLastLine="0" shrinkToFit="0" readingOrder="0"/>
    </dxf>
    <dxf>
      <font>
        <color auto="1"/>
      </font>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theme="2"/>
        </patternFill>
      </fill>
      <alignment horizontal="left" vertical="bottom" textRotation="0" wrapText="0" indent="0" justifyLastLine="0" shrinkToFit="0" readingOrder="0"/>
    </dxf>
    <dxf>
      <font>
        <color auto="1"/>
      </font>
      <fill>
        <patternFill patternType="solid">
          <fgColor indexed="64"/>
          <bgColor rgb="FFE5E5E5"/>
        </patternFill>
      </fill>
      <alignment horizontal="left" vertical="bottom" textRotation="0" wrapText="0" indent="0" justifyLastLine="0" shrinkToFit="0" readingOrder="0"/>
    </dxf>
    <dxf>
      <fill>
        <patternFill patternType="solid">
          <fgColor indexed="64"/>
          <bgColor theme="2"/>
        </patternFill>
      </fill>
      <alignment horizontal="left" vertical="bottom" textRotation="0" wrapText="0" indent="0" justifyLastLine="0" shrinkToFit="0" readingOrder="0"/>
    </dxf>
    <dxf>
      <fill>
        <patternFill patternType="none">
          <fgColor indexed="64"/>
          <bgColor auto="1"/>
        </patternFill>
      </fill>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ill>
        <patternFill patternType="none">
          <fgColor indexed="64"/>
          <bgColor auto="1"/>
        </patternFill>
      </fill>
    </dxf>
    <dxf>
      <fill>
        <patternFill patternType="none">
          <fgColor indexed="64"/>
          <bgColor auto="1"/>
        </patternFill>
      </fill>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2" formatCode="0.00"/>
      <fill>
        <patternFill patternType="none">
          <fgColor indexed="64"/>
          <bgColor auto="1"/>
        </patternFill>
      </fill>
      <alignment horizontal="left" vertical="bottom" textRotation="0" wrapText="0" indent="0" justifyLastLine="0" shrinkToFit="0" readingOrder="0"/>
    </dxf>
    <dxf>
      <numFmt numFmtId="165" formatCode="dd/mm"/>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rgb="FF000000"/>
          <bgColor rgb="FFC8B3D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horizontal="left" vertical="center" textRotation="0" wrapText="1" indent="0" justifyLastLine="0" shrinkToFit="0" readingOrder="0"/>
    </dxf>
    <dxf>
      <numFmt numFmtId="2" formatCode="0.00"/>
      <fill>
        <patternFill patternType="solid">
          <fgColor indexed="64"/>
          <bgColor theme="9" tint="0.79998168889431442"/>
        </patternFill>
      </fill>
    </dxf>
    <dxf>
      <fill>
        <patternFill patternType="solid">
          <fgColor indexed="64"/>
          <bgColor theme="9" tint="0.79998168889431442"/>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rgb="FF000000"/>
          <bgColor rgb="FFAC8DBF"/>
        </patternFill>
      </fill>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19"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solid">
          <fgColor indexed="64"/>
          <bgColor theme="9" tint="0.79998168889431442"/>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164" formatCode="dd/mm/yyyy;@"/>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solid">
          <fgColor rgb="FF000000"/>
          <bgColor rgb="FFC8B3D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horizontal="lef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2" formatCode="0.00"/>
      <fill>
        <patternFill patternType="none">
          <fgColor indexed="64"/>
          <bgColor auto="1"/>
        </patternFill>
      </fill>
      <alignment horizontal="left" vertical="bottom" textRotation="0" wrapText="0" indent="0" justifyLastLine="0" shrinkToFit="0" readingOrder="0"/>
    </dxf>
    <dxf>
      <numFmt numFmtId="165" formatCode="dd/mm"/>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C8B3D5"/>
        </patternFill>
      </fill>
      <alignment horizontal="left" vertical="bottom" textRotation="0" wrapText="0" indent="0" justifyLastLine="0" shrinkToFit="0" readingOrder="0"/>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horizontal="left" vertical="center" textRotation="0" wrapText="1" indent="0" justifyLastLine="0" shrinkToFit="0" readingOrder="0"/>
    </dxf>
    <dxf>
      <numFmt numFmtId="2" formatCode="0.00"/>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164" formatCode="dd/mm/yyyy;@"/>
      <fill>
        <patternFill patternType="none">
          <fgColor indexed="64"/>
          <bgColor auto="1"/>
        </patternFill>
      </fill>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 formatCode="0"/>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numFmt numFmtId="0" formatCode="General"/>
      <fill>
        <patternFill patternType="solid">
          <fgColor rgb="FF000000"/>
          <bgColor rgb="FFE5E5E5"/>
        </patternFill>
      </fill>
      <alignment horizontal="left" vertical="bottom" textRotation="0" wrapText="0" indent="0" justifyLastLine="0" shrinkToFit="0" readingOrder="0"/>
    </dxf>
    <dxf>
      <fill>
        <patternFill patternType="solid">
          <fgColor rgb="FF000000"/>
          <bgColor rgb="FFAC8DBF"/>
        </patternFill>
      </fill>
      <alignment horizontal="left" vertical="bottom" textRotation="0" wrapText="0" indent="0" justifyLastLine="0" shrinkToFit="0" readingOrder="0"/>
    </dxf>
    <dxf>
      <alignment horizontal="left" vertical="center" textRotation="0" wrapText="1" indent="0" justifyLastLine="0" shrinkToFit="0" readingOrder="0"/>
    </dxf>
    <dxf>
      <numFmt numFmtId="2" formatCode="0.00"/>
      <fill>
        <patternFill patternType="solid">
          <fgColor indexed="64"/>
          <bgColor theme="9" tint="0.79998168889431442"/>
        </patternFill>
      </fill>
    </dxf>
    <dxf>
      <fill>
        <patternFill patternType="solid">
          <fgColor indexed="64"/>
          <bgColor theme="9" tint="0.79998168889431442"/>
        </patternFill>
      </fill>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dxf>
    <dxf>
      <font>
        <b val="0"/>
        <i val="0"/>
        <strike val="0"/>
        <condense val="0"/>
        <extend val="0"/>
        <outline val="0"/>
        <shadow val="0"/>
        <u val="none"/>
        <vertAlign val="baseline"/>
        <sz val="11"/>
        <color theme="0"/>
        <name val="Calibri"/>
        <family val="2"/>
        <scheme val="minor"/>
      </font>
      <fill>
        <patternFill patternType="solid">
          <fgColor indexed="64"/>
          <bgColor rgb="FFAC6689"/>
        </patternFill>
      </fill>
      <alignment vertical="center" textRotation="0" wrapText="1"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numFmt numFmtId="0" formatCode="General"/>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font>
        <b val="0"/>
        <i val="0"/>
        <strike val="0"/>
        <condense val="0"/>
        <extend val="0"/>
        <outline val="0"/>
        <shadow val="0"/>
        <u val="none"/>
        <vertAlign val="baseline"/>
        <sz val="11"/>
        <color rgb="FFFFFFFF"/>
        <name val="Calibri"/>
        <family val="2"/>
        <scheme val="minor"/>
      </font>
      <fill>
        <patternFill patternType="solid">
          <fgColor indexed="64"/>
          <bgColor rgb="FFAC6689"/>
        </patternFill>
      </fill>
      <alignment horizontal="left" vertical="center" textRotation="0" wrapText="1" indent="0" justifyLastLine="0" shrinkToFit="0" readingOrder="0"/>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numFmt numFmtId="30" formatCode="@"/>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numFmt numFmtId="2" formatCode="0.00"/>
      <fill>
        <patternFill patternType="solid">
          <fgColor indexed="64"/>
          <bgColor theme="7" tint="0.79998168889431442"/>
        </patternFill>
      </fill>
      <alignment horizontal="left" vertical="bottom" textRotation="0" wrapText="0" indent="0" justifyLastLine="0" shrinkToFit="0" readingOrder="0"/>
    </dxf>
    <dxf>
      <numFmt numFmtId="165" formatCode="dd/mm"/>
      <fill>
        <patternFill patternType="none">
          <fgColor indexed="64"/>
          <bgColor auto="1"/>
        </patternFill>
      </fill>
      <alignment horizontal="left" vertical="bottom" textRotation="0" wrapText="0" indent="0" justifyLastLine="0" shrinkToFit="0" readingOrder="0"/>
    </dxf>
    <dxf>
      <numFmt numFmtId="165" formatCode="dd/mm"/>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ill>
        <patternFill patternType="none">
          <fgColor indexed="64"/>
          <bgColor auto="1"/>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165" formatCode="dd/mm"/>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165" formatCode="dd/mm"/>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ont>
        <strike val="0"/>
        <outline val="0"/>
        <shadow val="0"/>
        <u val="none"/>
        <vertAlign val="baseline"/>
        <sz val="11"/>
        <color auto="1"/>
        <name val="Calibri"/>
        <family val="2"/>
        <scheme val="minor"/>
      </font>
      <numFmt numFmtId="0" formatCode="General"/>
      <fill>
        <patternFill patternType="solid">
          <fgColor indexed="64"/>
          <bgColor rgb="FFE5E5E5"/>
        </patternFill>
      </fill>
      <alignment horizontal="left" vertical="bottom" textRotation="0" wrapText="0" indent="0" justifyLastLine="0" shrinkToFit="0" readingOrder="0"/>
    </dxf>
    <dxf>
      <fill>
        <patternFill patternType="solid">
          <fgColor indexed="64"/>
          <bgColor rgb="FFAC8DBF"/>
        </patternFill>
      </fill>
      <alignment horizontal="left" vertical="bottom" textRotation="0" wrapText="0" indent="0" justifyLastLine="0" shrinkToFit="0" readingOrder="0"/>
    </dxf>
    <dxf>
      <alignment vertical="center" textRotation="0" wrapText="1"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border diagonalUp="0" diagonalDown="0">
        <left style="thin">
          <color theme="4" tint="0.39997558519241921"/>
        </left>
        <right/>
        <top/>
        <bottom/>
        <vertical/>
        <horizontal/>
      </border>
    </dxf>
    <dxf>
      <numFmt numFmtId="0" formatCode="General"/>
    </dxf>
    <dxf>
      <fill>
        <patternFill patternType="solid">
          <fgColor indexed="64"/>
          <bgColor theme="0" tint="-4.9989318521683403E-2"/>
        </patternFill>
      </fill>
    </dxf>
    <dxf>
      <numFmt numFmtId="0" formatCode="General"/>
    </dxf>
    <dxf>
      <numFmt numFmtId="0" formatCode="General"/>
      <fill>
        <patternFill patternType="none">
          <fgColor indexed="64"/>
          <bgColor indexed="65"/>
        </patternFill>
      </fill>
    </dxf>
    <dxf>
      <numFmt numFmtId="0" formatCode="General"/>
    </dxf>
    <dxf>
      <numFmt numFmtId="0" formatCode="General"/>
      <fill>
        <patternFill patternType="none">
          <fgColor indexed="64"/>
          <bgColor indexed="6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thin">
          <color theme="4" tint="0.39997558519241921"/>
        </top>
        <bottom style="thin">
          <color theme="4" tint="0.39997558519241921"/>
        </bottom>
        <vertical/>
        <horizontal/>
      </border>
    </dxf>
    <dxf>
      <numFmt numFmtId="0" formatCode="General"/>
      <fill>
        <patternFill patternType="solid">
          <fgColor indexed="64"/>
          <bgColor theme="0" tint="-0.14999847407452621"/>
        </patternFill>
      </fill>
    </dxf>
    <dxf>
      <font>
        <strike val="0"/>
        <outline val="0"/>
        <shadow val="0"/>
        <u val="none"/>
        <vertAlign val="baseline"/>
        <sz val="11"/>
        <color auto="1"/>
        <name val="Calibri"/>
        <family val="2"/>
        <scheme val="minor"/>
      </font>
      <numFmt numFmtId="0" formatCode="General"/>
      <fill>
        <patternFill patternType="solid">
          <fgColor indexed="64"/>
          <bgColor rgb="FFE5E5E5"/>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dxf>
    <dxf>
      <fill>
        <patternFill patternType="solid">
          <fgColor indexed="64"/>
          <bgColor rgb="FFAC8DBF"/>
        </patternFill>
      </fill>
      <alignment horizontal="left" vertical="bottom" textRotation="0" wrapText="0" indent="0" justifyLastLine="0" shrinkToFit="0" readingOrder="0"/>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ill>
        <patternFill patternType="solid">
          <fgColor indexed="64"/>
          <bgColor theme="6" tint="0.59999389629810485"/>
        </patternFill>
      </fill>
    </dxf>
    <dxf>
      <font>
        <b val="0"/>
        <i val="0"/>
        <strike val="0"/>
        <condense val="0"/>
        <extend val="0"/>
        <outline val="0"/>
        <shadow val="0"/>
        <u val="none"/>
        <vertAlign val="baseline"/>
        <sz val="11"/>
        <color rgb="FFFFFFFF"/>
        <name val="Calibri"/>
        <family val="2"/>
        <scheme val="minor"/>
      </font>
      <fill>
        <patternFill patternType="solid">
          <fgColor indexed="64"/>
          <bgColor theme="0" tint="-0.249977111117893"/>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border diagonalUp="0" diagonalDown="0">
        <left/>
        <right/>
        <top style="hair">
          <color theme="0" tint="-0.499984740745262"/>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border diagonalUp="0" diagonalDown="0">
        <left/>
        <right/>
        <top style="thin">
          <color theme="4" tint="0.39997558519241921"/>
        </top>
        <bottom/>
        <vertical/>
        <horizontal/>
      </border>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numFmt numFmtId="0" formatCode="General"/>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b val="0"/>
        <i val="0"/>
        <strike val="0"/>
        <condense val="0"/>
        <extend val="0"/>
        <outline val="0"/>
        <shadow val="0"/>
        <u val="none"/>
        <vertAlign val="baseline"/>
        <sz val="11"/>
        <color auto="1"/>
        <name val="Calibri"/>
        <family val="2"/>
        <scheme val="minor"/>
      </font>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ont>
        <color auto="1"/>
      </font>
      <numFmt numFmtId="0" formatCode="General"/>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E5E5E5"/>
        </patternFill>
      </fill>
    </dxf>
    <dxf>
      <fill>
        <patternFill patternType="solid">
          <fgColor indexed="64"/>
          <bgColor rgb="FFA093DB"/>
        </patternFill>
      </fill>
      <alignment horizontal="general" vertical="center" textRotation="0" wrapText="0" indent="0" justifyLastLine="0" shrinkToFit="0" readingOrder="0"/>
      <border diagonalUp="0" diagonalDown="0">
        <left/>
        <right/>
        <top style="hair">
          <color theme="0" tint="-0.34998626667073579"/>
        </top>
        <bottom style="hair">
          <color theme="0" tint="-0.34998626667073579"/>
        </bottom>
        <vertical/>
        <horizontal/>
      </border>
    </dxf>
    <dxf>
      <fill>
        <patternFill patternType="solid">
          <fgColor indexed="64"/>
          <bgColor rgb="FFA093DB"/>
        </patternFill>
      </fill>
      <alignment horizontal="general" vertical="center" textRotation="0" wrapText="1" indent="0" justifyLastLine="0" shrinkToFit="0" readingOrder="0"/>
      <border diagonalUp="0" diagonalDown="0">
        <left/>
        <right/>
        <top style="hair">
          <color theme="0" tint="-0.34998626667073579"/>
        </top>
        <bottom style="hair">
          <color theme="0" tint="-0.34998626667073579"/>
        </bottom>
        <vertical/>
        <horizontal/>
      </border>
    </dxf>
    <dxf>
      <fill>
        <patternFill patternType="solid">
          <fgColor indexed="64"/>
          <bgColor rgb="FFA093DB"/>
        </patternFill>
      </fill>
      <alignment horizontal="general" vertical="center" textRotation="0" wrapText="0" indent="0" justifyLastLine="0" shrinkToFit="0" readingOrder="0"/>
      <border diagonalUp="0" diagonalDown="0">
        <left/>
        <right/>
        <top style="hair">
          <color theme="0" tint="-0.34998626667073579"/>
        </top>
        <bottom style="hair">
          <color theme="0" tint="-0.34998626667073579"/>
        </bottom>
        <vertical/>
        <horizontal/>
      </border>
    </dxf>
    <dxf>
      <fill>
        <patternFill patternType="solid">
          <fgColor indexed="64"/>
          <bgColor rgb="FFA093DB"/>
        </patternFill>
      </fill>
      <alignment horizontal="general" vertical="center" textRotation="0" wrapText="0" indent="0" justifyLastLine="0" shrinkToFit="0" readingOrder="0"/>
      <border diagonalUp="0" diagonalDown="0">
        <left/>
        <right/>
        <top style="hair">
          <color theme="0" tint="-0.34998626667073579"/>
        </top>
        <bottom style="hair">
          <color theme="0" tint="-0.34998626667073579"/>
        </bottom>
        <vertical/>
        <horizontal/>
      </border>
    </dxf>
    <dxf>
      <fill>
        <patternFill patternType="solid">
          <fgColor indexed="64"/>
          <bgColor rgb="FFA093DB"/>
        </patternFill>
      </fill>
      <alignment horizontal="general" vertical="center" textRotation="0" wrapText="0" indent="0" justifyLastLine="0" shrinkToFit="0" readingOrder="0"/>
      <border diagonalUp="0" diagonalDown="0">
        <left/>
        <right/>
        <top style="hair">
          <color theme="0" tint="-0.34998626667073579"/>
        </top>
        <bottom style="hair">
          <color theme="0" tint="-0.34998626667073579"/>
        </bottom>
        <vertical/>
        <horizontal/>
      </border>
    </dxf>
    <dxf>
      <fill>
        <patternFill patternType="solid">
          <fgColor indexed="64"/>
          <bgColor rgb="FFA093DB"/>
        </patternFill>
      </fill>
      <alignment horizontal="general" vertical="center" textRotation="0" wrapText="0" indent="0" justifyLastLine="0" shrinkToFit="0" readingOrder="0"/>
      <border diagonalUp="0" diagonalDown="0">
        <left/>
        <right/>
        <top style="hair">
          <color theme="0" tint="-0.34998626667073579"/>
        </top>
        <bottom style="hair">
          <color theme="0" tint="-0.34998626667073579"/>
        </bottom>
        <vertical/>
        <horizontal/>
      </border>
    </dxf>
    <dxf>
      <fill>
        <patternFill patternType="solid">
          <fgColor indexed="64"/>
          <bgColor rgb="FFA093DB"/>
        </patternFill>
      </fill>
      <alignment horizontal="general" vertical="center" textRotation="0" wrapText="0" indent="0" justifyLastLine="0" shrinkToFit="0" readingOrder="0"/>
      <border diagonalUp="0" diagonalDown="0">
        <left/>
        <right/>
        <top style="hair">
          <color theme="0" tint="-0.34998626667073579"/>
        </top>
        <bottom style="hair">
          <color theme="0" tint="-0.34998626667073579"/>
        </bottom>
        <vertical/>
        <horizontal/>
      </border>
    </dxf>
    <dxf>
      <fill>
        <patternFill patternType="solid">
          <fgColor indexed="64"/>
          <bgColor rgb="FFA093DB"/>
        </patternFill>
      </fill>
      <alignment horizontal="general" vertical="center" textRotation="0" wrapText="0" indent="0" justifyLastLine="0" shrinkToFit="0" readingOrder="0"/>
      <border diagonalUp="0" diagonalDown="0">
        <left/>
        <right/>
        <top style="hair">
          <color theme="0" tint="-0.34998626667073579"/>
        </top>
        <bottom style="hair">
          <color theme="0" tint="-0.34998626667073579"/>
        </bottom>
        <vertical/>
        <horizontal/>
      </border>
    </dxf>
    <dxf>
      <border outline="0">
        <bottom style="hair">
          <color theme="0" tint="-0.34998626667073579"/>
        </bottom>
      </border>
    </dxf>
    <dxf>
      <fill>
        <patternFill patternType="solid">
          <fgColor indexed="64"/>
          <bgColor rgb="FFA093DB"/>
        </patternFill>
      </fill>
      <alignment horizontal="general" vertical="center" textRotation="0" wrapText="0" indent="0" justifyLastLine="0" shrinkToFit="0" readingOrder="0"/>
    </dxf>
    <dxf>
      <font>
        <b/>
        <i val="0"/>
        <strike val="0"/>
        <condense val="0"/>
        <extend val="0"/>
        <outline val="0"/>
        <shadow val="0"/>
        <u/>
        <vertAlign val="baseline"/>
        <sz val="12"/>
        <color theme="0"/>
        <name val="Calibri"/>
        <family val="2"/>
        <scheme val="minor"/>
      </font>
      <fill>
        <patternFill patternType="solid">
          <fgColor indexed="64"/>
          <bgColor rgb="FF6A0F8E"/>
        </patternFill>
      </fill>
      <alignment horizontal="general" vertical="center" textRotation="0" wrapText="1" indent="0" justifyLastLine="0" shrinkToFit="0" readingOrder="0"/>
    </dxf>
    <dxf>
      <numFmt numFmtId="2" formatCode="0.00"/>
      <fill>
        <patternFill patternType="none">
          <fgColor indexed="64"/>
          <bgColor auto="1"/>
        </patternFill>
      </fill>
      <border diagonalUp="0" diagonalDown="0">
        <left style="thin">
          <color indexed="64"/>
        </left>
        <right/>
        <top/>
        <bottom/>
        <vertical/>
        <horizontal/>
      </border>
    </dxf>
    <dxf>
      <fill>
        <patternFill patternType="none">
          <fgColor indexed="64"/>
          <bgColor auto="1"/>
        </patternFill>
      </fill>
      <alignment vertical="center" textRotation="0" wrapText="1" indent="0" justifyLastLine="0" shrinkToFit="0" readingOrder="0"/>
    </dxf>
    <dxf>
      <fill>
        <patternFill patternType="none">
          <fgColor indexed="64"/>
          <bgColor auto="1"/>
        </patternFill>
      </fill>
      <alignment horizontal="general" vertical="center" textRotation="0" indent="0" justifyLastLine="0" shrinkToFit="0" readingOrder="0"/>
      <border outline="0">
        <right style="thin">
          <color indexed="64"/>
        </right>
      </border>
    </dxf>
    <dxf>
      <fill>
        <patternFill patternType="none">
          <fgColor indexed="64"/>
          <bgColor auto="1"/>
        </patternFill>
      </fill>
    </dxf>
    <dxf>
      <font>
        <b/>
        <i val="0"/>
        <strike val="0"/>
        <condense val="0"/>
        <extend val="0"/>
        <outline val="0"/>
        <shadow val="0"/>
        <u/>
        <vertAlign val="baseline"/>
        <sz val="12"/>
        <color theme="0"/>
        <name val="Calibri"/>
        <family val="2"/>
        <scheme val="minor"/>
      </font>
      <fill>
        <patternFill patternType="none">
          <fgColor indexed="64"/>
          <bgColor auto="1"/>
        </patternFill>
      </fill>
    </dxf>
    <dxf>
      <fill>
        <patternFill patternType="solid">
          <fgColor indexed="64"/>
          <bgColor rgb="FFE5E5E5"/>
        </patternFill>
      </fill>
    </dxf>
    <dxf>
      <fill>
        <patternFill patternType="none">
          <fgColor indexed="64"/>
          <bgColor auto="1"/>
        </patternFill>
      </fill>
      <border diagonalUp="0" diagonalDown="0" outline="0">
        <left/>
        <right/>
        <top style="thin">
          <color theme="4" tint="0.39997558519241921"/>
        </top>
        <bottom style="thin">
          <color theme="4" tint="0.39997558519241921"/>
        </bottom>
      </border>
    </dxf>
    <dxf>
      <fill>
        <patternFill patternType="none">
          <fgColor indexed="64"/>
          <bgColor auto="1"/>
        </patternFill>
      </fill>
      <border diagonalUp="0" diagonalDown="0" outline="0">
        <left/>
        <right/>
        <top style="thin">
          <color theme="4" tint="0.39997558519241921"/>
        </top>
        <bottom style="thin">
          <color theme="4" tint="0.39997558519241921"/>
        </bottom>
      </border>
    </dxf>
    <dxf>
      <border outline="0">
        <top style="thin">
          <color theme="4" tint="0.39997558519241921"/>
        </top>
      </border>
    </dxf>
    <dxf>
      <border outline="0">
        <left style="thin">
          <color theme="4" tint="0.39997558519241921"/>
        </left>
        <right style="thin">
          <color theme="4" tint="0.39997558519241921"/>
        </right>
        <top style="thin">
          <color theme="4" tint="0.39997558519241921"/>
        </top>
        <bottom style="thin">
          <color theme="4" tint="0.39997558519241921"/>
        </bottom>
      </border>
    </dxf>
    <dxf>
      <fill>
        <patternFill patternType="none">
          <fgColor indexed="64"/>
          <bgColor auto="1"/>
        </patternFill>
      </fill>
    </dxf>
    <dxf>
      <border outline="0">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none">
          <fgColor indexed="64"/>
          <bgColor auto="1"/>
        </patternFill>
      </fill>
    </dxf>
    <dxf>
      <font>
        <b/>
        <i val="0"/>
        <color theme="0"/>
      </font>
      <fill>
        <patternFill>
          <bgColor rgb="FF6A0F8E"/>
        </patternFill>
      </fill>
    </dxf>
    <dxf>
      <fill>
        <patternFill>
          <bgColor rgb="FFA093DB"/>
        </patternFill>
      </fill>
      <border>
        <horizontal style="hair">
          <color theme="0" tint="-0.499984740745262"/>
        </horizontal>
      </border>
    </dxf>
    <dxf>
      <font>
        <b/>
        <i val="0"/>
        <color theme="0"/>
      </font>
      <fill>
        <patternFill>
          <bgColor rgb="FFAC6689"/>
        </patternFill>
      </fill>
    </dxf>
    <dxf>
      <fill>
        <patternFill>
          <bgColor rgb="FFAC8DBF"/>
        </patternFill>
      </fill>
      <border>
        <horizontal style="hair">
          <color rgb="FFDAF6FA"/>
        </horizontal>
      </border>
    </dxf>
  </dxfs>
  <tableStyles count="2" defaultTableStyle="IMP Colours" defaultPivotStyle="PivotStyleLight16">
    <tableStyle name="IMP" pivot="0" count="2" xr9:uid="{40171677-745F-4D80-A854-43A1D0969914}">
      <tableStyleElement type="wholeTable" dxfId="724"/>
      <tableStyleElement type="headerRow" dxfId="723"/>
    </tableStyle>
    <tableStyle name="IMP Colours" pivot="0" count="2" xr9:uid="{9DAC662F-0F69-49D0-B4DF-8805A762DB2D}">
      <tableStyleElement type="wholeTable" dxfId="722"/>
      <tableStyleElement type="headerRow" dxfId="721"/>
    </tableStyle>
  </tableStyles>
  <colors>
    <mruColors>
      <color rgb="FFA093DB"/>
      <color rgb="FFE5E5E5"/>
      <color rgb="FFFF4747"/>
      <color rgb="FF6A0F8E"/>
      <color rgb="FF261342"/>
      <color rgb="FFB2B2B2"/>
      <color rgb="FFDCCEE4"/>
      <color rgb="FFC8B3D5"/>
      <color rgb="FFAAEBF4"/>
      <color rgb="FFAC8D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microsoft.com/office/2022/10/relationships/richValueRel" Target="richData/richValueRel.xml"/><Relationship Id="rId50" Type="http://schemas.microsoft.com/office/2017/06/relationships/rdRichValueTypes" Target="richData/rdRichValueTypes.xml"/><Relationship Id="rId55" Type="http://schemas.openxmlformats.org/officeDocument/2006/relationships/customXml" Target="../customXml/item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3"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52"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connections" Target="connections.xml"/><Relationship Id="rId48" Type="http://schemas.microsoft.com/office/2017/06/relationships/rdRichValue" Target="richData/rdrichvalue.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RichValueStructure" Target="richData/rdrichvaluestructure.xml"/></Relationships>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0</xdr:col>
      <xdr:colOff>1</xdr:colOff>
      <xdr:row>7</xdr:row>
      <xdr:rowOff>0</xdr:rowOff>
    </xdr:from>
    <xdr:to>
      <xdr:col>16</xdr:col>
      <xdr:colOff>552451</xdr:colOff>
      <xdr:row>25</xdr:row>
      <xdr:rowOff>84731</xdr:rowOff>
    </xdr:to>
    <xdr:pic>
      <xdr:nvPicPr>
        <xdr:cNvPr id="2" name="Picture 1" descr="A screenshot of a computer&#10;&#10;Description automatically generated">
          <a:extLst>
            <a:ext uri="{FF2B5EF4-FFF2-40B4-BE49-F238E27FC236}">
              <a16:creationId xmlns:a16="http://schemas.microsoft.com/office/drawing/2014/main" id="{77A06FEF-1D07-4557-B7FA-BED4BF410AA1}"/>
            </a:ext>
          </a:extLst>
        </xdr:cNvPr>
        <xdr:cNvPicPr>
          <a:picLocks noChangeAspect="1"/>
        </xdr:cNvPicPr>
      </xdr:nvPicPr>
      <xdr:blipFill>
        <a:blip xmlns:r="http://schemas.openxmlformats.org/officeDocument/2006/relationships" r:embed="rId1"/>
        <a:stretch>
          <a:fillRect/>
        </a:stretch>
      </xdr:blipFill>
      <xdr:spPr>
        <a:xfrm>
          <a:off x="1" y="1343025"/>
          <a:ext cx="10306050" cy="0"/>
        </a:xfrm>
        <a:prstGeom prst="rect">
          <a:avLst/>
        </a:prstGeom>
      </xdr:spPr>
    </xdr:pic>
    <xdr:clientData/>
  </xdr:twoCellAnchor>
  <xdr:twoCellAnchor>
    <xdr:from>
      <xdr:col>0</xdr:col>
      <xdr:colOff>0</xdr:colOff>
      <xdr:row>29</xdr:row>
      <xdr:rowOff>0</xdr:rowOff>
    </xdr:from>
    <xdr:to>
      <xdr:col>24</xdr:col>
      <xdr:colOff>68726</xdr:colOff>
      <xdr:row>48</xdr:row>
      <xdr:rowOff>86242</xdr:rowOff>
    </xdr:to>
    <xdr:pic>
      <xdr:nvPicPr>
        <xdr:cNvPr id="3" name="Picture 2" descr="A screenshot of a computer&#10;&#10;Description automatically generated">
          <a:extLst>
            <a:ext uri="{FF2B5EF4-FFF2-40B4-BE49-F238E27FC236}">
              <a16:creationId xmlns:a16="http://schemas.microsoft.com/office/drawing/2014/main" id="{B3F973AB-BAD1-47D6-AA98-FE23FAB602F0}"/>
            </a:ext>
          </a:extLst>
        </xdr:cNvPr>
        <xdr:cNvPicPr>
          <a:picLocks noChangeAspect="1"/>
        </xdr:cNvPicPr>
      </xdr:nvPicPr>
      <xdr:blipFill>
        <a:blip xmlns:r="http://schemas.openxmlformats.org/officeDocument/2006/relationships" r:embed="rId2"/>
        <a:stretch>
          <a:fillRect/>
        </a:stretch>
      </xdr:blipFill>
      <xdr:spPr>
        <a:xfrm>
          <a:off x="0" y="1724025"/>
          <a:ext cx="14699126" cy="0"/>
        </a:xfrm>
        <a:prstGeom prst="rect">
          <a:avLst/>
        </a:prstGeom>
      </xdr:spPr>
    </xdr:pic>
    <xdr:clientData/>
  </xdr:twoCellAnchor>
  <xdr:twoCellAnchor>
    <xdr:from>
      <xdr:col>0</xdr:col>
      <xdr:colOff>0</xdr:colOff>
      <xdr:row>52</xdr:row>
      <xdr:rowOff>0</xdr:rowOff>
    </xdr:from>
    <xdr:to>
      <xdr:col>24</xdr:col>
      <xdr:colOff>49674</xdr:colOff>
      <xdr:row>101</xdr:row>
      <xdr:rowOff>106092</xdr:rowOff>
    </xdr:to>
    <xdr:pic>
      <xdr:nvPicPr>
        <xdr:cNvPr id="4" name="Picture 3" descr="A screenshot of a computer&#10;&#10;Description automatically generated">
          <a:extLst>
            <a:ext uri="{FF2B5EF4-FFF2-40B4-BE49-F238E27FC236}">
              <a16:creationId xmlns:a16="http://schemas.microsoft.com/office/drawing/2014/main" id="{2827B55D-5DEE-4540-8A2F-A735D1D17ECA}"/>
            </a:ext>
          </a:extLst>
        </xdr:cNvPr>
        <xdr:cNvPicPr>
          <a:picLocks noChangeAspect="1"/>
        </xdr:cNvPicPr>
      </xdr:nvPicPr>
      <xdr:blipFill>
        <a:blip xmlns:r="http://schemas.openxmlformats.org/officeDocument/2006/relationships" r:embed="rId3"/>
        <a:stretch>
          <a:fillRect/>
        </a:stretch>
      </xdr:blipFill>
      <xdr:spPr>
        <a:xfrm>
          <a:off x="0" y="2105025"/>
          <a:ext cx="14680074" cy="0"/>
        </a:xfrm>
        <a:prstGeom prst="rect">
          <a:avLst/>
        </a:prstGeom>
      </xdr:spPr>
    </xdr:pic>
    <xdr:clientData/>
  </xdr:twoCellAnchor>
  <xdr:twoCellAnchor>
    <xdr:from>
      <xdr:col>0</xdr:col>
      <xdr:colOff>0</xdr:colOff>
      <xdr:row>105</xdr:row>
      <xdr:rowOff>0</xdr:rowOff>
    </xdr:from>
    <xdr:to>
      <xdr:col>5</xdr:col>
      <xdr:colOff>495795</xdr:colOff>
      <xdr:row>144</xdr:row>
      <xdr:rowOff>67721</xdr:rowOff>
    </xdr:to>
    <xdr:pic>
      <xdr:nvPicPr>
        <xdr:cNvPr id="5" name="Picture 4" descr="A screenshot of a computer&#10;&#10;Description automatically generated">
          <a:extLst>
            <a:ext uri="{FF2B5EF4-FFF2-40B4-BE49-F238E27FC236}">
              <a16:creationId xmlns:a16="http://schemas.microsoft.com/office/drawing/2014/main" id="{AAC5CA30-FEAE-4EFB-8DFD-0ABF71FAAC6C}"/>
            </a:ext>
          </a:extLst>
        </xdr:cNvPr>
        <xdr:cNvPicPr>
          <a:picLocks noChangeAspect="1"/>
        </xdr:cNvPicPr>
      </xdr:nvPicPr>
      <xdr:blipFill>
        <a:blip xmlns:r="http://schemas.openxmlformats.org/officeDocument/2006/relationships" r:embed="rId4"/>
        <a:stretch>
          <a:fillRect/>
        </a:stretch>
      </xdr:blipFill>
      <xdr:spPr>
        <a:xfrm>
          <a:off x="0" y="2486025"/>
          <a:ext cx="3543795" cy="0"/>
        </a:xfrm>
        <a:prstGeom prst="rect">
          <a:avLst/>
        </a:prstGeom>
      </xdr:spPr>
    </xdr:pic>
    <xdr:clientData/>
  </xdr:twoCellAnchor>
  <xdr:twoCellAnchor>
    <xdr:from>
      <xdr:col>0</xdr:col>
      <xdr:colOff>0</xdr:colOff>
      <xdr:row>148</xdr:row>
      <xdr:rowOff>0</xdr:rowOff>
    </xdr:from>
    <xdr:to>
      <xdr:col>8</xdr:col>
      <xdr:colOff>168077</xdr:colOff>
      <xdr:row>161</xdr:row>
      <xdr:rowOff>7835</xdr:rowOff>
    </xdr:to>
    <xdr:pic>
      <xdr:nvPicPr>
        <xdr:cNvPr id="6" name="Picture 5" descr="A screenshot of a computer error&#10;&#10;Description automatically generated">
          <a:extLst>
            <a:ext uri="{FF2B5EF4-FFF2-40B4-BE49-F238E27FC236}">
              <a16:creationId xmlns:a16="http://schemas.microsoft.com/office/drawing/2014/main" id="{0A07BDD8-B186-4B57-C66D-9444AF9BD9D0}"/>
            </a:ext>
          </a:extLst>
        </xdr:cNvPr>
        <xdr:cNvPicPr>
          <a:picLocks noChangeAspect="1"/>
        </xdr:cNvPicPr>
      </xdr:nvPicPr>
      <xdr:blipFill>
        <a:blip xmlns:r="http://schemas.openxmlformats.org/officeDocument/2006/relationships" r:embed="rId5"/>
        <a:stretch>
          <a:fillRect/>
        </a:stretch>
      </xdr:blipFill>
      <xdr:spPr>
        <a:xfrm>
          <a:off x="0" y="28394025"/>
          <a:ext cx="5044877" cy="2484335"/>
        </a:xfrm>
        <a:prstGeom prst="rect">
          <a:avLst/>
        </a:prstGeom>
      </xdr:spPr>
    </xdr:pic>
    <xdr:clientData/>
  </xdr:twoCellAnchor>
  <xdr:twoCellAnchor>
    <xdr:from>
      <xdr:col>0</xdr:col>
      <xdr:colOff>0</xdr:colOff>
      <xdr:row>164</xdr:row>
      <xdr:rowOff>0</xdr:rowOff>
    </xdr:from>
    <xdr:to>
      <xdr:col>9</xdr:col>
      <xdr:colOff>251957</xdr:colOff>
      <xdr:row>170</xdr:row>
      <xdr:rowOff>53444</xdr:rowOff>
    </xdr:to>
    <xdr:pic>
      <xdr:nvPicPr>
        <xdr:cNvPr id="7" name="Picture 6">
          <a:extLst>
            <a:ext uri="{FF2B5EF4-FFF2-40B4-BE49-F238E27FC236}">
              <a16:creationId xmlns:a16="http://schemas.microsoft.com/office/drawing/2014/main" id="{FA55EA7A-2599-DE6D-D6EF-B6FA7DCB17EB}"/>
            </a:ext>
          </a:extLst>
        </xdr:cNvPr>
        <xdr:cNvPicPr>
          <a:picLocks noChangeAspect="1"/>
        </xdr:cNvPicPr>
      </xdr:nvPicPr>
      <xdr:blipFill>
        <a:blip xmlns:r="http://schemas.openxmlformats.org/officeDocument/2006/relationships" r:embed="rId6"/>
        <a:stretch>
          <a:fillRect/>
        </a:stretch>
      </xdr:blipFill>
      <xdr:spPr>
        <a:xfrm>
          <a:off x="0" y="31775400"/>
          <a:ext cx="5738357" cy="1196444"/>
        </a:xfrm>
        <a:prstGeom prst="rect">
          <a:avLst/>
        </a:prstGeom>
      </xdr:spPr>
    </xdr:pic>
    <xdr:clientData/>
  </xdr:twoCellAnchor>
  <xdr:twoCellAnchor>
    <xdr:from>
      <xdr:col>0</xdr:col>
      <xdr:colOff>66675</xdr:colOff>
      <xdr:row>177</xdr:row>
      <xdr:rowOff>47625</xdr:rowOff>
    </xdr:from>
    <xdr:to>
      <xdr:col>25</xdr:col>
      <xdr:colOff>402224</xdr:colOff>
      <xdr:row>185</xdr:row>
      <xdr:rowOff>85943</xdr:rowOff>
    </xdr:to>
    <xdr:pic>
      <xdr:nvPicPr>
        <xdr:cNvPr id="8" name="Picture 7">
          <a:extLst>
            <a:ext uri="{FF2B5EF4-FFF2-40B4-BE49-F238E27FC236}">
              <a16:creationId xmlns:a16="http://schemas.microsoft.com/office/drawing/2014/main" id="{467879F8-3BBC-401E-8FC3-4D728B810F12}"/>
            </a:ext>
          </a:extLst>
        </xdr:cNvPr>
        <xdr:cNvPicPr>
          <a:picLocks noChangeAspect="1"/>
        </xdr:cNvPicPr>
      </xdr:nvPicPr>
      <xdr:blipFill>
        <a:blip xmlns:r="http://schemas.openxmlformats.org/officeDocument/2006/relationships" r:embed="rId7"/>
        <a:stretch>
          <a:fillRect/>
        </a:stretch>
      </xdr:blipFill>
      <xdr:spPr>
        <a:xfrm>
          <a:off x="68580" y="5623560"/>
          <a:ext cx="15577454" cy="1562318"/>
        </a:xfrm>
        <a:prstGeom prst="rect">
          <a:avLst/>
        </a:prstGeom>
      </xdr:spPr>
    </xdr:pic>
    <xdr:clientData/>
  </xdr:twoCellAnchor>
  <xdr:twoCellAnchor>
    <xdr:from>
      <xdr:col>0</xdr:col>
      <xdr:colOff>342900</xdr:colOff>
      <xdr:row>185</xdr:row>
      <xdr:rowOff>19050</xdr:rowOff>
    </xdr:from>
    <xdr:to>
      <xdr:col>3</xdr:col>
      <xdr:colOff>533682</xdr:colOff>
      <xdr:row>191</xdr:row>
      <xdr:rowOff>28736</xdr:rowOff>
    </xdr:to>
    <xdr:pic>
      <xdr:nvPicPr>
        <xdr:cNvPr id="9" name="Picture 8">
          <a:extLst>
            <a:ext uri="{FF2B5EF4-FFF2-40B4-BE49-F238E27FC236}">
              <a16:creationId xmlns:a16="http://schemas.microsoft.com/office/drawing/2014/main" id="{D4BE082F-C9C7-47D3-B87A-D046D1591C27}"/>
            </a:ext>
          </a:extLst>
        </xdr:cNvPr>
        <xdr:cNvPicPr>
          <a:picLocks noChangeAspect="1"/>
        </xdr:cNvPicPr>
      </xdr:nvPicPr>
      <xdr:blipFill>
        <a:blip xmlns:r="http://schemas.openxmlformats.org/officeDocument/2006/relationships" r:embed="rId8"/>
        <a:stretch>
          <a:fillRect/>
        </a:stretch>
      </xdr:blipFill>
      <xdr:spPr>
        <a:xfrm>
          <a:off x="342900" y="7124700"/>
          <a:ext cx="2019582" cy="1150781"/>
        </a:xfrm>
        <a:prstGeom prst="rect">
          <a:avLst/>
        </a:prstGeom>
      </xdr:spPr>
    </xdr:pic>
    <xdr:clientData/>
  </xdr:twoCellAnchor>
  <xdr:twoCellAnchor>
    <xdr:from>
      <xdr:col>0</xdr:col>
      <xdr:colOff>0</xdr:colOff>
      <xdr:row>192</xdr:row>
      <xdr:rowOff>0</xdr:rowOff>
    </xdr:from>
    <xdr:to>
      <xdr:col>15</xdr:col>
      <xdr:colOff>382329</xdr:colOff>
      <xdr:row>212</xdr:row>
      <xdr:rowOff>181532</xdr:rowOff>
    </xdr:to>
    <xdr:pic>
      <xdr:nvPicPr>
        <xdr:cNvPr id="10" name="Picture 9">
          <a:extLst>
            <a:ext uri="{FF2B5EF4-FFF2-40B4-BE49-F238E27FC236}">
              <a16:creationId xmlns:a16="http://schemas.microsoft.com/office/drawing/2014/main" id="{FB101245-205D-46A9-BF66-81DB8CBDA070}"/>
            </a:ext>
          </a:extLst>
        </xdr:cNvPr>
        <xdr:cNvPicPr>
          <a:picLocks noChangeAspect="1"/>
        </xdr:cNvPicPr>
      </xdr:nvPicPr>
      <xdr:blipFill>
        <a:blip xmlns:r="http://schemas.openxmlformats.org/officeDocument/2006/relationships" r:embed="rId9"/>
        <a:stretch>
          <a:fillRect/>
        </a:stretch>
      </xdr:blipFill>
      <xdr:spPr>
        <a:xfrm>
          <a:off x="0" y="8435340"/>
          <a:ext cx="9526329" cy="3993437"/>
        </a:xfrm>
        <a:prstGeom prst="rect">
          <a:avLst/>
        </a:prstGeom>
      </xdr:spPr>
    </xdr:pic>
    <xdr:clientData/>
  </xdr:twoCellAnchor>
  <xdr:twoCellAnchor>
    <xdr:from>
      <xdr:col>0</xdr:col>
      <xdr:colOff>0</xdr:colOff>
      <xdr:row>213</xdr:row>
      <xdr:rowOff>85725</xdr:rowOff>
    </xdr:from>
    <xdr:to>
      <xdr:col>15</xdr:col>
      <xdr:colOff>429961</xdr:colOff>
      <xdr:row>233</xdr:row>
      <xdr:rowOff>143415</xdr:rowOff>
    </xdr:to>
    <xdr:pic>
      <xdr:nvPicPr>
        <xdr:cNvPr id="11" name="Picture 10">
          <a:extLst>
            <a:ext uri="{FF2B5EF4-FFF2-40B4-BE49-F238E27FC236}">
              <a16:creationId xmlns:a16="http://schemas.microsoft.com/office/drawing/2014/main" id="{AA08D121-A198-4657-A00C-C593048EF11C}"/>
            </a:ext>
          </a:extLst>
        </xdr:cNvPr>
        <xdr:cNvPicPr>
          <a:picLocks noChangeAspect="1"/>
        </xdr:cNvPicPr>
      </xdr:nvPicPr>
      <xdr:blipFill>
        <a:blip xmlns:r="http://schemas.openxmlformats.org/officeDocument/2006/relationships" r:embed="rId10"/>
        <a:stretch>
          <a:fillRect/>
        </a:stretch>
      </xdr:blipFill>
      <xdr:spPr>
        <a:xfrm>
          <a:off x="0" y="12519660"/>
          <a:ext cx="9572056" cy="3871500"/>
        </a:xfrm>
        <a:prstGeom prst="rect">
          <a:avLst/>
        </a:prstGeom>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5" xr16:uid="{5A67F31B-3FA4-4D04-8714-79909F1E691F}" autoFormatId="16" applyNumberFormats="0" applyBorderFormats="0" applyFontFormats="0" applyPatternFormats="0" applyAlignmentFormats="0" applyWidthHeightFormats="0">
  <queryTableRefresh nextId="4">
    <queryTableFields count="3">
      <queryTableField id="1" name="groupingCodeCode" tableColumnId="1"/>
      <queryTableField id="2" name="title" tableColumnId="2"/>
      <queryTableField id="3" name="groupingCodeTypeCode"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7" xr16:uid="{358C2949-1A7C-4064-B819-962F68AAA8B6}"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fundCode" tableColumnId="1"/>
      <queryTableField id="2" name="title" tableColumnId="2"/>
      <queryTableField id="3" name="fundEnabled"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1" xr16:uid="{20E120E0-7357-44FE-A062-7A08CCB1978E}"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activityCode" tableColumnId="1"/>
      <queryTableField id="2" name="title" tableColumnId="2"/>
      <queryTableField id="3" name="activityEnable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9" xr16:uid="{BF57AE7D-0061-49D9-B617-E1DC20480C3F}"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ledgerCode" tableColumnId="1"/>
      <queryTableField id="2" name="title" tableColumnId="2"/>
      <queryTableField id="3" name="ledgerEnabled" tableColumnId="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2" xr16:uid="{458CB6D5-8D2B-42A5-B916-8E305E8C0FFB}"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customGroupingCode" tableColumnId="1"/>
      <queryTableField id="2" name="title" tableColumnId="2"/>
      <queryTableField id="3" name="customGroupingEnabled"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backgroundRefresh="0" connectionId="11" xr16:uid="{0DEB6278-6B37-461B-9279-CD439926FA7A}"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schoolHubCode" tableColumnId="1"/>
      <queryTableField id="2" name="title" tableColumnId="2"/>
      <queryTableField id="3" name="schoolHubEnabled" tableColumnId="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backgroundRefresh="0" connectionId="14" xr16:uid="{111DCAA7-61E1-4E88-B1BF-15163FB3B509}" autoFormatId="16" applyNumberFormats="0" applyBorderFormats="0" applyFontFormats="0" applyPatternFormats="0" applyAlignmentFormats="0" applyWidthHeightFormats="0">
  <queryTableRefresh nextId="10" unboundColumnsLeft="6">
    <queryTableFields count="9">
      <queryTableField id="9" dataBound="0" tableColumnId="4"/>
      <queryTableField id="8" dataBound="0" tableColumnId="5"/>
      <queryTableField id="7" dataBound="0" tableColumnId="6"/>
      <queryTableField id="6" dataBound="0" tableColumnId="7"/>
      <queryTableField id="5" dataBound="0" tableColumnId="8"/>
      <queryTableField id="4" dataBound="0" tableColumnId="9"/>
      <queryTableField id="1" name="schoolTypeCode" tableColumnId="1"/>
      <queryTableField id="2" name="title" tableColumnId="2"/>
      <queryTableField id="3" name="schoolTypeEnabled" tableColumnId="3"/>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1" connectionId="10" xr16:uid="{B6F4F04F-1E90-493C-BCC2-6AEB2771F8C0}" autoFormatId="16" applyNumberFormats="0" applyBorderFormats="0" applyFontFormats="0" applyPatternFormats="0" applyAlignmentFormats="0" applyWidthHeightFormats="0">
  <queryTableRefresh nextId="11" unboundColumnsLeft="7">
    <queryTableFields count="10">
      <queryTableField id="10" dataBound="0" tableColumnId="4"/>
      <queryTableField id="9" dataBound="0" tableColumnId="5"/>
      <queryTableField id="8" dataBound="0" tableColumnId="6"/>
      <queryTableField id="7" dataBound="0" tableColumnId="7"/>
      <queryTableField id="6" dataBound="0" tableColumnId="8"/>
      <queryTableField id="5" dataBound="0" tableColumnId="9"/>
      <queryTableField id="4" dataBound="0" tableColumnId="10"/>
      <queryTableField id="1" name="schoolLocalAuthorityCode" tableColumnId="1"/>
      <queryTableField id="2" name="title" tableColumnId="2"/>
      <queryTableField id="3" name="schoolLocalAuthorityEnabled" tableColumnId="3"/>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1" connectionId="12" xr16:uid="{CCAA427B-123A-4934-9323-BB6220483456}" autoFormatId="16" applyNumberFormats="0" applyBorderFormats="0" applyFontFormats="0" applyPatternFormats="0" applyAlignmentFormats="0" applyWidthHeightFormats="0">
  <queryTableRefresh nextId="22" unboundColumnsLeft="9">
    <queryTableFields count="18">
      <queryTableField id="19" dataBound="0" tableColumnId="11"/>
      <queryTableField id="18" dataBound="0" tableColumnId="12"/>
      <queryTableField id="17" dataBound="0" tableColumnId="13"/>
      <queryTableField id="16" dataBound="0" tableColumnId="14"/>
      <queryTableField id="15" dataBound="0" tableColumnId="15"/>
      <queryTableField id="14" dataBound="0" tableColumnId="16"/>
      <queryTableField id="13" dataBound="0" tableColumnId="17"/>
      <queryTableField id="12" dataBound="0" tableColumnId="18"/>
      <queryTableField id="11" dataBound="0" tableColumnId="19"/>
      <queryTableField id="1" name="schoolLocalAuthority" tableColumnId="1"/>
      <queryTableField id="2" name="schoolCode" tableColumnId="2"/>
      <queryTableField id="3" name="schoolHub" tableColumnId="3"/>
      <queryTableField id="4" name="schoolType" tableColumnId="4"/>
      <queryTableField id="5" name="title" tableColumnId="5"/>
      <queryTableField id="6" name="londonWeighting" tableColumnId="6"/>
      <queryTableField id="7" name="uniqueReferenceNumber" tableColumnId="7"/>
      <queryTableField id="8" name="teachingHours" tableColumnId="8"/>
      <queryTableField id="9" name="schoolEnabled" tableColumnId="9"/>
    </queryTableFields>
    <queryTableDeletedFields count="1">
      <deletedField name="SchLookup"/>
    </queryTableDeleted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3" xr16:uid="{D8F8E28C-EF25-4AFE-B6FE-875F016D4850}" autoFormatId="16" applyNumberFormats="0" applyBorderFormats="0" applyFontFormats="0" applyPatternFormats="0" applyAlignmentFormats="0" applyWidthHeightFormats="0">
  <queryTableRefresh nextId="21" unboundColumnsLeft="6">
    <queryTableFields count="15">
      <queryTableField id="14" dataBound="0" tableColumnId="9"/>
      <queryTableField id="13" dataBound="0" tableColumnId="10"/>
      <queryTableField id="12" dataBound="0" tableColumnId="11"/>
      <queryTableField id="11" dataBound="0" tableColumnId="12"/>
      <queryTableField id="10" dataBound="0" tableColumnId="13"/>
      <queryTableField id="9" dataBound="0" tableColumnId="14"/>
      <queryTableField id="1" name="departmentCode" tableColumnId="1"/>
      <queryTableField id="2" name="title" tableColumnId="2"/>
      <queryTableField id="3" name="availableToAllSchools" tableColumnId="3"/>
      <queryTableField id="4" name="schoolCodes" tableColumnId="4"/>
      <queryTableField id="15" name="activityCode" tableColumnId="15"/>
      <queryTableField id="5" name="fundCode" tableColumnId="5"/>
      <queryTableField id="6" name="ledgerCode" tableColumnId="6"/>
      <queryTableField id="7" name="defaultFinanceCode" tableColumnId="7"/>
      <queryTableField id="8" name="departmentEnabled"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4" xr16:uid="{CB0F5D26-E6CE-4ED3-9E58-424627398FA5}" autoFormatId="16" applyNumberFormats="0" applyBorderFormats="0" applyFontFormats="0" applyPatternFormats="0" applyAlignmentFormats="0" applyWidthHeightFormats="0">
  <queryTableRefresh nextId="42" unboundColumnsLeft="15" unboundColumnsRight="1">
    <queryTableFields count="26">
      <queryTableField id="27" dataBound="0" tableColumnId="21"/>
      <queryTableField id="26" dataBound="0" tableColumnId="22"/>
      <queryTableField id="25" dataBound="0" tableColumnId="23"/>
      <queryTableField id="24" dataBound="0" tableColumnId="24"/>
      <queryTableField id="23" dataBound="0" tableColumnId="25"/>
      <queryTableField id="22" dataBound="0" tableColumnId="26"/>
      <queryTableField id="21" dataBound="0" tableColumnId="27"/>
      <queryTableField id="37" dataBound="0" tableColumnId="6"/>
      <queryTableField id="32" dataBound="0" tableColumnId="1"/>
      <queryTableField id="39" dataBound="0" tableColumnId="8"/>
      <queryTableField id="40" dataBound="0" tableColumnId="9"/>
      <queryTableField id="31" dataBound="0" tableColumnId="2"/>
      <queryTableField id="36" dataBound="0" tableColumnId="5"/>
      <queryTableField id="38" dataBound="0" tableColumnId="7"/>
      <queryTableField id="28" dataBound="0" tableColumnId="28"/>
      <queryTableField id="10" name="FinanceCode" tableColumnId="10"/>
      <queryTableField id="11" name="Title" tableColumnId="11"/>
      <queryTableField id="12" name="FinanceCodeTypeCode" tableColumnId="12"/>
      <queryTableField id="33" name="GroupingCode" tableColumnId="3"/>
      <queryTableField id="14" name="CustomGrouping" tableColumnId="14"/>
      <queryTableField id="15" name="LedgerCode" tableColumnId="15"/>
      <queryTableField id="16" name="AvailableToAllSchools" tableColumnId="16"/>
      <queryTableField id="17" name="SchoolCodes" tableColumnId="17"/>
      <queryTableField id="18" name="FinanceCodeEnabled" tableColumnId="18"/>
      <queryTableField id="35" name="BalanceToScenario" tableColumnId="4"/>
      <queryTableField id="41" dataBound="0" tableColumnId="13"/>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5" xr16:uid="{E7B2AC49-E0DC-4092-8850-7F274687A270}" autoFormatId="16" applyNumberFormats="0" applyBorderFormats="0" applyFontFormats="0" applyPatternFormats="0" applyAlignmentFormats="0" applyWidthHeightFormats="0">
  <queryTableRefresh nextId="25" unboundColumnsLeft="13">
    <queryTableFields count="23">
      <queryTableField id="20" dataBound="0" tableColumnId="10"/>
      <queryTableField id="19" dataBound="0" tableColumnId="11"/>
      <queryTableField id="18" dataBound="0" tableColumnId="12"/>
      <queryTableField id="17" dataBound="0" tableColumnId="13"/>
      <queryTableField id="16" dataBound="0" tableColumnId="14"/>
      <queryTableField id="15" dataBound="0" tableColumnId="15"/>
      <queryTableField id="14" dataBound="0" tableColumnId="16"/>
      <queryTableField id="24" dataBound="0" tableColumnId="21"/>
      <queryTableField id="23" dataBound="0" tableColumnId="23"/>
      <queryTableField id="13" dataBound="0" tableColumnId="17"/>
      <queryTableField id="12" dataBound="0" tableColumnId="18"/>
      <queryTableField id="11" dataBound="0" tableColumnId="19"/>
      <queryTableField id="10" dataBound="0" tableColumnId="20"/>
      <queryTableField id="1" name="financeCode" tableColumnId="1"/>
      <queryTableField id="2" name="title" tableColumnId="2"/>
      <queryTableField id="3" name="groupingCode" tableColumnId="3"/>
      <queryTableField id="4" name="customGrouping" tableColumnId="4"/>
      <queryTableField id="5" name="availableToAllSchools" tableColumnId="5"/>
      <queryTableField id="6" name="schoolCodes" tableColumnId="6"/>
      <queryTableField id="7" name="financeCodeTypeCode" tableColumnId="7"/>
      <queryTableField id="8" name="ledgerCode" tableColumnId="8"/>
      <queryTableField id="9" name="financeCodeEnabled" tableColumnId="9"/>
      <queryTableField id="22" name="BalanceToScenario" tableColumnId="2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4.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1F47053-6C01-4B92-A575-AF956E45C248}" name="Parameters" displayName="Parameters" ref="A3:B7" totalsRowShown="0" headerRowDxfId="720" dataDxfId="718" headerRowBorderDxfId="719" tableBorderDxfId="717" totalsRowBorderDxfId="716">
  <autoFilter ref="A3:B7" xr:uid="{FF707411-DA8B-47BB-B300-C95A49C58187}"/>
  <tableColumns count="2">
    <tableColumn id="1" xr3:uid="{960B41EB-C810-4B07-A40C-FF149CB5EAF9}" name="Parameter" dataDxfId="715"/>
    <tableColumn id="2" xr3:uid="{B2510555-4901-4AE3-9C63-5DE1F9D5E624}" name="Value" dataDxfId="714"/>
  </tableColumns>
  <tableStyleInfo name="IMP Colours"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AE62A323-7133-42EE-B614-D7D5C9FC0E16}" name="CALC_METHOD" displayName="CALC_METHOD" ref="A9:B10" totalsRowShown="0">
  <autoFilter ref="A9:B10" xr:uid="{AE62A323-7133-42EE-B614-D7D5C9FC0E16}"/>
  <tableColumns count="2">
    <tableColumn id="1" xr3:uid="{BD1F1E05-C5E9-4188-8565-24B82A09574B}" name="Element"/>
    <tableColumn id="2" xr3:uid="{AF77AC22-FCE3-430D-A756-66817115C6C1}" name="Type" dataDxfId="713"/>
  </tableColumns>
  <tableStyleInfo name="IMP Colours"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EE84E159-4407-4EAB-B036-8FD225310AE1}" name="S2_CHECKLIST" displayName="S2_CHECKLIST" ref="A2:C40" totalsRowShown="0" headerRowDxfId="712" dataDxfId="711">
  <autoFilter ref="A2:C40" xr:uid="{EE84E159-4407-4EAB-B036-8FD225310AE1}"/>
  <tableColumns count="3">
    <tableColumn id="1" xr3:uid="{1CC86E43-7848-4D50-874A-8D5FD0472086}" name="Task" dataDxfId="710"/>
    <tableColumn id="2" xr3:uid="{78ACA9AC-AF37-47CF-B1B2-62CDA7BF701F}" name="Notes" dataDxfId="709"/>
    <tableColumn id="3" xr3:uid="{FA969F37-D8B5-4B2F-A149-0AEEC849F759}" name="Error Check" dataDxfId="708"/>
  </tableColumns>
  <tableStyleInfo name="IMP Colours"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AD3274-A245-4262-9316-B52A7AD50E56}" name="Table1" displayName="Table1" ref="A3:H23" totalsRowShown="0" headerRowDxfId="707" dataDxfId="706" tableBorderDxfId="705">
  <autoFilter ref="A3:H23" xr:uid="{4FAD3274-A245-4262-9316-B52A7AD50E56}"/>
  <tableColumns count="8">
    <tableColumn id="8" xr3:uid="{55F1BA01-D5B8-47AD-91A1-508755C446B8}" name="Column1" dataDxfId="704"/>
    <tableColumn id="1" xr3:uid="{7D8AF7D6-91C8-4EBD-9A06-D32A15ADD84F}" name="Task" dataDxfId="703"/>
    <tableColumn id="2" xr3:uid="{C0D4EC25-4F74-4F17-8AF7-2F3F26A01D26}" name="Number of Rows to Import" dataDxfId="702"/>
    <tableColumn id="3" xr3:uid="{07CFCBDB-F0BB-4F84-95F0-3CF19D24CB99}" name="Number of Rows Imported" dataDxfId="701"/>
    <tableColumn id="4" xr3:uid="{960C8CA5-C7EF-4138-B3A0-CDBE74A130CB}" name="Import Checked" dataDxfId="700">
      <calculatedColumnFormula>IF(C4=D4,TRUE,FALSE)</calculatedColumnFormula>
    </tableColumn>
    <tableColumn id="5" xr3:uid="{443CC247-1000-4F8F-9A83-8C40ADC2702E}" name="LC Import Notes" dataDxfId="699"/>
    <tableColumn id="6" xr3:uid="{4F1C1E14-0023-40C1-8D11-268CE30A5B97}" name="Builder Import Notes" dataDxfId="698"/>
    <tableColumn id="7" xr3:uid="{6264EA44-BE13-4EC2-B800-EDFEDD6CB1BE}" name="Importer Notes/Issues" dataDxfId="697"/>
  </tableColumns>
  <tableStyleInfo name="IMP Colours"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412151A4-276A-4AB5-A1FA-1A7E8DD3661B}" name="Table_System_Grouping_Codes" displayName="Table_System_Grouping_Codes" ref="A1:C481" tableType="queryTable" totalsRowShown="0">
  <autoFilter ref="A1:C481" xr:uid="{412151A4-276A-4AB5-A1FA-1A7E8DD3661B}"/>
  <sortState xmlns:xlrd2="http://schemas.microsoft.com/office/spreadsheetml/2017/richdata2" ref="A2:C481">
    <sortCondition ref="A1:A481"/>
  </sortState>
  <tableColumns count="3">
    <tableColumn id="1" xr3:uid="{35E2E077-5462-401E-88A5-F2C8893EE22C}" uniqueName="1" name="groupingCodeCode" queryTableFieldId="1"/>
    <tableColumn id="2" xr3:uid="{86D6DBF6-2928-4B7B-8FE4-954F7E030524}" uniqueName="2" name="title" queryTableFieldId="2"/>
    <tableColumn id="3" xr3:uid="{A277FF64-DB00-4C25-89D3-44E54802D69B}" uniqueName="3" name="groupingCodeTypeCode" queryTableFieldId="3"/>
  </tableColumns>
  <tableStyleInfo name="IMP Colours"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628A74DB-5F1F-4E60-9573-98A7EE325AB1}" name="FUNDS" displayName="FUNDS" ref="A2:I4" tableType="queryTable" totalsRowShown="0">
  <autoFilter ref="A2:I4" xr:uid="{628A74DB-5F1F-4E60-9573-98A7EE325AB1}"/>
  <tableColumns count="9">
    <tableColumn id="4" xr3:uid="{647F978B-BE36-4061-A030-B103E2685958}" uniqueName="4" name="Code is Blank" queryTableFieldId="9" dataDxfId="696">
      <calculatedColumnFormula>ISBLANK(FUNDS[[#This Row],[FundCode]])</calculatedColumnFormula>
    </tableColumn>
    <tableColumn id="5" xr3:uid="{5D0E8387-01D7-49A7-84D8-6AF09536DEF1}" uniqueName="5" name="Title is Blank" queryTableFieldId="8" dataDxfId="695">
      <calculatedColumnFormula>ISBLANK(FUNDS[[#This Row],[Title]])</calculatedColumnFormula>
    </tableColumn>
    <tableColumn id="6" xr3:uid="{F983AB0A-FD27-4D65-B8E3-D42548D18A42}" uniqueName="6" name="Enabled is blank" queryTableFieldId="7" dataDxfId="694">
      <calculatedColumnFormula>ISBLANK(FUNDS[[#This Row],[FundEnabled]])</calculatedColumnFormula>
    </tableColumn>
    <tableColumn id="7" xr3:uid="{30642E4E-19DB-47DB-9C9B-01757BA2C06F}" uniqueName="7" name="Code length Check" queryTableFieldId="6" dataDxfId="693">
      <calculatedColumnFormula>IF(LEN(FUNDS[[#This Row],[FundCode]])&lt;100,FALSE,TRUE)</calculatedColumnFormula>
    </tableColumn>
    <tableColumn id="8" xr3:uid="{E47D063C-1C03-4C6C-98D0-B9439374892B}" uniqueName="8" name="Title length check" queryTableFieldId="5" dataDxfId="692">
      <calculatedColumnFormula>IF(LEN(FUNDS[[#This Row],[Title]])&lt;100,FALSE,TRUE)</calculatedColumnFormula>
    </tableColumn>
    <tableColumn id="9" xr3:uid="{AFC46404-DA30-4501-8434-064A520BC077}" uniqueName="9" name="Will import if zero" queryTableFieldId="4" dataDxfId="691">
      <calculatedColumnFormula>COUNTIF(FUNDS[[#This Row],[Code is Blank]:[Title length check]],"TRUE")</calculatedColumnFormula>
    </tableColumn>
    <tableColumn id="1" xr3:uid="{E156D2D5-1052-4B5F-846C-B445CC2184B6}" uniqueName="1" name="FundCode" queryTableFieldId="1"/>
    <tableColumn id="2" xr3:uid="{CB11BC76-922D-492F-BA89-3543291A47C7}" uniqueName="2" name="Title" queryTableFieldId="2"/>
    <tableColumn id="3" xr3:uid="{AF400F7D-A0D4-48C4-A222-8E7457F12ABF}" uniqueName="3" name="FundEnabled" queryTableFieldId="3"/>
  </tableColumns>
  <tableStyleInfo name="IMP Colours"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25837ED4-9BBD-448F-8389-6F2C0EB1A8A5}" name="ACTIVITIES" displayName="ACTIVITIES" ref="A2:I3" tableType="queryTable" totalsRowShown="0">
  <autoFilter ref="A2:I3" xr:uid="{25837ED4-9BBD-448F-8389-6F2C0EB1A8A5}"/>
  <tableColumns count="9">
    <tableColumn id="4" xr3:uid="{7CDD8B48-B434-474E-879B-516E284A8B2E}" uniqueName="4" name="Code is Blank" queryTableFieldId="9" dataDxfId="690">
      <calculatedColumnFormula>ISBLANK(ACTIVITIES[[#This Row],[ActivityCode]])</calculatedColumnFormula>
    </tableColumn>
    <tableColumn id="5" xr3:uid="{BD61AED6-FC41-4685-A7C3-DB3ABC03C856}" uniqueName="5" name="Title is Blank" queryTableFieldId="8" dataDxfId="689">
      <calculatedColumnFormula>ISBLANK(ACTIVITIES[[#This Row],[Title]])</calculatedColumnFormula>
    </tableColumn>
    <tableColumn id="6" xr3:uid="{B60F7B7C-2CA0-4C3B-B2DF-B3273DC7F6AF}" uniqueName="6" name="Code length Check" queryTableFieldId="7" dataDxfId="688">
      <calculatedColumnFormula>IF(LEN(ACTIVITIES[[#This Row],[ActivityCode]])&lt;100,FALSE,TRUE)</calculatedColumnFormula>
    </tableColumn>
    <tableColumn id="7" xr3:uid="{55E4BDBA-6619-4F7B-AF41-46689D83B4DD}" uniqueName="7" name="Title length check" queryTableFieldId="6" dataDxfId="687">
      <calculatedColumnFormula>IF(LEN(ACTIVITIES[[#This Row],[Title]])&lt;100,FALSE,TRUE)</calculatedColumnFormula>
    </tableColumn>
    <tableColumn id="8" xr3:uid="{0B6CE84D-9F69-4BFC-B3CA-A6F9261AD649}" uniqueName="8" name="Enabled is blank" queryTableFieldId="5" dataDxfId="686">
      <calculatedColumnFormula>ISBLANK(ACTIVITIES[[#This Row],[ActivityEnabled]])</calculatedColumnFormula>
    </tableColumn>
    <tableColumn id="9" xr3:uid="{062053E7-3660-4E04-95A2-21EA06B90805}" uniqueName="9" name="Will import if zero" queryTableFieldId="4" dataDxfId="685">
      <calculatedColumnFormula>COUNTIF(ACTIVITIES[[#This Row],[Code is Blank]:[Enabled is blank]],"TRUE")</calculatedColumnFormula>
    </tableColumn>
    <tableColumn id="1" xr3:uid="{7C73D07C-1D13-4F75-A5CF-135A9854B0B7}" uniqueName="1" name="ActivityCode" queryTableFieldId="1"/>
    <tableColumn id="2" xr3:uid="{1AA29A2C-BB7A-4DC8-8A20-39AFF66C2919}" uniqueName="2" name="Title" queryTableFieldId="2"/>
    <tableColumn id="3" xr3:uid="{9883E666-4643-479B-8A31-2D66EB67792B}" uniqueName="3" name="ActivityEnabled" queryTableFieldId="3"/>
  </tableColumns>
  <tableStyleInfo name="IMP Colours"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EF902390-CCF2-4FC5-859A-F225440DAF7D}" name="LEDGER" displayName="LEDGER" ref="A2:I4" tableType="queryTable" totalsRowShown="0">
  <autoFilter ref="A2:I4" xr:uid="{EF902390-CCF2-4FC5-859A-F225440DAF7D}"/>
  <tableColumns count="9">
    <tableColumn id="4" xr3:uid="{C10F86A7-9CE2-4F8B-863D-A534EFDCEE84}" uniqueName="4" name="Code is Blank" queryTableFieldId="9" dataDxfId="684">
      <calculatedColumnFormula>ISBLANK(LEDGER[[#This Row],[LedgerCode]])</calculatedColumnFormula>
    </tableColumn>
    <tableColumn id="5" xr3:uid="{D94E4388-71D3-4CC5-9BC9-F032A05A388A}" uniqueName="5" name="Title is Blank" queryTableFieldId="8" dataDxfId="683">
      <calculatedColumnFormula>ISBLANK(LEDGER[[#This Row],[Title]])</calculatedColumnFormula>
    </tableColumn>
    <tableColumn id="6" xr3:uid="{00F26016-1ED8-4D0C-8C47-E3BB03CC2277}" uniqueName="6" name="Enabled is blank" queryTableFieldId="7" dataDxfId="682">
      <calculatedColumnFormula>ISBLANK(LEDGER[[#This Row],[LedgerEnabled]])</calculatedColumnFormula>
    </tableColumn>
    <tableColumn id="7" xr3:uid="{35ECD76D-4E61-4C67-BC8D-CC178483A3B1}" uniqueName="7" name="Code length Check" queryTableFieldId="6" dataDxfId="681">
      <calculatedColumnFormula>IF(LEN(LEDGER[[#This Row],[LedgerCode]])&lt;100,FALSE,TRUE)</calculatedColumnFormula>
    </tableColumn>
    <tableColumn id="8" xr3:uid="{70CCF9B5-E5C5-474A-BAB0-075E564EACD2}" uniqueName="8" name="Title length check" queryTableFieldId="5" dataDxfId="680">
      <calculatedColumnFormula>IF(LEN(LEDGER[[#This Row],[Title]])&lt;100,FALSE,TRUE)</calculatedColumnFormula>
    </tableColumn>
    <tableColumn id="9" xr3:uid="{B6C18D03-1643-4C5F-BAF7-D3D3E9D22C87}" uniqueName="9" name="Will import if zero" queryTableFieldId="4" dataDxfId="679">
      <calculatedColumnFormula>COUNTIF(LEDGER[[#This Row],[Code is Blank]:[Title length check]],"TRUE")</calculatedColumnFormula>
    </tableColumn>
    <tableColumn id="1" xr3:uid="{518B2D95-8D38-4545-A30F-6AEF038A81BA}" uniqueName="1" name="LedgerCode" queryTableFieldId="1"/>
    <tableColumn id="2" xr3:uid="{DEEC53FF-C771-49CB-8D74-05A656797458}" uniqueName="2" name="Title" queryTableFieldId="2"/>
    <tableColumn id="3" xr3:uid="{0760B237-AAD2-448D-8A26-518869C21DAF}" uniqueName="3" name="LedgerEnabled" queryTableFieldId="3"/>
  </tableColumns>
  <tableStyleInfo name="IMP Colours"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A8457A34-A884-4953-8AA7-40579E5582A2}" name="CUSTGROUP" displayName="CUSTGROUP" ref="A2:I3" tableType="queryTable" totalsRowShown="0">
  <autoFilter ref="A2:I3" xr:uid="{A8457A34-A884-4953-8AA7-40579E5582A2}"/>
  <tableColumns count="9">
    <tableColumn id="4" xr3:uid="{12C317C9-6E03-4CF5-AFA7-0D02001D7944}" uniqueName="4" name="Code is Blank" queryTableFieldId="9" dataDxfId="678">
      <calculatedColumnFormula>ISBLANK(CUSTGROUP[[#This Row],[CustomGroupingCode]])</calculatedColumnFormula>
    </tableColumn>
    <tableColumn id="5" xr3:uid="{AEDB652A-DB8F-4A23-A4DF-0C65420D8BF6}" uniqueName="5" name="Title is Blank" queryTableFieldId="8" dataDxfId="677">
      <calculatedColumnFormula>ISBLANK(CUSTGROUP[[#This Row],[Title]])</calculatedColumnFormula>
    </tableColumn>
    <tableColumn id="6" xr3:uid="{2C1AC003-83E5-4398-98A0-26CF3F165F35}" uniqueName="6" name="Code length Check" queryTableFieldId="7" dataDxfId="676">
      <calculatedColumnFormula>IF(LEN(CUSTGROUP[[#This Row],[CustomGroupingCode]])&lt;100,FALSE,TRUE)</calculatedColumnFormula>
    </tableColumn>
    <tableColumn id="7" xr3:uid="{18AD517B-E758-4337-9D22-ACBA9AC17522}" uniqueName="7" name="Title length check" queryTableFieldId="6" dataDxfId="675">
      <calculatedColumnFormula>IF(LEN(CUSTGROUP[[#This Row],[Title]])&lt;100,FALSE,TRUE)</calculatedColumnFormula>
    </tableColumn>
    <tableColumn id="8" xr3:uid="{BE3D45A9-C0CE-48DB-B1F5-5AA11C310951}" uniqueName="8" name="Enabled is blank" queryTableFieldId="5" dataDxfId="674">
      <calculatedColumnFormula>ISBLANK(CUSTGROUP[[#This Row],[CustomGroupingEnabled]])</calculatedColumnFormula>
    </tableColumn>
    <tableColumn id="9" xr3:uid="{D5B4E649-D7A4-45EB-A8C7-6CD91591FFEF}" uniqueName="9" name="Will import if zero" queryTableFieldId="4" dataDxfId="673">
      <calculatedColumnFormula>COUNTIF(CUSTGROUP[[#This Row],[Code is Blank]:[Enabled is blank]],"TRUE")</calculatedColumnFormula>
    </tableColumn>
    <tableColumn id="1" xr3:uid="{14275754-FAAE-4DE6-92A6-BF507984C28A}" uniqueName="1" name="CustomGroupingCode" queryTableFieldId="1"/>
    <tableColumn id="2" xr3:uid="{6390F261-4E8E-4541-9749-ED0A888B9D84}" uniqueName="2" name="Title" queryTableFieldId="2"/>
    <tableColumn id="3" xr3:uid="{74566CF9-868B-4E5D-BD49-AC9B629E005C}" uniqueName="3" name="CustomGroupingEnabled" queryTableFieldId="3"/>
  </tableColumns>
  <tableStyleInfo name="IMP Colours"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5002DEF9-E9B4-4163-B362-24E4DB4CD841}" name="SCHHUB" displayName="SCHHUB" ref="A2:I4" tableType="queryTable" totalsRowShown="0">
  <autoFilter ref="A2:I4" xr:uid="{5002DEF9-E9B4-4163-B362-24E4DB4CD841}"/>
  <tableColumns count="9">
    <tableColumn id="4" xr3:uid="{02F65753-DABD-4D58-87E6-B5D18BEA3476}" uniqueName="4" name="Code is Blank" queryTableFieldId="9" dataDxfId="672">
      <calculatedColumnFormula>ISBLANK(SCHHUB[[#This Row],[SchoolHubCode]])</calculatedColumnFormula>
    </tableColumn>
    <tableColumn id="5" xr3:uid="{3B9E484B-1D29-4EA7-8190-FD80B439522B}" uniqueName="5" name="Title is Blank" queryTableFieldId="8" dataDxfId="671">
      <calculatedColumnFormula>ISBLANK(SCHHUB[[#This Row],[Title]])</calculatedColumnFormula>
    </tableColumn>
    <tableColumn id="6" xr3:uid="{8C27303F-6ADF-47C2-B743-E0FDE499BC43}" uniqueName="6" name="Enabled is blank" queryTableFieldId="7" dataDxfId="670">
      <calculatedColumnFormula>ISBLANK(SCHHUB[[#This Row],[SchoolHubEnabled]])</calculatedColumnFormula>
    </tableColumn>
    <tableColumn id="7" xr3:uid="{B8158E2E-B416-4FB8-9B95-A0378916903A}" uniqueName="7" name="Code length Check" queryTableFieldId="6" dataDxfId="669">
      <calculatedColumnFormula>IF(LEN(SCHHUB[[#This Row],[SchoolHubCode]])&lt;100,FALSE,TRUE)</calculatedColumnFormula>
    </tableColumn>
    <tableColumn id="8" xr3:uid="{77414025-9772-468D-AB17-B79D47951E19}" uniqueName="8" name="Title length check" queryTableFieldId="5" dataDxfId="668">
      <calculatedColumnFormula>IF(LEN(SCHHUB[[#This Row],[Title]])&lt;100,FALSE,TRUE)</calculatedColumnFormula>
    </tableColumn>
    <tableColumn id="9" xr3:uid="{66B4917E-B133-4D9E-BE12-9C9E6C24E257}" uniqueName="9" name="Will import if zero" queryTableFieldId="4" dataDxfId="667">
      <calculatedColumnFormula>COUNTIF(SCHHUB[[#This Row],[Code is Blank]:[Title length check]],"TRUE")</calculatedColumnFormula>
    </tableColumn>
    <tableColumn id="1" xr3:uid="{8B1F8CD9-4A53-4721-965F-7EE364DD1394}" uniqueName="1" name="SchoolHubCode" queryTableFieldId="1"/>
    <tableColumn id="2" xr3:uid="{5D7BC313-9C75-4355-932A-22C2906DBAB4}" uniqueName="2" name="Title" queryTableFieldId="2"/>
    <tableColumn id="3" xr3:uid="{AD5FC7CC-0DD6-4005-8CD9-A5A78B130130}" uniqueName="3" name="SchoolHubEnabled" queryTableFieldId="3"/>
  </tableColumns>
  <tableStyleInfo name="IMP Colours"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1556302A-49CB-47FF-A632-0F55B919CDFB}" name="SCHTYPE" displayName="SCHTYPE" ref="A2:I10" tableType="queryTable" totalsRowShown="0">
  <autoFilter ref="A2:I10" xr:uid="{1556302A-49CB-47FF-A632-0F55B919CDFB}"/>
  <tableColumns count="9">
    <tableColumn id="4" xr3:uid="{6A488160-C17A-4D43-B8EA-C0C408825DE3}" uniqueName="4" name="Code is Blank" queryTableFieldId="9" dataDxfId="666">
      <calculatedColumnFormula>ISBLANK(SCHTYPE[[#This Row],[SchoolTypeCode]])</calculatedColumnFormula>
    </tableColumn>
    <tableColumn id="5" xr3:uid="{7B92682D-AF3F-4CD0-AE97-8C283BC91F8F}" uniqueName="5" name="Title is Blank" queryTableFieldId="8" dataDxfId="665">
      <calculatedColumnFormula>ISBLANK(SCHTYPE[[#This Row],[Title]])</calculatedColumnFormula>
    </tableColumn>
    <tableColumn id="6" xr3:uid="{A84C6580-5776-4A44-8438-A67A2DA53780}" uniqueName="6" name="Enabled is blank" queryTableFieldId="7" dataDxfId="664">
      <calculatedColumnFormula>ISBLANK(SCHTYPE[[#This Row],[SchoolTypeEnabled]])</calculatedColumnFormula>
    </tableColumn>
    <tableColumn id="7" xr3:uid="{1056107B-D0B7-4812-AFB7-EB79F2D1498B}" uniqueName="7" name="Code length Check" queryTableFieldId="6" dataDxfId="663">
      <calculatedColumnFormula>IF(LEN(SCHTYPE[[#This Row],[SchoolTypeCode]])&lt;100,FALSE,TRUE)</calculatedColumnFormula>
    </tableColumn>
    <tableColumn id="8" xr3:uid="{425ABFA5-3A59-48D5-BB79-548460D3FD56}" uniqueName="8" name="Title length check" queryTableFieldId="5" dataDxfId="662">
      <calculatedColumnFormula>IF(LEN(SCHTYPE[[#This Row],[Title]])&lt;100,FALSE,TRUE)</calculatedColumnFormula>
    </tableColumn>
    <tableColumn id="9" xr3:uid="{D34AE081-97ED-412C-A22C-7AFB28710FAB}" uniqueName="9" name="Will import if zero" queryTableFieldId="4" dataDxfId="661">
      <calculatedColumnFormula>COUNTIF(SCHTYPE[[#This Row],[Code is Blank]:[Title length check]],"TRUE")</calculatedColumnFormula>
    </tableColumn>
    <tableColumn id="1" xr3:uid="{7842E380-E131-4B7F-8170-271BCCC24EB8}" uniqueName="1" name="SchoolTypeCode" queryTableFieldId="1"/>
    <tableColumn id="2" xr3:uid="{AA7F1AA8-7130-498D-BE9F-0CF9D0D41923}" uniqueName="2" name="Title" queryTableFieldId="2"/>
    <tableColumn id="3" xr3:uid="{6A57B9A4-F04F-4A9C-9AEE-5C8A98B20DE2}" uniqueName="3" name="SchoolTypeEnabled" queryTableFieldId="3"/>
  </tableColumns>
  <tableStyleInfo name="IMP Colours"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B24FE1-E78D-4303-88C3-1A3E39B41EF3}" name="LocalAuth" displayName="LocalAuth" ref="A2:J5" tableType="queryTable" totalsRowShown="0">
  <autoFilter ref="A2:J5" xr:uid="{FEB24FE1-E78D-4303-88C3-1A3E39B41EF3}"/>
  <tableColumns count="10">
    <tableColumn id="4" xr3:uid="{82F17E64-346D-4B25-A492-D34593325C98}" uniqueName="4" name="Code is Blank" queryTableFieldId="10" dataDxfId="660">
      <calculatedColumnFormula>ISBLANK(LocalAuth[[#This Row],[SchoolLocalAuthorityCode]])</calculatedColumnFormula>
    </tableColumn>
    <tableColumn id="5" xr3:uid="{A3F50F4A-15BB-42D8-BEEC-2C843CECB3F2}" uniqueName="5" name="Title is Blank" queryTableFieldId="9" dataDxfId="659">
      <calculatedColumnFormula>ISBLANK(LocalAuth[[#This Row],[Title]])</calculatedColumnFormula>
    </tableColumn>
    <tableColumn id="6" xr3:uid="{B3DAF2C0-E00F-47AA-90AB-DFB2C794BFB6}" uniqueName="6" name="Enabled is blank" queryTableFieldId="8" dataDxfId="658">
      <calculatedColumnFormula>ISBLANK(LocalAuth[[#This Row],[SchoolLocalAuthorityEnabled]])</calculatedColumnFormula>
    </tableColumn>
    <tableColumn id="7" xr3:uid="{1E4F9AF6-080B-4908-B23B-D4301F80A75C}" uniqueName="7" name="Code length Check" queryTableFieldId="7" dataDxfId="657">
      <calculatedColumnFormula>IF(LEN(LocalAuth[[#This Row],[SchoolLocalAuthorityCode]])&lt;100,FALSE,TRUE)</calculatedColumnFormula>
    </tableColumn>
    <tableColumn id="8" xr3:uid="{2B625200-3B33-4A77-988A-1381BDDA3FAD}" uniqueName="8" name="Title length check" queryTableFieldId="6" dataDxfId="656">
      <calculatedColumnFormula>IF(LEN(LocalAuth[[#This Row],[Title]])&lt;100,FALSE,TRUE)</calculatedColumnFormula>
    </tableColumn>
    <tableColumn id="9" xr3:uid="{5A6D170E-8968-4535-98B9-0914E3D93023}" uniqueName="9" name="Will import if zero" queryTableFieldId="5" dataDxfId="655">
      <calculatedColumnFormula>COUNTIF(LocalAuth[[#This Row],[Code is Blank]:[Title length check]],"TRUE")</calculatedColumnFormula>
    </tableColumn>
    <tableColumn id="10" xr3:uid="{B33191EE-ECB0-4CA7-9686-AD932DB4C555}" uniqueName="10" name="LA" queryTableFieldId="4" dataDxfId="654"/>
    <tableColumn id="1" xr3:uid="{0102931A-21AC-453A-B108-644F5FAF06A2}" uniqueName="1" name="SchoolLocalAuthorityCode" queryTableFieldId="1"/>
    <tableColumn id="2" xr3:uid="{7C217395-551F-4D89-A077-A64FA4AA6BBD}" uniqueName="2" name="Title" queryTableFieldId="2"/>
    <tableColumn id="3" xr3:uid="{0B3FD4FA-9F2D-48D1-8FC9-2BDD25F31232}" uniqueName="3" name="SchoolLocalAuthorityEnabled" queryTableFieldId="3"/>
  </tableColumns>
  <tableStyleInfo name="IMP Colours"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609898D-DC7A-4066-83A0-725F93401BAC}" name="SCHOOLS" displayName="SCHOOLS" ref="A2:R7" tableType="queryTable" totalsRowShown="0" dataDxfId="653">
  <autoFilter ref="A2:R7" xr:uid="{6609898D-DC7A-4066-83A0-725F93401BAC}"/>
  <tableColumns count="18">
    <tableColumn id="11" xr3:uid="{F695CDF6-62BF-4FE0-93A1-A002D514B19E}" uniqueName="11" name="HubIssues" queryTableFieldId="19" dataDxfId="652">
      <calculatedColumnFormula>IF(COUNTIF(SCHHUB[SchoolHubCode],SCHOOLS[[#This Row],[SchoolHub]])&gt;0,0,1)</calculatedColumnFormula>
    </tableColumn>
    <tableColumn id="12" xr3:uid="{AD2A9AF6-70FE-4492-9A38-C05B4482AE54}" uniqueName="12" name="SchTypeIssue" queryTableFieldId="18" dataDxfId="651">
      <calculatedColumnFormula>IF(COUNTIF(SCHTYPE[SchoolTypeCode],SCHOOLS[[#This Row],[SchoolType]])&gt;0,0,1)</calculatedColumnFormula>
    </tableColumn>
    <tableColumn id="13" xr3:uid="{9074C987-5AE1-4B54-BF6F-9696801C3E9E}" uniqueName="13" name="Blank Data" queryTableFieldId="17" dataDxfId="650">
      <calculatedColumnFormula>COUNTBLANK(SCHOOLS[[#This Row],[SchoolLocalAuthority]:[SchoolEnabled]])</calculatedColumnFormula>
    </tableColumn>
    <tableColumn id="14" xr3:uid="{F7ADAFBB-ED93-42B9-A123-02966C7B9106}" uniqueName="14" name="Code length Check" queryTableFieldId="16" dataDxfId="649">
      <calculatedColumnFormula>IF(LEN(SCHOOLS[[#This Row],[SchoolCode]])&lt;100,0,1)</calculatedColumnFormula>
    </tableColumn>
    <tableColumn id="15" xr3:uid="{49397B86-3B75-4927-8D12-525A5EBB1043}" uniqueName="15" name="Title length check" queryTableFieldId="15" dataDxfId="648">
      <calculatedColumnFormula>IF(LEN(SCHOOLS[[#This Row],[Title]])&lt;100,0,1)</calculatedColumnFormula>
    </tableColumn>
    <tableColumn id="16" xr3:uid="{CE5ED98C-098D-4A2D-9AD3-6D57955F735E}" uniqueName="16" name="Will Import if 0" queryTableFieldId="14" dataDxfId="647">
      <calculatedColumnFormula>SUM(SCHOOLS[[#This Row],[HubIssues]:[Title length check]])</calculatedColumnFormula>
    </tableColumn>
    <tableColumn id="17" xr3:uid="{110BC74D-32D7-4A2D-9DA4-C4868B929393}" uniqueName="17" name="London Weighting Type" queryTableFieldId="13" dataDxfId="646"/>
    <tableColumn id="18" xr3:uid="{504C0EBA-7F8E-4498-8A24-A5AA0EC9E674}" uniqueName="18" name="LA" queryTableFieldId="12" dataDxfId="645">
      <calculatedColumnFormula>_xlfn.XLOOKUP(SCHOOLS[[#This Row],[SchoolLocalAuthority]],LocalAuth[SchoolLocalAuthorityCode],LocalAuth[LA])</calculatedColumnFormula>
    </tableColumn>
    <tableColumn id="19" xr3:uid="{825C62B6-E807-4B77-B19A-1099CA73E282}" uniqueName="19" name="School Type" queryTableFieldId="11" dataDxfId="644"/>
    <tableColumn id="1" xr3:uid="{4805681B-88D2-4EB4-8507-4A442FFA5A79}" uniqueName="1" name="SchoolLocalAuthority" queryTableFieldId="1" dataDxfId="643"/>
    <tableColumn id="2" xr3:uid="{2C523347-A591-4343-8DAA-DFB274670165}" uniqueName="2" name="SchoolCode" queryTableFieldId="2" dataDxfId="642"/>
    <tableColumn id="3" xr3:uid="{5A61107F-5FF5-463C-AD19-FA3B69413537}" uniqueName="3" name="SchoolHub" queryTableFieldId="3" dataDxfId="641"/>
    <tableColumn id="4" xr3:uid="{1631D98C-D9A0-4547-9F25-40844AFBE7A6}" uniqueName="4" name="SchoolType" queryTableFieldId="4" dataDxfId="640"/>
    <tableColumn id="5" xr3:uid="{245CA4FC-58A9-4E44-8B8B-C17919CAF862}" uniqueName="5" name="Title" queryTableFieldId="5" dataDxfId="639"/>
    <tableColumn id="6" xr3:uid="{62B5E04D-6234-49F7-893D-C00D299E20D5}" uniqueName="6" name="LondonWeighting" queryTableFieldId="6" dataDxfId="638"/>
    <tableColumn id="7" xr3:uid="{CB826444-6822-441A-879C-2A5542B17A3F}" uniqueName="7" name="UniqueReferenceNumber" queryTableFieldId="7" dataDxfId="637"/>
    <tableColumn id="8" xr3:uid="{63F203B5-FDFD-407F-A012-BD14389F8E85}" uniqueName="8" name="TeachingHours" queryTableFieldId="8" dataDxfId="636"/>
    <tableColumn id="9" xr3:uid="{A22A2E92-55CE-43A1-B508-D67692FCDE13}" uniqueName="9" name="SchoolEnabled" queryTableFieldId="9" dataDxfId="635"/>
  </tableColumns>
  <tableStyleInfo name="IMP Colours"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D09D5FF4-DBBC-467A-8456-D9FBA836DE96}" name="DEPTS" displayName="DEPTS" ref="A2:O3" tableType="queryTable" totalsRowShown="0">
  <autoFilter ref="A2:O3" xr:uid="{D09D5FF4-DBBC-467A-8456-D9FBA836DE96}"/>
  <tableColumns count="15">
    <tableColumn id="9" xr3:uid="{DFE458CE-568A-45EC-B15D-6C7068B42AB6}" uniqueName="9" name="FundIssue" queryTableFieldId="14" dataDxfId="634">
      <calculatedColumnFormula>IF(COUNTIF(FUNDS[FundCode],DEPTS[[#This Row],[FundCode]])&gt;0,0,1)</calculatedColumnFormula>
    </tableColumn>
    <tableColumn id="10" xr3:uid="{B45DD6AB-1F37-4C6C-AB49-DB646B64808D}" uniqueName="10" name="ActivityIssue" queryTableFieldId="13" dataDxfId="633">
      <calculatedColumnFormula>IF(COUNTIF(ACTIVITIES[ActivityCode],DEPTS[[#This Row],[ActivityCode]])&gt;0,0,1)</calculatedColumnFormula>
    </tableColumn>
    <tableColumn id="11" xr3:uid="{6FC28A5F-ACDB-4951-8190-F25B98F6C77A}" uniqueName="11" name="LedgerIssue" queryTableFieldId="12" dataDxfId="632">
      <calculatedColumnFormula>IF(COUNTIF(LEDGER[LedgerCode],DEPTS[[#This Row],[LedgerCode]])&gt;0,0,1)</calculatedColumnFormula>
    </tableColumn>
    <tableColumn id="12" xr3:uid="{DA72281A-94D6-4F05-A0E6-AA8DAD73E856}" uniqueName="12" name="Code length Check" queryTableFieldId="11" dataDxfId="631">
      <calculatedColumnFormula>IF(LEN(DEPTS[[#This Row],[DepartmentCode]])&lt;100,0,1)</calculatedColumnFormula>
    </tableColumn>
    <tableColumn id="13" xr3:uid="{0F57334E-8239-4F3C-99AC-B567FF1D4799}" uniqueName="13" name="Title length check" queryTableFieldId="10" dataDxfId="630">
      <calculatedColumnFormula>IF(LEN(DEPTS[[#This Row],[Title]])&lt;100,0,1)</calculatedColumnFormula>
    </tableColumn>
    <tableColumn id="14" xr3:uid="{C8EDC873-C5F9-45F6-8CDD-E640BE094B3E}" uniqueName="14" name="Will Import if 0" queryTableFieldId="9" dataDxfId="629">
      <calculatedColumnFormula>SUM(DEPTS[[#This Row],[FundIssue]:[Title length check]])</calculatedColumnFormula>
    </tableColumn>
    <tableColumn id="1" xr3:uid="{B6B165DA-4971-4E44-98A4-4B659B522007}" uniqueName="1" name="DepartmentCode" queryTableFieldId="1"/>
    <tableColumn id="2" xr3:uid="{2951C894-F671-4804-959D-D98D617FADF5}" uniqueName="2" name="Title" queryTableFieldId="2"/>
    <tableColumn id="3" xr3:uid="{BCAB7A2B-B2E4-4CFD-9707-B9A02631EDB9}" uniqueName="3" name="AvailableToAllSchools" queryTableFieldId="3"/>
    <tableColumn id="4" xr3:uid="{D9C002A7-80FC-401E-B62F-90DD5471CDCC}" uniqueName="4" name="SchoolCodes" queryTableFieldId="4"/>
    <tableColumn id="15" xr3:uid="{90019D96-4E56-4B9A-AF8F-02F55C74FDA3}" uniqueName="15" name="ActivityCode" queryTableFieldId="15"/>
    <tableColumn id="5" xr3:uid="{E0A5B7BC-C3C4-45DA-9BED-5871A2AE0C25}" uniqueName="5" name="FundCode" queryTableFieldId="5"/>
    <tableColumn id="6" xr3:uid="{5812642E-4C27-4F1C-B041-7852DD128697}" uniqueName="6" name="LedgerCode" queryTableFieldId="6"/>
    <tableColumn id="7" xr3:uid="{CBB8BF7D-EFBD-425C-807C-612ACC7CFAD6}" uniqueName="7" name="DefaultFinanceCode" queryTableFieldId="7"/>
    <tableColumn id="8" xr3:uid="{6AAC0BC2-32A6-4ED4-B029-CAD84872FBA9}" uniqueName="8" name="DepartmentEnabled" queryTableFieldId="8"/>
  </tableColumns>
  <tableStyleInfo name="IMP Colours"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C3A7D6F9-2D09-44F8-8DFE-8480BE3FDF45}" name="FC" displayName="FC" ref="A1:N92" totalsRowShown="0" headerRowDxfId="628">
  <autoFilter ref="A1:N92" xr:uid="{741E6E31-0837-4BFD-B681-C1236F866D53}"/>
  <sortState xmlns:xlrd2="http://schemas.microsoft.com/office/spreadsheetml/2017/richdata2" ref="A2:N92">
    <sortCondition ref="E1:E92"/>
  </sortState>
  <tableColumns count="14">
    <tableColumn id="1" xr3:uid="{8854AE89-FB10-4D4D-AEB5-9174AB35B2A6}" name="School Type" dataDxfId="627"/>
    <tableColumn id="12" xr3:uid="{845DEE48-A977-4CFA-8849-5D6B26EE9983}" name="LA" dataDxfId="626"/>
    <tableColumn id="2" xr3:uid="{9DFA0C68-DFA5-4C65-9713-E17EE1196993}" name="London Weighting" dataDxfId="625"/>
    <tableColumn id="14" xr3:uid="{CCE5D13B-6CA7-4402-9054-83BB7F48C4C0}" name="Key stage" dataDxfId="624"/>
    <tableColumn id="3" xr3:uid="{3574C077-F902-49F8-9FA2-11704F23A8E7}" name="FinanceCode" dataDxfId="623"/>
    <tableColumn id="4" xr3:uid="{B482A557-E150-42A8-ABB9-8C6D6099D9D9}" name="Title" dataDxfId="622"/>
    <tableColumn id="5" xr3:uid="{D4AA4FCB-F789-4A66-9C82-853F32854274}" name="FinanceCodeTypeCode" dataDxfId="621"/>
    <tableColumn id="6" xr3:uid="{318443AD-3189-4CF1-BD43-288EB7F766E9}" name="GroupingCode2" dataDxfId="620"/>
    <tableColumn id="7" xr3:uid="{BC4F4DA7-0C8F-467A-9791-FFEFBBBBC6E8}" name="CustomGrouping" dataDxfId="619"/>
    <tableColumn id="8" xr3:uid="{A1897454-CCC4-48CF-B9E9-F384A8FE16E3}" name="LedgerCode" dataDxfId="618"/>
    <tableColumn id="9" xr3:uid="{4A9DD5B6-A19E-4BDA-88B6-ACCB944AE22B}" name="AvailableToAllSchools" dataDxfId="617"/>
    <tableColumn id="10" xr3:uid="{3C8E0225-6194-4FDB-BA8D-25096879C2AA}" name="SchoolCodes" dataDxfId="616"/>
    <tableColumn id="11" xr3:uid="{8571C8C1-FD71-466E-B0E0-919EB01A2452}" name="FinanceCodeEnabled" dataDxfId="615"/>
    <tableColumn id="15" xr3:uid="{1EE9EC0D-44E0-40DD-8E1D-C125F8681999}" name="BalanceToScenario" dataDxfId="614"/>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5EA4D66C-4324-423A-9DFC-142E16EB7A64}" name="FC_import" displayName="FC_import" ref="A1:Z92" tableType="queryTable" totalsRowShown="0">
  <autoFilter ref="A1:Z92" xr:uid="{5EA4D66C-4324-423A-9DFC-142E16EB7A64}"/>
  <tableColumns count="26">
    <tableColumn id="21" xr3:uid="{C5707904-D1E1-4E49-AB2F-08B0C5CB8454}" uniqueName="21" name="LedgerIssue" queryTableFieldId="27" dataDxfId="613" totalsRowDxfId="612">
      <calculatedColumnFormula>IF(COUNTIF(LEDGER[LedgerCode],FC_import[[#This Row],[LedgerCode]])&gt;0,0,1)</calculatedColumnFormula>
    </tableColumn>
    <tableColumn id="22" xr3:uid="{896083E5-7E7B-459A-8470-4712D2B591AD}" uniqueName="22" name="GroupingCodeIssue" queryTableFieldId="26" dataDxfId="611" totalsRowDxfId="610">
      <calculatedColumnFormula>IF(COUNTIF(Table_System_Grouping_Codes[groupingCodeCode],FC_import[[#This Row],[GroupingCode]])&gt;0,0,1)</calculatedColumnFormula>
    </tableColumn>
    <tableColumn id="23" xr3:uid="{C1D22611-82E8-421C-857B-573AC2BC6DBA}" uniqueName="23" name="CustGrIssue" queryTableFieldId="25" dataDxfId="609" totalsRowDxfId="608">
      <calculatedColumnFormula>IF(COUNTIF(CUSTGROUP[CustomGroupingCode],FC_import[[#This Row],[CustomGrouping]])&gt;0,0,1)</calculatedColumnFormula>
    </tableColumn>
    <tableColumn id="24" xr3:uid="{9781541E-8551-4C97-9B05-A7E525481784}" uniqueName="24" name="SchCodeIssue" queryTableFieldId="24" dataDxfId="607" totalsRowDxfId="606">
      <calculatedColumnFormula array="1">IF(FC_import[[#This Row],[AvailableToAllSchools]]=TRUE,0,COUNTA(_xlfn.TEXTSPLIT(FC_import[[#This Row],[SchoolCodes]],",",,TRUE))-SUM(COUNTIF(SCHOOLS[SchoolCode],_xlfn.TEXTSPLIT(FC_import[[#This Row],[SchoolCodes]],",",,TRUE))))</calculatedColumnFormula>
    </tableColumn>
    <tableColumn id="25" xr3:uid="{849392A8-FB91-4A3B-808E-14B4F7AA7B17}" uniqueName="25" name="DupCode" queryTableFieldId="23" dataDxfId="605" totalsRowDxfId="604">
      <calculatedColumnFormula>IF(FC_import[[#This Row],[FinanceCodeTypeCode]]="BUDGET",0,COUNTIF(P:P,P2)-1)</calculatedColumnFormula>
    </tableColumn>
    <tableColumn id="26" xr3:uid="{571AC8CF-811C-48C7-9975-38D24DDDBA17}" uniqueName="26" name="DupDesc" queryTableFieldId="22" dataDxfId="603" totalsRowDxfId="602">
      <calculatedColumnFormula>IF(FC_import[[#This Row],[FinanceCodeTypeCode]]="BUDGET",0,COUNTIF(Q:Q,Q2)-1)</calculatedColumnFormula>
    </tableColumn>
    <tableColumn id="27" xr3:uid="{AD4EC197-9895-4E1A-8DC9-502C0D67BF3B}" uniqueName="27" name="FCTypeIss" queryTableFieldId="21" dataDxfId="601" totalsRowDxfId="600">
      <calculatedColumnFormula>COUNTIF(Lookup!$A$2:$A$7,R2)-1</calculatedColumnFormula>
    </tableColumn>
    <tableColumn id="6" xr3:uid="{036DA036-8F2B-4CA8-8429-FBEADA547AC6}" uniqueName="6" name="TRUE/FALSE Check" queryTableFieldId="37" dataDxfId="599" totalsRowDxfId="598">
      <calculatedColumnFormula>IF(OR(FC_import[[#This Row],[FinanceCodeEnabled]]=TRUE,FC_import[[#This Row],[FinanceCodeEnabled]]=FALSE),0,1)</calculatedColumnFormula>
    </tableColumn>
    <tableColumn id="1" xr3:uid="{28B7A64A-7397-4010-A2D7-D0FA18E4AB4B}" uniqueName="1" name="Code length Check" queryTableFieldId="32" dataDxfId="597" totalsRowDxfId="596">
      <calculatedColumnFormula>IF(LEN(FC_import[[#This Row],[FinanceCode]])&lt;100,0,1)</calculatedColumnFormula>
    </tableColumn>
    <tableColumn id="8" xr3:uid="{2158ADAF-424B-43BF-B0E6-5B5B505CF4D3}" uniqueName="8" name="Blank Title Check" queryTableFieldId="39" dataDxfId="595" totalsRowDxfId="594">
      <calculatedColumnFormula>IF(TRIM(FC_import[[#This Row],[Title]])="",1,0)</calculatedColumnFormula>
    </tableColumn>
    <tableColumn id="9" xr3:uid="{EEA00C83-2746-4C21-B533-98749E76671D}" uniqueName="9" name="Blank Code Check" queryTableFieldId="40" dataDxfId="593" totalsRowDxfId="592">
      <calculatedColumnFormula>IF(TRIM(FC_import[[#This Row],[FinanceCode]])="",1,0)</calculatedColumnFormula>
    </tableColumn>
    <tableColumn id="2" xr3:uid="{BE1FB2D1-2EFC-45B3-8B6B-3527E2424C71}" uniqueName="2" name="Title length check" queryTableFieldId="31" dataDxfId="591" totalsRowDxfId="590">
      <calculatedColumnFormula>IF(LEN(FC_import[[#This Row],[Title]])&lt;100,0,1)</calculatedColumnFormula>
    </tableColumn>
    <tableColumn id="5" xr3:uid="{A011DD98-6B82-404A-B647-BCE8674C5232}" uniqueName="5" name="Balance to Scenario Blank" queryTableFieldId="36" dataDxfId="589" totalsRowDxfId="588">
      <calculatedColumnFormula>IF(ISBLANK(FC_import[[#This Row],[BalanceToScenario]]),1,0)</calculatedColumnFormula>
    </tableColumn>
    <tableColumn id="7" xr3:uid="{80052425-5DFB-49E6-AF38-8728A9FDD5DF}" uniqueName="7" name="Space in code" queryTableFieldId="38" dataDxfId="587" totalsRowDxfId="586">
      <calculatedColumnFormula>IF(SUBSTITUTE(TEXT(FC_import[[#This Row],[FinanceCode]],10)," ","")=TEXT(FC_import[[#This Row],[FinanceCode]],10),0,1)</calculatedColumnFormula>
    </tableColumn>
    <tableColumn id="28" xr3:uid="{B59172EB-8A86-42ED-8898-B5731E0CA760}" uniqueName="28" name="Will Import if 0" queryTableFieldId="28" dataDxfId="585" totalsRowDxfId="584">
      <calculatedColumnFormula>SUM(A2:C2,E2:N2)</calculatedColumnFormula>
    </tableColumn>
    <tableColumn id="10" xr3:uid="{604576A9-ADEE-4A45-9551-1FCD43FF2093}" uniqueName="10" name="FinanceCode" queryTableFieldId="10" dataDxfId="583" totalsRowDxfId="582"/>
    <tableColumn id="11" xr3:uid="{60E576A9-13DD-4C6F-8375-364C77FB858C}" uniqueName="11" name="Title" queryTableFieldId="11" dataDxfId="581" totalsRowDxfId="580"/>
    <tableColumn id="12" xr3:uid="{53595452-B315-456E-A326-2D025B8E7E4D}" uniqueName="12" name="FinanceCodeTypeCode" queryTableFieldId="12"/>
    <tableColumn id="3" xr3:uid="{12D9A24D-34E5-469A-96E9-FCC519D2C80C}" uniqueName="3" name="GroupingCode" queryTableFieldId="33"/>
    <tableColumn id="14" xr3:uid="{2754AD65-F567-4F8E-B75A-0211DEBE173C}" uniqueName="14" name="CustomGrouping" queryTableFieldId="14"/>
    <tableColumn id="15" xr3:uid="{543F87E6-38A8-4361-AE11-AB0A492E20F6}" uniqueName="15" name="LedgerCode" queryTableFieldId="15" dataDxfId="579"/>
    <tableColumn id="16" xr3:uid="{695218EB-45DA-4AFF-8875-C647C48F2DBB}" uniqueName="16" name="AvailableToAllSchools" queryTableFieldId="16"/>
    <tableColumn id="17" xr3:uid="{B6E5FA43-530B-4171-84C8-A9B1F7C8AE14}" uniqueName="17" name="SchoolCodes" queryTableFieldId="17"/>
    <tableColumn id="18" xr3:uid="{F4DADB91-C0F7-4D55-860B-7EFD376636A0}" uniqueName="18" name="FinanceCodeEnabled" queryTableFieldId="18"/>
    <tableColumn id="4" xr3:uid="{8E4DF5B6-7717-4213-8C0D-6686678FB766}" uniqueName="4" name="BalanceToScenario" queryTableFieldId="35"/>
    <tableColumn id="13" xr3:uid="{5D0666F4-72EC-43A9-A717-E8C656E53D94}" uniqueName="13" name="IsBalanceSheet" queryTableFieldId="41" dataDxfId="578">
      <calculatedColumnFormula>FALSE</calculatedColumnFormula>
    </tableColumn>
  </tableColumns>
  <tableStyleInfo name="IMP Colours"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D6B2A659-78D0-4096-9837-1A71A9D178CC}" name="FinanceCodesBudget" displayName="FinanceCodesBudget" ref="A2:W3" tableType="queryTable" totalsRowShown="0">
  <autoFilter ref="A2:W3" xr:uid="{D6B2A659-78D0-4096-9837-1A71A9D178CC}"/>
  <tableColumns count="23">
    <tableColumn id="10" xr3:uid="{CDA9AD6C-036B-4F36-9DD7-F4F1F341B5AD}" uniqueName="10" name="LedgerIssue" queryTableFieldId="20" dataDxfId="577">
      <calculatedColumnFormula>IF(COUNTIF(LEDGER[LedgerCode],FinanceCodesBudget[[#This Row],[LedgerCode]])&gt;0,0,1)</calculatedColumnFormula>
    </tableColumn>
    <tableColumn id="11" xr3:uid="{D33D702C-BFC1-4F5F-9BAF-F642C437E26E}" uniqueName="11" name="GroupingCodeIssue" queryTableFieldId="19" dataDxfId="576">
      <calculatedColumnFormula>IF(COUNTIF(Table_System_Grouping_Codes[groupingCodeCode],FinanceCodesBudget[[#This Row],[GroupingCode]])&gt;0,0,1)</calculatedColumnFormula>
    </tableColumn>
    <tableColumn id="12" xr3:uid="{1557BCCB-7A1B-428D-9E3F-3A49BB60AE86}" uniqueName="12" name="CustGrIssue" queryTableFieldId="18" dataDxfId="575">
      <calculatedColumnFormula>IF(COUNTIF(CUSTGROUP[CustomGroupingCode],FinanceCodesBudget[[#This Row],[CustomGrouping]])&gt;0,0,1)</calculatedColumnFormula>
    </tableColumn>
    <tableColumn id="13" xr3:uid="{7AE22DFC-0727-4C7B-85C5-3AA72EAF619D}" uniqueName="13" name="SchCodeIssue" queryTableFieldId="17" dataDxfId="574">
      <calculatedColumnFormula array="1">IF(FinanceCodesBudget[[#This Row],[AvailableToAllSchools]]=TRUE,0,COUNTA(_xlfn.TEXTSPLIT(FinanceCodesBudget[[#This Row],[SchoolCodes]],",",,TRUE))-SUM(COUNTIF(SCHOOLS[SchoolCode],_xlfn.TEXTSPLIT(FinanceCodesBudget[[#This Row],[SchoolCodes]],",",,TRUE))))</calculatedColumnFormula>
    </tableColumn>
    <tableColumn id="14" xr3:uid="{39E65482-1CC4-49B2-9F1D-ECF729FE0B25}" uniqueName="14" name="DupCode" queryTableFieldId="16" dataDxfId="573">
      <calculatedColumnFormula>IF(FinanceCodesBudget[[#This Row],[FinanceCodeTypeCode]]="BUDGET",0,COUNTIF(FinanceCodesBudget[FinanceCode],FinanceCodesBudget[[#This Row],[FinanceCode]])-1)</calculatedColumnFormula>
    </tableColumn>
    <tableColumn id="15" xr3:uid="{9D2E531F-3CE1-4B35-B50F-598CD46D32C6}" uniqueName="15" name="DupDesc" queryTableFieldId="15" dataDxfId="572">
      <calculatedColumnFormula>IF(FinanceCodesBudget[[#This Row],[FinanceCodeTypeCode]]="BUDGET",0,COUNTIF(FinanceCodesBudget[Title],FinanceCodesBudget[[#This Row],[Title]])-1)</calculatedColumnFormula>
    </tableColumn>
    <tableColumn id="16" xr3:uid="{43EE3FCB-77E3-4A76-9BC6-982E972BB021}" uniqueName="16" name="FCTypeIss" queryTableFieldId="14" dataDxfId="571">
      <calculatedColumnFormula>COUNTIF(Lookup!$A$2:$A$7,FinanceCodesBudget[[#This Row],[FinanceCodeTypeCode]])-1</calculatedColumnFormula>
    </tableColumn>
    <tableColumn id="21" xr3:uid="{1B7FC7F4-E2ED-4520-BE30-47D83AFA7034}" uniqueName="21" name="Blank Title Check" queryTableFieldId="24" dataDxfId="570">
      <calculatedColumnFormula>IF(TRIM(FinanceCodesBudget[[#This Row],[Title]])="",1,0)</calculatedColumnFormula>
    </tableColumn>
    <tableColumn id="23" xr3:uid="{8E412BF8-4728-4E6E-9D0F-5C22ED115C31}" uniqueName="23" name="Blank Code Check" queryTableFieldId="23" dataDxfId="569">
      <calculatedColumnFormula>IF(TRIM(FinanceCodesBudget[[#This Row],[FinanceCode]])="",1,0)</calculatedColumnFormula>
    </tableColumn>
    <tableColumn id="17" xr3:uid="{506FB20D-33DA-4FD6-99A4-47D5DBAB02C6}" uniqueName="17" name="Code length Check" queryTableFieldId="13" dataDxfId="568">
      <calculatedColumnFormula>IF(LEN(FinanceCodesBudget[[#This Row],[FinanceCode]])&lt;100,0,1)</calculatedColumnFormula>
    </tableColumn>
    <tableColumn id="18" xr3:uid="{2CDC9D89-8BB4-44F7-80BA-A1A39CD5CAF2}" uniqueName="18" name="Title length check" queryTableFieldId="12" dataDxfId="567">
      <calculatedColumnFormula>IF(LEN(FinanceCodesBudget[[#This Row],[Title]])&lt;100,0,1)</calculatedColumnFormula>
    </tableColumn>
    <tableColumn id="19" xr3:uid="{3E73B000-6EF7-41ED-A062-22805F12D857}" uniqueName="19" name="Balance to Scenario Blank" queryTableFieldId="11" dataDxfId="566">
      <calculatedColumnFormula>IF(ISBLANK(FinanceCodesBudget[[#This Row],[BalanceToScenario]]),1,0)</calculatedColumnFormula>
    </tableColumn>
    <tableColumn id="20" xr3:uid="{C7DC1C77-208F-4CEE-8DDC-BE0A3817223D}" uniqueName="20" name="Will Import if 0" queryTableFieldId="10" dataDxfId="565">
      <calculatedColumnFormula>SUM(FinanceCodesBudget[[#This Row],[LedgerIssue]:[CustGrIssue]],FinanceCodesBudget[[#This Row],[DupCode]:[Balance to Scenario Blank]])</calculatedColumnFormula>
    </tableColumn>
    <tableColumn id="1" xr3:uid="{31C7ADA0-CCE6-4530-9E9B-ACC55AB8663F}" uniqueName="1" name="FinanceCode" queryTableFieldId="1"/>
    <tableColumn id="2" xr3:uid="{3A72B9F9-FD57-43D9-948F-E6BC4B74967B}" uniqueName="2" name="Title" queryTableFieldId="2" dataDxfId="564"/>
    <tableColumn id="3" xr3:uid="{A7A01D9E-3E73-42B9-86AE-8F5FFFB2FF37}" uniqueName="3" name="GroupingCode" queryTableFieldId="3" dataDxfId="563"/>
    <tableColumn id="4" xr3:uid="{81BF9725-73C0-471E-812D-902D9826937F}" uniqueName="4" name="CustomGrouping" queryTableFieldId="4" dataDxfId="562"/>
    <tableColumn id="5" xr3:uid="{767AC536-0DD9-44D5-9692-F489CAB35D3C}" uniqueName="5" name="AvailableToAllSchools" queryTableFieldId="5"/>
    <tableColumn id="6" xr3:uid="{D3541680-7121-42E5-9C51-616B6B9220FF}" uniqueName="6" name="SchoolCodes" queryTableFieldId="6" dataDxfId="561"/>
    <tableColumn id="7" xr3:uid="{C4F31748-474E-455C-BD48-6284C73115C8}" uniqueName="7" name="FinanceCodeTypeCode" queryTableFieldId="7" dataDxfId="560"/>
    <tableColumn id="8" xr3:uid="{FBE34298-1482-4903-A38F-C3046F16D3F8}" uniqueName="8" name="LedgerCode" queryTableFieldId="8" dataDxfId="559"/>
    <tableColumn id="9" xr3:uid="{28674020-9AEC-41F3-81E7-DC608C0B4931}" uniqueName="9" name="FinanceCodeEnabled" queryTableFieldId="9"/>
    <tableColumn id="22" xr3:uid="{864163E3-ECB7-49F8-88BD-55AFAEC7D16E}" uniqueName="22" name="BalanceToScenario" queryTableFieldId="22" dataDxfId="558"/>
  </tableColumns>
  <tableStyleInfo name="IMP Colours"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A2A6C62E-1726-4C24-9D4C-59D88AFBB353}" name="PAYSCALES" displayName="PAYSCALES" ref="A1:X23" totalsRowShown="0" headerRowDxfId="557" dataDxfId="556">
  <autoFilter ref="A1:X23" xr:uid="{A2A6C62E-1726-4C24-9D4C-59D88AFBB353}"/>
  <tableColumns count="24">
    <tableColumn id="22" xr3:uid="{E59435C0-9240-4662-B92F-1464F6438BBF}" name="Duplicate Scale Code" dataDxfId="555">
      <calculatedColumnFormula>COUNTIF(PAYSCALES[PayScaleCode],PAYSCALES[[#This Row],[PayScaleCode]])-1</calculatedColumnFormula>
    </tableColumn>
    <tableColumn id="24" xr3:uid="{5E9446DF-8932-45BB-A412-FC38D4BE77FC}" name="Schools Check" dataDxfId="554">
      <calculatedColumnFormula>IF(PAYSCALES[[#This Row],[AvailableToAllSchools]]=FALSE,IF(ISBLANK(PAYSCALES[[#This Row],[SchoolCodes]]),1,0),IF(PAYSCALES[[#This Row],[AvailableToAllSchools]]=TRUE,IF(ISBLANK(PAYSCALES[[#This Row],[SchoolCodes]]),0,1)))</calculatedColumnFormula>
    </tableColumn>
    <tableColumn id="18" xr3:uid="{352FDCFD-3363-44AC-AD41-A88314A749A1}" name="School Code Exists" dataDxfId="553">
      <calculatedColumnFormula array="1">IF(PAYSCALES[[#This Row],[AvailableToAllSchools]]=TRUE,0,COUNTA(_xlfn.TEXTSPLIT(PAYSCALES[[#This Row],[SchoolCodes]],",",,TRUE))-SUM(COUNTIF(SCHOOLS[SchoolCode],_xlfn.TEXTSPLIT(PAYSCALES[[#This Row],[SchoolCodes]],",",,TRUE))))</calculatedColumnFormula>
    </tableColumn>
    <tableColumn id="29" xr3:uid="{6108FB49-AB11-4FD9-B385-84A56568161C}" name="TRUE /FALSE Typo" dataDxfId="552">
      <calculatedColumnFormula>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calculatedColumnFormula>
    </tableColumn>
    <tableColumn id="28" xr3:uid="{1EFA2ADC-697F-4AB9-B9C4-71384BFF83B4}" name="Code Length" dataDxfId="551">
      <calculatedColumnFormula>IF(LEN(PAYSCALES[[#This Row],[PayScaleCode]])&lt;100,0,1)</calculatedColumnFormula>
    </tableColumn>
    <tableColumn id="27" xr3:uid="{59FBB51D-8893-4357-9C5B-172C7112B67D}" name="Title Length" dataDxfId="550">
      <calculatedColumnFormula>IF(LEN(PAYSCALES[[#This Row],[PayScaleTitle]])&lt;100,0,1)</calculatedColumnFormula>
    </tableColumn>
    <tableColumn id="26" xr3:uid="{FB2F49C1-2EE8-47AD-9AEA-7A02946662DF}" name="Blank in column" dataDxfId="549">
      <calculatedColumnFormula>COUNTBLANK(PAYSCALES[[#This Row],[PayScaleCode]:[AvailableToAllSchools]])+COUNTBLANK(PAYSCALES[[#This Row],[PayScaleEnabled]:[ExcludePension]])</calculatedColumnFormula>
    </tableColumn>
    <tableColumn id="25" xr3:uid="{59265A17-6779-4060-84C4-87AEFD6A8F0A}" name="Space in Code" dataDxfId="548">
      <calculatedColumnFormula>IF(SUBSTITUTE(TEXT(PAYSCALES[[#This Row],[PayScaleCode]],10)," ","")=TEXT(PAYSCALES[[#This Row],[PayScaleCode]],10),0,1)</calculatedColumnFormula>
    </tableColumn>
    <tableColumn id="21" xr3:uid="{ADDEC1D7-E9BD-4F4A-A7B4-7F52369EFE28}" name="Will Import if 0" dataDxfId="547">
      <calculatedColumnFormula>SUM(PAYSCALES[[#This Row],[Duplicate Scale Code]:[Space in Code]])</calculatedColumnFormula>
    </tableColumn>
    <tableColumn id="3" xr3:uid="{C2D22089-4A75-4313-AD31-A91A9A6E7652}" name="London Weighting" dataDxfId="546"/>
    <tableColumn id="7" xr3:uid="{0E23EEE2-601A-4EB3-BF10-D78CDD52EAF7}" name="Increment Date" dataDxfId="545">
      <calculatedColumnFormula>PAYSCALES[[#This Row],[IncrementDate]]</calculatedColumnFormula>
    </tableColumn>
    <tableColumn id="8" xr3:uid="{2F8E1BA7-1A55-44F3-8C5F-DBCAC64D56B0}" name="Increase Date" dataDxfId="544">
      <calculatedColumnFormula>PAYSCALES[[#This Row],[IncreaseDate]]</calculatedColumnFormula>
    </tableColumn>
    <tableColumn id="4" xr3:uid="{06CC12EF-9CAE-4CC4-8F69-B9AABC2BF7AB}" name="ScenarioCode" dataDxfId="543"/>
    <tableColumn id="5" xr3:uid="{355201B3-B240-413A-B96A-430B54BE6276}" name="PayScaleCode" dataDxfId="542"/>
    <tableColumn id="6" xr3:uid="{39521FD4-93B1-4B4C-A066-DEDA3DEC5A35}" name="PayScaleTitle" dataDxfId="541"/>
    <tableColumn id="2" xr3:uid="{94E81AD1-3352-4874-B3A3-F4D24F30452D}" name="ServiceIncrementDateEnabled" dataDxfId="540"/>
    <tableColumn id="1" xr3:uid="{2835B0F1-B033-42C3-9063-B95CBFCE738C}" name="IncrementDate" dataDxfId="539"/>
    <tableColumn id="13" xr3:uid="{A184C8E5-C93A-4BFB-8C5A-FDA77DEA604C}" name="IncreaseDate" dataDxfId="538"/>
    <tableColumn id="9" xr3:uid="{75094A92-3894-4E3B-87C2-56EF1268AD49}" name="IncreasePercentage" dataDxfId="537"/>
    <tableColumn id="10" xr3:uid="{9B4F19E2-7CC5-40E9-95D3-37FB509A31B4}" name="AvailableToAllSchools" dataDxfId="536"/>
    <tableColumn id="11" xr3:uid="{7448DC89-5507-4AFC-A969-0DFF9CED5B57}" name="SchoolCodes" dataDxfId="535"/>
    <tableColumn id="12" xr3:uid="{9E9D57C7-65A8-4076-8EE5-E5B868C57DDB}" name="PayScaleEnabled" dataDxfId="534"/>
    <tableColumn id="16" xr3:uid="{6A5549CC-2CF5-4E53-AB35-C62F8E871BAE}" name="ExcludeNationalInsurance" dataDxfId="533"/>
    <tableColumn id="17" xr3:uid="{85BA5D97-A765-43EC-A0CD-F37543903BC9}" name="ExcludePension" dataDxfId="532"/>
  </tableColumns>
  <tableStyleInfo name="IMP Colours"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EE80EE81-AD01-4E29-95B9-8325D2D56C4E}" name="GRADES" displayName="GRADES" ref="A1:W34" totalsRowShown="0" headerRowDxfId="531" dataDxfId="530">
  <autoFilter ref="A1:W34" xr:uid="{EE80EE81-AD01-4E29-95B9-8325D2D56C4E}"/>
  <tableColumns count="23">
    <tableColumn id="1" xr3:uid="{D194B363-70A8-47B2-8816-1DC09B2309DB}" name="Pay Scale issue" dataDxfId="529">
      <calculatedColumnFormula>IF(COUNTIF('19_PayScales'!N:N,'22_PayScaleGrades'!P2)&gt;0,"0","1")</calculatedColumnFormula>
    </tableColumn>
    <tableColumn id="17" xr3:uid="{489E147F-58FB-475A-8CC6-F71EB95990C4}" name="Duplicate Grade Code" dataDxfId="528">
      <calculatedColumnFormula>COUNTIF(GRADES[PayScaleGradeCode],GRADES[[#This Row],[PayScaleGradeCode]])-1</calculatedColumnFormula>
    </tableColumn>
    <tableColumn id="16" xr3:uid="{FCF1CCDF-B1C8-4C2E-84B3-277775117079}" name="Schools Check" dataDxfId="527">
      <calculatedColumnFormula array="1">IF(GRADES[[#This Row],[AvailableToAllSchools]]=FALSE,IF(ISBLANK(GRADES[[#This Row],[SchoolCodes]]),1,IF(AND(COUNTIF(SCHOOLS[SchoolCode],_xlfn.TEXTSPLIT(GRADES[[#This Row],[SchoolCodes]],","))),0,1)),IF(GRADES[[#This Row],[AvailableToAllSchools]]=TRUE,IF(ISBLANK(GRADES[[#This Row],[SchoolCodes]]),0,1)))</calculatedColumnFormula>
    </tableColumn>
    <tableColumn id="18" xr3:uid="{15E74163-D597-43D6-BEB3-5BF8B3D6F752}" name="Scale Point Number From/To Issue" dataDxfId="526"/>
    <tableColumn id="14" xr3:uid="{1B2F30B2-BBA5-4FA6-B5AD-97B43ACCFDA0}" name="PayScaleGrade and PayScaleCode Available to School" dataDxfId="525">
      <calculatedColumnFormula array="1">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calculatedColumnFormula>
    </tableColumn>
    <tableColumn id="23" xr3:uid="{F028318C-DF27-48FF-BCE5-8D4166B5E95D}" name="TRUE /FALSE Typo" dataDxfId="524">
      <calculatedColumnFormula>IF(OR(GRADES[[#This Row],[AvailableToAllSchools]]=TRUE,GRADES[[#This Row],[AvailableToAllSchools]]=FALSE),IF(OR(GRADES[[#This Row],[PayScaleGradeEnabled]]=TRUE,GRADES[[#This Row],[PayScaleGradeEnabled]]=FALSE),0,1),1)</calculatedColumnFormula>
    </tableColumn>
    <tableColumn id="22" xr3:uid="{D36F6B49-EE4B-4A2B-8FCC-9076930FBA32}" name="Blank in column" dataDxfId="523">
      <calculatedColumnFormula>(COUNTBLANK(GRADES[[#This Row],[PayScaleGradeCode]:[AvailableToAllSchools]])+COUNTBLANK(GRADES[[#This Row],[PayScaleGradeEnabled]]))</calculatedColumnFormula>
    </tableColumn>
    <tableColumn id="20" xr3:uid="{5AAE2869-A5A1-42A1-94E9-DF3191B69E9F}" name="Code Length" dataDxfId="522">
      <calculatedColumnFormula>IF(LEN(GRADES[[#This Row],[PayScaleGradeCode]])&lt;100,0,1)</calculatedColumnFormula>
    </tableColumn>
    <tableColumn id="19" xr3:uid="{AF7482B5-0AF9-4C2F-884E-CDF472C696BC}" name="Title Length" dataDxfId="521">
      <calculatedColumnFormula>IF(LEN(GRADES[[#This Row],[Title]])&lt;100,0,1)</calculatedColumnFormula>
    </tableColumn>
    <tableColumn id="21" xr3:uid="{B2CE97B8-75EB-4DDF-A823-DC2771FE3EF2}" name="Space in Code" dataDxfId="520">
      <calculatedColumnFormula>IF(SUBSTITUTE(TEXT(GRADES[[#This Row],[PayScaleGradeCode]],10)," ","")=TEXT(GRADES[[#This Row],[PayScaleGradeCode]],10),0,1)</calculatedColumnFormula>
    </tableColumn>
    <tableColumn id="15" xr3:uid="{487A6052-27AF-4B61-A577-CC2C5CB1D866}" name="Will Import if 0" dataDxfId="519">
      <calculatedColumnFormula>SUM(GRADES[[#This Row],[Pay Scale issue]:[Schools Check]],GRADES[[#This Row],[TRUE /FALSE Typo]:[Space in Code]])</calculatedColumnFormula>
    </tableColumn>
    <tableColumn id="11" xr3:uid="{E1CF51C9-C576-45B6-9DF1-534EC830F526}" name="London Weighting" dataDxfId="518">
      <calculatedColumnFormula>_xlfn.XLOOKUP(GRADES[[#This Row],[PayScaleCode]],PAYSCALES[PayScaleCode],PAYSCALES[London Weighting])</calculatedColumnFormula>
    </tableColumn>
    <tableColumn id="10" xr3:uid="{255C7DE1-C18D-40A4-A1BB-657E645F1F55}" name="ScenarioCode" dataDxfId="517"/>
    <tableColumn id="2" xr3:uid="{9906132B-2BDD-409C-9012-67756B91D549}" name="PayScaleGradeCode" dataDxfId="516"/>
    <tableColumn id="3" xr3:uid="{98A85B4A-7811-4CE1-BF80-3106108007A0}" name="Title" dataDxfId="515"/>
    <tableColumn id="4" xr3:uid="{0C3DAAF9-F4BF-4153-9310-38AF474290F0}" name="PayScaleCode" dataDxfId="514"/>
    <tableColumn id="12" xr3:uid="{1ADBCCE1-40DE-4F2B-9F38-D8323EB04A95}" name="Point From (Check)" dataDxfId="513"/>
    <tableColumn id="13" xr3:uid="{EBB8E359-FAE3-4DB6-BB69-22FA863463F2}" name="Point To (Check)" dataDxfId="512"/>
    <tableColumn id="5" xr3:uid="{9987CBC7-05DD-4387-9BEB-AFB26AA285A3}" name="ScalePointNumberFrom" dataDxfId="511">
      <calculatedColumnFormula array="1">LOOKUP(2,1/(PSPOINTS[PayScaleCode]=GRADES[[#This Row],[PayScaleCode]])/(PSPOINTS[PayScalePointCode]=GRADES[[#This Row],[Point From (Check)]]),(PSPOINTS[ScalePointNumber]))</calculatedColumnFormula>
    </tableColumn>
    <tableColumn id="6" xr3:uid="{83AD724E-75D2-4112-A6CF-1164C809415C}" name="ScalePointNumberTo" dataDxfId="510">
      <calculatedColumnFormula array="1">LOOKUP(2,1/(PSPOINTS[PayScaleCode]=GRADES[[#This Row],[PayScaleCode]])/(PSPOINTS[PayScalePointCode]=GRADES[[#This Row],[Point To (Check)]]),(PSPOINTS[ScalePointNumber]))</calculatedColumnFormula>
    </tableColumn>
    <tableColumn id="7" xr3:uid="{D878277F-0C81-4CF7-BFD6-5C7B9761F435}" name="AvailableToAllSchools" dataDxfId="509"/>
    <tableColumn id="8" xr3:uid="{72B251AD-B6C6-4883-989C-238175CE8951}" name="SchoolCodes" dataDxfId="508"/>
    <tableColumn id="9" xr3:uid="{97395966-3E56-40B6-9C4A-CF9EB216F908}" name="PayScaleGradeEnabled" dataDxfId="507"/>
  </tableColumns>
  <tableStyleInfo name="IMP Colours"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EC336EFD-D63B-4AC1-AD41-6C554ADE80C2}" name="PS_INCPERC" displayName="PS_INCPERC" ref="A1:H20" totalsRowShown="0" headerRowDxfId="506" dataDxfId="505">
  <autoFilter ref="A1:H20" xr:uid="{EC336EFD-D63B-4AC1-AD41-6C554ADE80C2}"/>
  <tableColumns count="8">
    <tableColumn id="1" xr3:uid="{435ED31F-B88D-4A69-B272-4D43EA4952A2}" name="Pay Scale Code Issue" dataDxfId="504">
      <calculatedColumnFormula>IF(COUNTIF('19_PayScales'!N:N,F2)&gt;0,0,1)</calculatedColumnFormula>
    </tableColumn>
    <tableColumn id="2" xr3:uid="{EE5E0F8E-782C-43B4-818E-6A195D1C574D}" name="Blank in column" dataDxfId="503">
      <calculatedColumnFormula>COUNTBLANK(PS_INCPERC[[#This Row],[PayScaleCode]:[IncreasePercentage]])</calculatedColumnFormula>
    </tableColumn>
    <tableColumn id="8" xr3:uid="{C37A586F-A7D1-4BA8-9727-28A0872EF189}" name="Space in Code" dataDxfId="502">
      <calculatedColumnFormula>IF(SUBSTITUTE(TEXT(PS_INCPERC[[#This Row],[PayScaleCode]],10)," ","")=TEXT(PS_INCPERC[[#This Row],[PayScaleCode]],10),0,1)</calculatedColumnFormula>
    </tableColumn>
    <tableColumn id="7" xr3:uid="{D0679EDE-3A53-4141-B64A-53C33121F6EF}" name="Will Import if 0" dataDxfId="501">
      <calculatedColumnFormula>SUM(PS_INCPERC[[#This Row],[Pay Scale Code Issue]:[Space in Code]])</calculatedColumnFormula>
    </tableColumn>
    <tableColumn id="3" xr3:uid="{FF274002-7BBE-41C2-B4F3-23B55762E849}" name="ScenarioCode" dataDxfId="500"/>
    <tableColumn id="4" xr3:uid="{113CB928-574E-4F94-BF40-274BD5524E50}" name="PayScaleCode" dataDxfId="499"/>
    <tableColumn id="5" xr3:uid="{44B7B596-52A9-41A7-AE1C-0B9CBA04058D}" name="FinancialYearsCode" dataDxfId="498"/>
    <tableColumn id="6" xr3:uid="{A77507EB-1DAC-4F8F-A760-119CA1E145D3}" name="IncreasePercentage" dataDxfId="497"/>
  </tableColumns>
  <tableStyleInfo name="IMP Colours"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A64A06DA-F458-4374-9453-99B4CE8ADC23}" name="PSPOINTS" displayName="PSPOINTS" ref="A1:Y496" totalsRowShown="0" headerRowDxfId="496" dataDxfId="495">
  <autoFilter ref="A1:Y496" xr:uid="{A2A6C62E-1726-4C24-9D4C-59D88AFBB353}">
    <filterColumn colId="15">
      <filters>
        <filter val="LP_EW"/>
        <filter val="LP_FRI"/>
        <filter val="LP_INN"/>
        <filter val="LP_OUT"/>
      </filters>
    </filterColumn>
  </autoFilter>
  <tableColumns count="25">
    <tableColumn id="25" xr3:uid="{FCBD480E-66D7-4C78-9649-05535BAF9E81}" name="Pay Scale String" dataDxfId="494">
      <calculatedColumnFormula>PSPOINTS[[#This Row],[PayScaleCode]]&amp;PSPOINTS[[#This Row],[RateDateFrom]]</calculatedColumnFormula>
    </tableColumn>
    <tableColumn id="1" xr3:uid="{A7C970B4-1B26-460D-B71C-87C95799A1DF}" name="Scale Point Issue" dataDxfId="493">
      <calculatedColumnFormula>IF(A2=A1,SUM(T2-T1)-1,T2-1)</calculatedColumnFormula>
    </tableColumn>
    <tableColumn id="12" xr3:uid="{70F8BD00-DC3E-44FB-AB03-897DAC8E700E}" name="Pay Scale String Duplicates" dataDxfId="492">
      <calculatedColumnFormula>PSPOINTS[[#This Row],[PayScaleCode]]&amp;PSPOINTS[[#This Row],[PayScalePointCode]]&amp;PSPOINTS[[#This Row],[RateDateFrom]]</calculatedColumnFormula>
    </tableColumn>
    <tableColumn id="23" xr3:uid="{7BC8DD94-6B81-4F13-AA9E-8016484DFF67}" name="Duplicate Scale Check" dataDxfId="491">
      <calculatedColumnFormula>COUNTIF(PSPOINTS[Pay Scale String Duplicates],PSPOINTS[[#This Row],[Pay Scale String Duplicates]])-1</calculatedColumnFormula>
    </tableColumn>
    <tableColumn id="22" xr3:uid="{F247A36A-4152-456D-AB91-9E8C568D2125}" name="Rate Date From Issue" dataDxfId="490">
      <calculatedColumnFormula>IF((MONTH(_xlfn.XLOOKUP(PSPOINTS[[#This Row],[PayScaleCode]],'19_PayScales'!N:N,'19_PayScales'!R:R)))=MONTH(PSPOINTS[[#This Row],[RateDateFrom]]),0,1)</calculatedColumnFormula>
    </tableColumn>
    <tableColumn id="7" xr3:uid="{A5D3EA76-0806-4DAC-BFBF-B3C4461DCC5C}" name="Dates From/To Issue" dataDxfId="489">
      <calculatedColumnFormula>IF(ISBLANK(PSPOINTS[[#This Row],[RateDateTo]]),0,IF(PSPOINTS[[#This Row],[RateDateFrom]]&lt;PSPOINTS[[#This Row],[RateDateTo]],0,1))</calculatedColumnFormula>
    </tableColumn>
    <tableColumn id="24" xr3:uid="{E7EF1643-D4B3-481F-9665-16E82D3FD502}" name="Date Format Issue" dataDxfId="488">
      <calculatedColumnFormula array="1">IF(CELL("format",PSPOINTS[[#This Row],[RateDateFrom]])="D1",0,1)+IF(CELL("format",PSPOINTS[[#This Row],[RateDateTo]])="D1",0,1)</calculatedColumnFormula>
    </tableColumn>
    <tableColumn id="11" xr3:uid="{9E5FDC5E-30D9-4B4C-BC36-1349A6B3F831}" name="TRUE /FALSE Typo" dataDxfId="487">
      <calculatedColumnFormula>IF(OR(PSPOINTS[[#This Row],[Hourly]]=TRUE,PSPOINTS[[#This Row],[Hourly]]=FALSE),IF(OR(PSPOINTS[[#This Row],[PayScalePointEnabled]]=TRUE,PSPOINTS[[#This Row],[PayScalePointEnabled]]=FALSE),0,1),1)</calculatedColumnFormula>
    </tableColumn>
    <tableColumn id="8" xr3:uid="{6BC63E70-40B4-4264-9E29-076D055326C3}" name="Code Length" dataDxfId="486">
      <calculatedColumnFormula>IF(LEN(PSPOINTS[[#This Row],[PayScalePointCode]])&lt;100,0,1)</calculatedColumnFormula>
    </tableColumn>
    <tableColumn id="2" xr3:uid="{39B51BF0-7F7B-4FD3-AF00-3E5E8B381A32}" name="Title Length" dataDxfId="485">
      <calculatedColumnFormula>IF(LEN(PSPOINTS[[#This Row],[PayScalePointTitle]])&lt;100,0,1)</calculatedColumnFormula>
    </tableColumn>
    <tableColumn id="10" xr3:uid="{E77D9CF6-7F08-4D33-82CF-BC2324FBAF9D}" name="Blank in column" dataDxfId="484">
      <calculatedColumnFormula>(COUNTBLANK(PSPOINTS[[#This Row],[PayScalePointCode]:[RateDateFrom]])+COUNTBLANK(PSPOINTS[[#This Row],[PayScaleRate]]))</calculatedColumnFormula>
    </tableColumn>
    <tableColumn id="9" xr3:uid="{7B340F01-03C3-49E7-8544-9BE753BAEA74}" name="Space in Code" dataDxfId="483">
      <calculatedColumnFormula>IF(SUBSTITUTE(TEXT(PSPOINTS[[#This Row],[PayScaleCode]],10)," ","")=TEXT(PSPOINTS[[#This Row],[PayScaleCode]],10),0,1)+IF(SUBSTITUTE(TEXT(PSPOINTS[[#This Row],[PayScalePointCode]],10)," ","")=TEXT(PSPOINTS[[#This Row],[PayScalePointCode]],10),0,1)</calculatedColumnFormula>
    </tableColumn>
    <tableColumn id="21" xr3:uid="{CB8BEF50-65EA-49B3-B1D4-D9119AB82298}" name="Will Import if 0" dataDxfId="482">
      <calculatedColumnFormula>SUM(PSPOINTS[[#This Row],[Scale Point Issue]:[Space in Code]])</calculatedColumnFormula>
    </tableColumn>
    <tableColumn id="3" xr3:uid="{6096BF65-1E86-49E6-AB78-F6B7BEB3F1B2}" name="London Weighting" dataDxfId="481"/>
    <tableColumn id="4" xr3:uid="{7346793A-89E7-4F7C-9ADA-7651E0EEA002}" name="ScenarioCode" dataDxfId="480"/>
    <tableColumn id="5" xr3:uid="{3B81C3D3-D6D5-4A6C-B6F2-F8ED47E212C6}" name="PayScaleCode" dataDxfId="479"/>
    <tableColumn id="6" xr3:uid="{EA160913-39D2-4067-B36D-48E99C1A1D02}" name="PayScaleTitle" dataDxfId="478">
      <calculatedColumnFormula>_xlfn.XLOOKUP(PSPOINTS[[#This Row],[PayScaleCode]],'19_PayScales'!N:N,'19_PayScales'!O:O)</calculatedColumnFormula>
    </tableColumn>
    <tableColumn id="13" xr3:uid="{277C2273-7E80-4DBA-89CA-9FC59C62DE9E}" name="PayScalePointCode" dataDxfId="477"/>
    <tableColumn id="14" xr3:uid="{9FF28234-ECFB-47AE-9684-D5678A91C653}" name="PayScalePointTitle" dataDxfId="476"/>
    <tableColumn id="15" xr3:uid="{F1E13C7B-1F11-4839-89CF-076F000FEE29}" name="ScalePointNumber" dataDxfId="475"/>
    <tableColumn id="16" xr3:uid="{3EE74BA2-8E01-448A-A1A6-5E99E27F9644}" name="Hourly" dataDxfId="474"/>
    <tableColumn id="17" xr3:uid="{3F26F297-5588-4A6D-BAB8-4E3B8F311BE9}" name="PayScalePointEnabled" dataDxfId="473"/>
    <tableColumn id="18" xr3:uid="{17E24663-9AC0-4A96-BD36-F4E199E5482A}" name="RateDateFrom" dataDxfId="472"/>
    <tableColumn id="19" xr3:uid="{4DD268BF-AFC6-46A6-9173-E2DED659EB12}" name="RateDateTo" dataDxfId="471"/>
    <tableColumn id="20" xr3:uid="{22A13691-08F8-4016-8684-8CB7FC02E351}" name="PayScaleRate" dataDxfId="470"/>
  </tableColumns>
  <tableStyleInfo name="IMP Colours"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803D98F8-86BF-4A82-849E-33F981D70D6B}" name="ALLWCTYPE" displayName="ALLWCTYPE" ref="A1:Q3" totalsRowShown="0" headerRowDxfId="469" dataDxfId="468">
  <autoFilter ref="A1:Q3" xr:uid="{803D98F8-86BF-4A82-849E-33F981D70D6B}"/>
  <tableColumns count="17">
    <tableColumn id="15" xr3:uid="{B4F8B5CE-84C8-4805-9BF2-5033F5567D71}" name="Schools Check" dataDxfId="467">
      <calculatedColumnFormula>IF(ALLWCTYPE[[#This Row],[AvailableToAllSchools]]=FALSE,IF(ISBLANK(ALLWCTYPE[[#This Row],[SchoolCodes]]),1,0),IF(ALLWCTYPE[[#This Row],[AvailableToAllSchools]]=TRUE,IF(ISBLANK(ALLWCTYPE[[#This Row],[SchoolCodes]]),0,1)))</calculatedColumnFormula>
    </tableColumn>
    <tableColumn id="19" xr3:uid="{324CBF01-F691-4865-ACA1-B8E443859458}" name="TRUE /FALSE Typo" dataDxfId="466">
      <calculatedColumnFormula>IF(OR(ALLWCTYPE[[#This Row],[ExcludePension]]=TRUE,ALLWCTYPE[[#This Row],[ExcludePension]]=FALSE),IF(OR(ALLWCTYPE[[#This Row],[AvailableToAllSchools]]=TRUE,ALLWCTYPE[[#This Row],[AvailableToAllSchools]]=FALSE),IF(OR(ALLWCTYPE[[#This Row],[ExcludeNI]]=TRUE,ALLWCTYPE[[#This Row],[ExcludeNI]]=FALSE),IF(OR(ALLWCTYPE[[#This Row],[AllowanceTypeEnabled]]=TRUE,ALLWCTYPE[[#This Row],[AllowanceTypeEnabled]]=FALSE),0,1),1),1),1)</calculatedColumnFormula>
    </tableColumn>
    <tableColumn id="18" xr3:uid="{16A2F211-1FD9-4E20-9B9F-A7CE4048A2A8}" name="Code Length" dataDxfId="465">
      <calculatedColumnFormula>IF(LEN(ALLWCTYPE[[#This Row],[AllowanceTypeCode]])&lt;100,0,1)</calculatedColumnFormula>
    </tableColumn>
    <tableColumn id="17" xr3:uid="{6F6E8C35-0C36-4C1B-918B-7593D738596A}" name="Title Length" dataDxfId="464">
      <calculatedColumnFormula>IF(LEN(ALLWCTYPE[[#This Row],[AllowanceTypeTitle]])&lt;100,0,1)</calculatedColumnFormula>
    </tableColumn>
    <tableColumn id="1" xr3:uid="{1D51D607-7EB0-4C15-8764-CD6C77D4748C}" name="Blank in column" dataDxfId="463">
      <calculatedColumnFormula>COUNTBLANK(ALLWCTYPE[[#This Row],[AllowanceTypeCode]:[AvailableToAllSchools]])+COUNTBLANK(ALLWCTYPE[[#This Row],[ExcludePension]]:ALLWCTYPE[[#This Row],[ExcludeNI]]:ALLWCTYPE[[#This Row],[AllowanceTypeEnabled]])</calculatedColumnFormula>
    </tableColumn>
    <tableColumn id="12" xr3:uid="{12D9A38E-9CF2-4241-AC86-ABB59D314921}" name="Space in Code" dataDxfId="462">
      <calculatedColumnFormula>IF(SUBSTITUTE(TEXT(ALLWCTYPE[[#This Row],[AllowanceTypeCode]],10)," ","")=TEXT(ALLWCTYPE[[#This Row],[AllowanceTypeCode]],10),0,1)</calculatedColumnFormula>
    </tableColumn>
    <tableColumn id="14" xr3:uid="{53EB043B-ABF8-46D1-9874-C3544FD28F41}" name="Will Import if 0" dataDxfId="461">
      <calculatedColumnFormula>SUM(ALLWCTYPE[[#This Row],[Schools Check]:[Blank in column]])</calculatedColumnFormula>
    </tableColumn>
    <tableColumn id="2" xr3:uid="{ABD0E833-D211-4850-8D74-97436571DAE7}" name="ScenarioCode" dataDxfId="460"/>
    <tableColumn id="3" xr3:uid="{2195F783-4225-40F2-8465-533107A7A9A8}" name="AllowanceTypeCode" dataDxfId="459"/>
    <tableColumn id="4" xr3:uid="{F6F30562-8EC4-4634-AB3A-A62485089327}" name="AllowanceTypeTitle" dataDxfId="458"/>
    <tableColumn id="6" xr3:uid="{75C23533-C3FD-404A-991A-C668FDC955E0}" name="IncreaseDate" dataDxfId="457"/>
    <tableColumn id="7" xr3:uid="{F77B70B3-1EE3-4BB4-B0CA-01620F44E855}" name="IncreasePercentage" dataDxfId="456"/>
    <tableColumn id="8" xr3:uid="{3FE0FEDD-3A09-4F31-B151-3559D335DF6D}" name="AvailableToAllSchools" dataDxfId="455"/>
    <tableColumn id="10" xr3:uid="{9A9158DC-7B4B-4162-A8BA-7D5DF0B87CFB}" name="SchoolCodes" dataDxfId="454"/>
    <tableColumn id="5" xr3:uid="{1B32FD1E-C136-42A6-BE3A-A786002FE67D}" name="ExcludePension" dataDxfId="453"/>
    <tableColumn id="9" xr3:uid="{07B228AA-9EF9-453E-B4A7-27768475CAAD}" name="ExcludeNI" dataDxfId="452"/>
    <tableColumn id="11" xr3:uid="{DCDC8806-C3B4-487A-B5AD-5200F2950D0A}" name="AllowanceTypeEnabled" dataDxfId="451"/>
  </tableColumns>
  <tableStyleInfo name="IMP Colours"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E89A723-B83E-4E78-A8BC-1DEE53BBA935}" name="ALLWCPTS" displayName="ALLWCPTS" ref="A1:W11" totalsRowShown="0" headerRowDxfId="450" dataDxfId="449">
  <autoFilter ref="A1:W11" xr:uid="{803D98F8-86BF-4A82-849E-33F981D70D6B}"/>
  <tableColumns count="23">
    <tableColumn id="1" xr3:uid="{43F4A519-6D82-4184-BA58-0C154687ACB3}" name="Allowance Type Issue" dataDxfId="448">
      <calculatedColumnFormula>IF(COUNTIF(ALLWCTYPE[AllowanceTypeCode],ALLWCPTS[[#This Row],[AllowanceTypeCode]])&gt;0,0,1)</calculatedColumnFormula>
    </tableColumn>
    <tableColumn id="5" xr3:uid="{6BD20B10-E75D-4D9A-B2BD-9C109B9500CF}" name="Point Code Duplicate" dataDxfId="447">
      <calculatedColumnFormula>COUNTIF(ALLWCPTS[AllowancePointCode],ALLWCPTS[[#This Row],[AllowancePointCode]])-1</calculatedColumnFormula>
    </tableColumn>
    <tableColumn id="6" xr3:uid="{E2E18E9D-BD1B-4112-8812-FE3AC73B8372}" name="Schools Check" dataDxfId="446">
      <calculatedColumnFormula>IF(ALLWCPTS[[#This Row],[AvailableToAllSchools]]=FALSE,IF(ISBLANK(ALLWCPTS[[#This Row],[SchoolCodes]]),1,0),IF(ALLWCPTS[[#This Row],[AvailableToAllSchools]]=TRUE,IF(ISBLANK(ALLWCPTS[[#This Row],[SchoolCodes]]),0,1)))</calculatedColumnFormula>
    </tableColumn>
    <tableColumn id="22" xr3:uid="{271272A9-F193-42BB-9D5F-068F99B4DA07}" name="Dates From/To Issue" dataDxfId="445">
      <calculatedColumnFormula>IF(ISBLANK(ALLWCPTS[[#This Row],[RateDateTo]]),0,IF(ALLWCPTS[[#This Row],[RateDateFrom]]&lt;ALLWCPTS[[#This Row],[RateDateTo]],0,1))</calculatedColumnFormula>
    </tableColumn>
    <tableColumn id="14" xr3:uid="{77CF27A5-AD09-4AAC-A067-DBB9E9CDAFED}" name="Date Format Issue" dataDxfId="444">
      <calculatedColumnFormula array="1">IF(CELL("format",ALLWCPTS[[#This Row],[RateDateFrom]])="D1",0,1)+IF(CELL("format",ALLWCPTS[[#This Row],[RateDateTo]])="D1",0,1)</calculatedColumnFormula>
    </tableColumn>
    <tableColumn id="24" xr3:uid="{A1A68B22-7F41-46F9-BDDF-66155DAFB6C1}" name="Allowance Type Code Available to School" dataDxfId="443">
      <calculatedColumnFormula array="1">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calculatedColumnFormula>
    </tableColumn>
    <tableColumn id="21" xr3:uid="{69E3DA54-C304-4C0D-A9C8-620A4366CC84}" name="TRUE /FALSE Typo" dataDxfId="442">
      <calculatedColumnFormula>IF(OR(ALLWCPTS[[#This Row],[AllowancePointEnabled]]=TRUE,ALLWCPTS[[#This Row],[AllowancePointEnabled]]=FALSE),IF(OR(ALLWCPTS[[#This Row],[AvailableToAllSchools]]=TRUE,ALLWCPTS[[#This Row],[AvailableToAllSchools]]=FALSE),0,1),1)</calculatedColumnFormula>
    </tableColumn>
    <tableColumn id="11" xr3:uid="{B662C051-A32F-46CA-8981-B3FB95999A3A}" name="Code Length" dataDxfId="441">
      <calculatedColumnFormula>IF(LEN(ALLWCPTS[[#This Row],[AllowancePointCode]])&lt;100,0,1)</calculatedColumnFormula>
    </tableColumn>
    <tableColumn id="7" xr3:uid="{23254311-6A96-4274-AD22-61EC80D2BF0F}" name="Title Length" dataDxfId="440">
      <calculatedColumnFormula>IF(LEN(ALLWCPTS[[#This Row],[AllowancePointTitle]])&lt;100,0,1)</calculatedColumnFormula>
    </tableColumn>
    <tableColumn id="20" xr3:uid="{9DC6F3AB-2C22-4F77-B224-F057CA4D1FAC}" name="Blank in column" dataDxfId="439">
      <calculatedColumnFormula>COUNTBLANK(ALLWCPTS[[#This Row],[AllowanceTypeCode]:[AvailableToAllSchools]])+COUNTBLANK(ALLWCPTS[[#This Row],[AnnualRate]]:ALLWCPTS[[#This Row],[AllowancePointEnabled]])</calculatedColumnFormula>
    </tableColumn>
    <tableColumn id="15" xr3:uid="{CC73507A-E1FE-4A00-B323-4CEAFCFC8598}" name="Space in Code" dataDxfId="438">
      <calculatedColumnFormula>IF(SUBSTITUTE(TEXT(ALLWCPTS[[#This Row],[AllowancePointCode]],10)," ","")=TEXT(ALLWCPTS[[#This Row],[AllowancePointCode]],10),0,1)</calculatedColumnFormula>
    </tableColumn>
    <tableColumn id="9" xr3:uid="{E74D1F13-FCE5-46D7-84FB-199E96793E85}" name="Will import if 0" dataDxfId="437">
      <calculatedColumnFormula>SUM(ALLWCPTS[[#This Row],[Allowance Type Issue]:[Space in Code]])</calculatedColumnFormula>
    </tableColumn>
    <tableColumn id="2" xr3:uid="{29A8EAFA-4973-4E86-82DC-948750D80553}" name="ScenarioCode" dataDxfId="436"/>
    <tableColumn id="3" xr3:uid="{44ED73C8-3D6C-4637-A8E9-EC5376F8EFEC}" name="AllowanceTypeCode" dataDxfId="435"/>
    <tableColumn id="4" xr3:uid="{11376567-E77D-4ED1-8C56-DF4700FA18D8}" name="AllowanceTypeTitle" dataDxfId="434">
      <calculatedColumnFormula>_xlfn.XLOOKUP(ALLWCPTS[[#This Row],[AllowanceTypeCode]],ALLWCTYPE[AllowanceTypeCode],ALLWCTYPE[AllowanceTypeTitle])</calculatedColumnFormula>
    </tableColumn>
    <tableColumn id="12" xr3:uid="{BAD317EF-9308-49E5-8F7A-D22B5C22CEDE}" name="AllowancePointCode" dataDxfId="433"/>
    <tableColumn id="13" xr3:uid="{7415A5E2-37AF-4379-B185-4DD8CB4357E6}" name="AllowancePointTitle" dataDxfId="432"/>
    <tableColumn id="8" xr3:uid="{7A3DF043-9014-4E69-9D57-699B655ADFB9}" name="AvailableToAllSchools" dataDxfId="431"/>
    <tableColumn id="10" xr3:uid="{36FF1A74-41A3-4BDC-9A89-C042DF0806A9}" name="SchoolCodes" dataDxfId="430"/>
    <tableColumn id="17" xr3:uid="{38B89BD4-6BD2-42A2-908F-51AAD0222D5D}" name="RateDateFrom" dataDxfId="429"/>
    <tableColumn id="18" xr3:uid="{55A6626E-94B1-486D-BA05-967751663BDB}" name="RateDateTo" dataDxfId="428"/>
    <tableColumn id="19" xr3:uid="{9BF6EFF3-76C6-4FF1-B114-167E4EC1E614}" name="AnnualRate" dataDxfId="427"/>
    <tableColumn id="16" xr3:uid="{E200BACD-5A71-4FE9-A107-D4B5FC5BAFAB}" name="AllowancePointEnabled" dataDxfId="426"/>
  </tableColumns>
  <tableStyleInfo name="IMP Colours"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8126DD9-1B8C-4941-9405-F5B887B9DDB2}" name="AL_INCPERC" displayName="AL_INCPERC" ref="A1:H3" totalsRowShown="0" headerRowDxfId="425" dataDxfId="424">
  <autoFilter ref="A1:H3" xr:uid="{EC336EFD-D63B-4AC1-AD41-6C554ADE80C2}"/>
  <tableColumns count="8">
    <tableColumn id="1" xr3:uid="{F01843B5-7CAF-4A82-BA52-C6659C17CA6F}" name="Allowance Issue" dataDxfId="423">
      <calculatedColumnFormula>IF(COUNTIF(ALLWCTYPE[AllowanceTypeCode],F2)&gt;0,0,1)</calculatedColumnFormula>
    </tableColumn>
    <tableColumn id="8" xr3:uid="{D633C6FA-4D70-4B70-A10D-9C7A9EF40575}" name="Code Length" dataDxfId="422">
      <calculatedColumnFormula>IF(LEN(AL_INCPERC[[#This Row],[AllowanceTypeCode]])&lt;100,0,1)</calculatedColumnFormula>
    </tableColumn>
    <tableColumn id="2" xr3:uid="{6C82DEB0-9DB8-4DB0-ADFF-87366098D0BC}" name="Blank in column" dataDxfId="421">
      <calculatedColumnFormula>COUNTBLANK(AL_INCPERC[[#This Row],[AllowanceTypeCode]:[IncreasePercentage]])</calculatedColumnFormula>
    </tableColumn>
    <tableColumn id="7" xr3:uid="{292B1C1A-E725-4593-8080-7EB20FF82FC5}" name="Will Import if 0" dataDxfId="420">
      <calculatedColumnFormula>SUM(AL_INCPERC[[#This Row],[Allowance Issue]:[Blank in column]])</calculatedColumnFormula>
    </tableColumn>
    <tableColumn id="3" xr3:uid="{2D250A2C-C1EB-446D-B177-4546F4239E31}" name="ScenarioCode" dataDxfId="419"/>
    <tableColumn id="4" xr3:uid="{5D85FCDA-BD0B-4567-898C-7B1FF31EE220}" name="AllowanceTypeCode" dataDxfId="418"/>
    <tableColumn id="5" xr3:uid="{7920656B-20D9-4F7A-840A-0D42C1206839}" name="FinancialYearsCode" dataDxfId="417"/>
    <tableColumn id="6" xr3:uid="{F0A390C0-6C01-4D70-9AE3-CD511060FCD2}" name="IncreasePercentage" dataDxfId="416"/>
  </tableColumns>
  <tableStyleInfo name="IMP Colours"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849F569A-AF78-4352-BA60-ADC4A9D20C58}" name="ADJTYPE" displayName="ADJTYPE" ref="A1:R3" totalsRowShown="0" headerRowDxfId="415" dataDxfId="414">
  <autoFilter ref="A1:R3" xr:uid="{803D98F8-86BF-4A82-849E-33F981D70D6B}"/>
  <tableColumns count="18">
    <tableColumn id="12" xr3:uid="{94FF41A3-7998-47F9-BF36-4C15A0B0CF00}" name="Schools Check" dataDxfId="413">
      <calculatedColumnFormula>IF(ADJTYPE[[#This Row],[AvailableToAllSchools]]=FALSE,IF(ISBLANK(ADJTYPE[[#This Row],[SchoolCodes]]),1,0),IF(ADJTYPE[[#This Row],[AvailableToAllSchools]]=TRUE,IF(ISBLANK(ADJTYPE[[#This Row],[SchoolCodes]]),0,1)))</calculatedColumnFormula>
    </tableColumn>
    <tableColumn id="1" xr3:uid="{1D32EA68-B826-476E-89F1-CF16E02472FE}" name="Type Code Duplicate" dataDxfId="412">
      <calculatedColumnFormula>COUNTIF(ADJTYPE[AdjustmentTypeCode],ADJTYPE[[#This Row],[AdjustmentTypeCode]])-1</calculatedColumnFormula>
    </tableColumn>
    <tableColumn id="18" xr3:uid="{7744BC09-7BE4-4676-AF8C-07D141127D55}" name="TRUE /FALSE Typo" dataDxfId="411">
      <calculatedColumnFormula>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calculatedColumnFormula>
    </tableColumn>
    <tableColumn id="17" xr3:uid="{C7606DBB-9CA3-478E-B40F-8EFB3C227F58}" name="Blank in column" dataDxfId="410">
      <calculatedColumnFormula>COUNTBLANK(ADJTYPE[[#This Row],[AdjustmentTypeCode]:[AvailableToAllSchools]])+COUNTBLANK(ADJTYPE[[#This Row],[ExcludePension]]:ADJTYPE[[#This Row],[AdjustmentTypeEnabled]])</calculatedColumnFormula>
    </tableColumn>
    <tableColumn id="15" xr3:uid="{EBA90CBD-D2DA-4B4B-A0A8-80CF1799E45F}" name="Code Length" dataDxfId="409">
      <calculatedColumnFormula>IF(LEN(ADJTYPE[[#This Row],[AdjustmentTypeCode]])&lt;100,0,1)</calculatedColumnFormula>
    </tableColumn>
    <tableColumn id="13" xr3:uid="{7CB3C396-F116-47F3-831E-F209A324967E}" name="Title Length" dataDxfId="408">
      <calculatedColumnFormula>IF(LEN(ADJTYPE[[#This Row],[Title]])&lt;100,0,1)</calculatedColumnFormula>
    </tableColumn>
    <tableColumn id="16" xr3:uid="{E50AB610-BF25-473C-889B-1F3E8012C6D4}" name="Space in Code" dataDxfId="407">
      <calculatedColumnFormula>IF(SUBSTITUTE(TEXT(ADJTYPE[[#This Row],[AdjustmentTypeCode]],10)," ","")=TEXT(ADJTYPE[[#This Row],[AdjustmentTypeCode]],10),0,1)</calculatedColumnFormula>
    </tableColumn>
    <tableColumn id="14" xr3:uid="{7D3CB0B4-F205-46F2-AA98-8BE6E89FFB12}" name="Will import if 0" dataDxfId="406">
      <calculatedColumnFormula>SUM(ADJTYPE[[#This Row],[Schools Check]:[Space in Code]])</calculatedColumnFormula>
    </tableColumn>
    <tableColumn id="2" xr3:uid="{8B1A0C4F-81CF-46DF-95AE-563C497B165B}" name="ScenarioCode" dataDxfId="405"/>
    <tableColumn id="3" xr3:uid="{9DCFFC8D-4782-47E5-95C9-B19CA036F87C}" name="AdjustmentTypeCode" dataDxfId="404"/>
    <tableColumn id="4" xr3:uid="{1A9A266C-1EDF-4469-BA97-81B0AD80414A}" name="Title" dataDxfId="403"/>
    <tableColumn id="6" xr3:uid="{8416714E-3CD0-47F3-81AC-D6E14359BBB9}" name="AnniversaryDate" dataDxfId="402"/>
    <tableColumn id="7" xr3:uid="{82753DE3-325A-4901-B833-22C27B1FA0BB}" name="IncreasePercentage" dataDxfId="401"/>
    <tableColumn id="8" xr3:uid="{498C76F2-2CDA-420A-B930-384C2F34CC9F}" name="AvailableToAllSchools" dataDxfId="400"/>
    <tableColumn id="10" xr3:uid="{C9A43689-801A-4F92-9F83-5050BBDD5AFD}" name="SchoolCodes" dataDxfId="399"/>
    <tableColumn id="5" xr3:uid="{63A26F99-D87C-4048-8763-92CF32693FFB}" name="ExcludePension" dataDxfId="398"/>
    <tableColumn id="9" xr3:uid="{7765410D-8B96-4B92-B456-F4D49A4B325F}" name="ExcludeNI" dataDxfId="397"/>
    <tableColumn id="11" xr3:uid="{E7B52102-E261-4818-8D33-871FA6F7EB33}" name="AdjustmentTypeEnabled" dataDxfId="396"/>
  </tableColumns>
  <tableStyleInfo name="IMP Colours"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AE468DD-160F-481C-A13B-02F6F5627FBD}" name="PENS" displayName="PENS" ref="A1:R4" totalsRowShown="0" headerRowDxfId="395" dataDxfId="394">
  <autoFilter ref="A1:R4" xr:uid="{5AE468DD-160F-481C-A13B-02F6F5627FBD}"/>
  <tableColumns count="18">
    <tableColumn id="14" xr3:uid="{B8777899-EF1C-45D4-86D5-63B69D8AD21B}" name="Schools Check" dataDxfId="393">
      <calculatedColumnFormula>IF(PENS[[#This Row],[AvailableToAllSchools]]=FALSE,IF(ISBLANK(PENS[[#This Row],[SchoolCodes]]),1,0),IF(PENS[[#This Row],[AvailableToAllSchools]]=TRUE,IF(ISBLANK(PENS[[#This Row],[SchoolCodes]]),0,1)))</calculatedColumnFormula>
    </tableColumn>
    <tableColumn id="13" xr3:uid="{181176BC-49ED-49A4-A97B-44A4047EF529}" name="Dates From/To Issue" dataDxfId="392">
      <calculatedColumnFormula>IF(ISBLANK(PENS[[#This Row],[RateDateTo]]),0,IF(PENS[[#This Row],[RateDateFrom]]&lt;PENS[[#This Row],[RateDateTo]],0,1))</calculatedColumnFormula>
    </tableColumn>
    <tableColumn id="17" xr3:uid="{180C1656-8632-4A8D-A00B-3A94066CBBD8}" name="Date Format Issue" dataDxfId="391">
      <calculatedColumnFormula array="1">IF(CELL("format",PENS[[#This Row],[RateDateFrom]])="D1",0,1)+IF(CELL("format",PENS[[#This Row],[RateDateTo]])="D1",0,1)</calculatedColumnFormula>
    </tableColumn>
    <tableColumn id="12" xr3:uid="{080AF819-BCD3-435A-93B5-AF4180878242}" name="TRUE /FALSE Typo" dataDxfId="390">
      <calculatedColumnFormula>IF(OR(PENS[[#This Row],[PensionEnabled]]=TRUE,PENS[[#This Row],[PensionEnabled]]=FALSE),IF(OR(PENS[[#This Row],[AvailableToAllSchools]]=TRUE,PENS[[#This Row],[AvailableToAllSchools]]=FALSE),0,1),1)</calculatedColumnFormula>
    </tableColumn>
    <tableColumn id="16" xr3:uid="{63F64EC5-BF1A-40AC-9E3B-8913C2C52EE5}" name="Code Length" dataDxfId="389">
      <calculatedColumnFormula>IF(LEN(PENS[[#This Row],[PensionCode]])&lt;100,0,1)</calculatedColumnFormula>
    </tableColumn>
    <tableColumn id="15" xr3:uid="{04AEF54D-96B1-4B43-9CBF-6204D5FDCC09}" name="Title Length" dataDxfId="388">
      <calculatedColumnFormula>IF(LEN(PENS[[#This Row],[Title]])&lt;100,0,1)</calculatedColumnFormula>
    </tableColumn>
    <tableColumn id="18" xr3:uid="{9EE74257-8BA0-4ECC-90AC-A4140E3B8C8E}" name="Blank in column" dataDxfId="387">
      <calculatedColumnFormula>COUNTBLANK(PENS[[#This Row],[PensionPercentage]])+COUNTBLANK(PENS[[#This Row],[PensionEnabled]:[RateDateFrom]])+COUNTBLANK(PENS[[#This Row],[PensionCode]:[AvailableToAllSchools]])</calculatedColumnFormula>
    </tableColumn>
    <tableColumn id="11" xr3:uid="{DD3FE5C1-688B-4454-8D99-465992F50255}" name="Space in Code" dataDxfId="386">
      <calculatedColumnFormula>IF(SUBSTITUTE(TEXT(PENS[[#This Row],[PensionCode]],10)," ","")=TEXT(PENS[[#This Row],[PensionCode]],10),0,1)</calculatedColumnFormula>
    </tableColumn>
    <tableColumn id="10" xr3:uid="{E68466BA-D9BF-4169-BFA2-E1F138FE7FCC}" name="Will import if 0" dataDxfId="385">
      <calculatedColumnFormula>SUM(PENS[[#This Row],[Schools Check]:[Space in Code]])</calculatedColumnFormula>
    </tableColumn>
    <tableColumn id="1" xr3:uid="{7A6B0710-3ECF-4DBF-8C6A-F201FFE3DBA5}" name="ScenarioCode" dataDxfId="384"/>
    <tableColumn id="2" xr3:uid="{0DA35B86-2248-4844-8F5E-13B00D89A17C}" name="PensionCode" dataDxfId="383"/>
    <tableColumn id="3" xr3:uid="{6EF62367-A1D0-481B-8257-4FA1F2AFB730}" name="Title" dataDxfId="382"/>
    <tableColumn id="4" xr3:uid="{0AFC9758-0EE1-410A-A70A-740BA8FC43D2}" name="AvailableToAllSchools" dataDxfId="381"/>
    <tableColumn id="5" xr3:uid="{319A9B6B-E7D0-4913-B456-FD083CC035C8}" name="SchoolCodes" dataDxfId="380"/>
    <tableColumn id="6" xr3:uid="{98235929-0735-400E-A3C1-302BD41439E6}" name="PensionEnabled" dataDxfId="379"/>
    <tableColumn id="7" xr3:uid="{25D347D6-4257-412D-8409-ADA096B7FDB9}" name="RateDateFrom" dataDxfId="378"/>
    <tableColumn id="8" xr3:uid="{10214DA7-3BFB-4924-A579-85CE841759CB}" name="RateDateTo" dataDxfId="377"/>
    <tableColumn id="9" xr3:uid="{FFA74162-A660-495A-BD1C-CD8A6D97F9AD}" name="PensionPercentage" dataDxfId="376"/>
  </tableColumns>
  <tableStyleInfo name="IMP Colours"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C939066-E020-43E7-AB5C-3AEC8C4A11D3}" name="EQW" displayName="EQW" ref="A1:R2" totalsRowShown="0" headerRowDxfId="375" dataDxfId="374">
  <autoFilter ref="A1:R2" xr:uid="{0F89FD1F-7CCF-4C10-B55B-04ECAB3EE30E}"/>
  <tableColumns count="18">
    <tableColumn id="1" xr3:uid="{054C4B87-2DD3-4CB1-921B-5950CFA9B7B2}" name="Schools Check" dataDxfId="373">
      <calculatedColumnFormula>IF(EQW[[#This Row],[AvailableToAllSchools]]=FALSE,IF(ISBLANK(EQW[[#This Row],[SchoolCodes]]),1,0),IF(EQW[[#This Row],[AvailableToAllSchools]]=TRUE,IF(ISBLANK(EQW[[#This Row],[SchoolCodes]]),0,1)))</calculatedColumnFormula>
    </tableColumn>
    <tableColumn id="17" xr3:uid="{4CC09058-7BAD-4313-9461-4C6C6A91BF5D}" name="TRUE /FALSE Typo" dataDxfId="372">
      <calculatedColumnFormula>IF(OR(EQW[[#This Row],[EquatedWeekPatternEnabled]]=TRUE,EQW[[#This Row],[EquatedWeekPatternEnabled]]=FALSE),IF(OR(EQW[[#This Row],[AvailableToAllSchools]]=TRUE,EQW[[#This Row],[AvailableToAllSchools]]=FALSE),0,1),1)</calculatedColumnFormula>
    </tableColumn>
    <tableColumn id="12" xr3:uid="{931066AF-08D7-4ADB-8F19-D9E3B9F5DAB7}" name="Blank in column" dataDxfId="371">
      <calculatedColumnFormula>COUNTBLANK(EQW[[#This Row],[EquatedWeekPatternCode]:[AvailableToAllSchools]])+COUNTBLANK(EQW[[#This Row],[ServiceYearsFrom]:[EquatedWeekPatternEnabled]])</calculatedColumnFormula>
    </tableColumn>
    <tableColumn id="14" xr3:uid="{2DA67733-C4A0-400C-A238-DAE31E12AC54}" name="Code Length" dataDxfId="370">
      <calculatedColumnFormula>IF(LEN(EQW[[#This Row],[EquatedWeekPatternCode]])&lt;100,0,1)</calculatedColumnFormula>
    </tableColumn>
    <tableColumn id="13" xr3:uid="{C68A5AA7-A98D-4148-BD1D-D02DD496D4AC}" name="Title Length" dataDxfId="369">
      <calculatedColumnFormula>IF(LEN(EQW[[#This Row],[EquatedWeekPatternTitle]])&lt;100,0,1)</calculatedColumnFormula>
    </tableColumn>
    <tableColumn id="16" xr3:uid="{C89B4BCF-EE90-4FAA-8FFB-3DA57953937B}" name="Space in Code" dataDxfId="368">
      <calculatedColumnFormula>IF(SUBSTITUTE(TEXT(EQW[[#This Row],[EquatedWeekPatternCode]],10)," ","")=TEXT(EQW[[#This Row],[EquatedWeekPatternCode]],10),0,1)</calculatedColumnFormula>
    </tableColumn>
    <tableColumn id="15" xr3:uid="{9790DE6D-55A4-4339-85A6-59A6E7C3E3A7}" name="Will import if 0" dataDxfId="367">
      <calculatedColumnFormula>SUM(EQW[[#This Row],[Schools Check]:[Space in Code]])</calculatedColumnFormula>
    </tableColumn>
    <tableColumn id="19" xr3:uid="{295A1332-F195-485D-8ADF-13707A01BFE0}" name="EQW Total Check" dataDxfId="366">
      <calculatedColumnFormula>IF(EQW[[#This Row],[EquatedWeeks]]&lt;=EQW[[#This Row],[FullTimeWeeks]],0,1)</calculatedColumnFormula>
    </tableColumn>
    <tableColumn id="11" xr3:uid="{054C6C6D-3399-4A0E-A9AC-ECDD3F4A7597}" name="ScenarioCode"/>
    <tableColumn id="2" xr3:uid="{14FF6358-98FD-4441-9E12-FED737ED40C9}" name="EquatedWeekPatternCode" dataDxfId="365"/>
    <tableColumn id="3" xr3:uid="{74214F02-4F0A-41D0-A3A7-9F71BB45F258}" name="EquatedWeekPatternTitle" dataDxfId="364"/>
    <tableColumn id="4" xr3:uid="{FB0C71AD-05BF-4505-9FC7-00E976BC848B}" name="AvailableToAllSchools" dataDxfId="363"/>
    <tableColumn id="5" xr3:uid="{CC9C875D-0012-4962-A540-065C05ED8946}" name="SchoolCodes" dataDxfId="362"/>
    <tableColumn id="6" xr3:uid="{0CDCBD83-FA86-4184-A8C3-9080A73EBA3F}" name="ServiceYearsFrom" dataDxfId="361"/>
    <tableColumn id="7" xr3:uid="{EA1661AB-F06F-4D78-867C-222464C96612}" name="ServiceYearsTo" dataDxfId="360"/>
    <tableColumn id="8" xr3:uid="{0AC41663-9A05-467D-BB57-9C587CD42ACB}" name="EquatedWeeks" dataDxfId="359"/>
    <tableColumn id="9" xr3:uid="{2A332B1C-4E21-4EA9-AC8D-F6BE59E77317}" name="FullTimeWeeks" dataDxfId="358"/>
    <tableColumn id="10" xr3:uid="{136BBE74-50CD-40CC-B846-EF2B532B38C0}" name="EquatedWeekPatternEnabled" dataDxfId="357"/>
  </tableColumns>
  <tableStyleInfo name="IMP Colours"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75D7597C-E2B7-472B-BC74-0B21E45E578D}" name="SRG" displayName="SRG" ref="A1:AT18" totalsRowShown="0" headerRowDxfId="356" dataDxfId="355">
  <autoFilter ref="A1:AT18" xr:uid="{0581573B-A618-4FEF-9CF9-A850BA76383D}"/>
  <tableColumns count="46">
    <tableColumn id="18" xr3:uid="{034E8002-A249-4806-99AD-80017472F988}" name="Duplicate SRG Code" dataDxfId="354">
      <calculatedColumnFormula>COUNTIF(SRG[StaffRoleGroupCode],SRG[[#This Row],[StaffRoleGroupCode]])-1</calculatedColumnFormula>
    </tableColumn>
    <tableColumn id="19" xr3:uid="{B75066A7-6ECA-4094-8BA8-625906F7A526}" name="Duplicate Title" dataDxfId="353">
      <calculatedColumnFormula>COUNTIF(SRG[Title],SRG[[#This Row],[Title]])-1</calculatedColumnFormula>
    </tableColumn>
    <tableColumn id="23" xr3:uid="{D4D54CB2-1A1D-4399-89AD-9EAEFA9C7E28}" name="Minimum Wage Ledger Issue" dataDxfId="352">
      <calculatedColumnFormula>IFERROR(IF(_xlfn.XLOOKUP(SRG[[#This Row],[MinimumWageTopupFinanceCode]],FC_import[FinanceCode],FC_import[LedgerCode])=_xlfn.XLOOKUP(SRG[[#This Row],[GrossSalaryFinanceCode]],FinanceCodesBudget[FinanceCode],FinanceCodesBudget[LedgerCode]),0,1),1)</calculatedColumnFormula>
    </tableColumn>
    <tableColumn id="24" xr3:uid="{50221C58-C98E-49E8-89E4-4AD8D37893B9}" name="Living Wage Ledger Issue" dataDxfId="351">
      <calculatedColumnFormula>IFERROR(IF(_xlfn.XLOOKUP(SRG[[#This Row],[LivingWageTopupFinanceCode]],FC_import[FinanceCode],FC_import[LedgerCode])=_xlfn.XLOOKUP(SRG[[#This Row],[GrossSalaryFinanceCode]],FinanceCodesBudget[FinanceCode],FinanceCodesBudget[LedgerCode]),0,1),1)</calculatedColumnFormula>
    </tableColumn>
    <tableColumn id="25" xr3:uid="{C86B1ED4-7BBD-47AF-A46C-D5E78A8F4154}" name="Opt Out Pens Ledger Issue" dataDxfId="350">
      <calculatedColumnFormula>IFERROR(IF(_xlfn.XLOOKUP(SRG[[#This Row],[OptOutPensionFinanceCode]],FC_import[FinanceCode],FC_import[LedgerCode])=_xlfn.XLOOKUP(SRG[[#This Row],[GrossSalaryFinanceCode]],FinanceCodesBudget[FinanceCode],FinanceCodesBudget[LedgerCode]),0,1),1)</calculatedColumnFormula>
    </tableColumn>
    <tableColumn id="26" xr3:uid="{1768AE25-5266-494D-8096-8C05046C95E9}" name="Gross Salary FC Issue" dataDxfId="349">
      <calculatedColumnFormula>IF(COUNTIF(FinanceCodesBudget[FinanceCode],SRG[[#This Row],[GrossSalaryFinanceCode]])&gt;0,0,1)</calculatedColumnFormula>
    </tableColumn>
    <tableColumn id="22" xr3:uid="{31AFF5B2-4804-40A3-A9DF-D35B410E200C}" name="Gross Salary FC &gt;1" dataDxfId="348">
      <calculatedColumnFormula>IF(SRG[[#This Row],[Gross Salary FC Issue]]=0,COUNTIF(FinanceCodesBudget[FinanceCode],SRG[[#This Row],[GrossSalaryFinanceCode]])-1,0)</calculatedColumnFormula>
    </tableColumn>
    <tableColumn id="27" xr3:uid="{AB6B8FB6-5B86-403F-9883-2892E5145F21}" name="Leave Rebate FC Issue" dataDxfId="347">
      <calculatedColumnFormula>IF(COUNTIF(FinanceCodesBudget[FinanceCode],SRG[[#This Row],[LeaveRebateFinanceCode]])&gt;0,0,1)</calculatedColumnFormula>
    </tableColumn>
    <tableColumn id="35" xr3:uid="{2C4773BE-82AB-47E4-AF62-E701C8C78BE1}" name="Leave Rebate FC &gt;1" dataDxfId="346">
      <calculatedColumnFormula>IF(SRG[[#This Row],[Leave Rebate FC Issue]]=0,COUNTIF(FinanceCodesBudget[FinanceCode],SRG[[#This Row],[LeaveRebateFinanceCode]])-1,0)</calculatedColumnFormula>
    </tableColumn>
    <tableColumn id="28" xr3:uid="{475EAB67-3122-46F8-8E57-7A36BC4E9949}" name="Allowance FC Issue" dataDxfId="345">
      <calculatedColumnFormula>IF(COUNTIF(FinanceCodesBudget[FinanceCode],SRG[[#This Row],[AllowanceTypesFinanceCode]])&gt;0,0,1)</calculatedColumnFormula>
    </tableColumn>
    <tableColumn id="36" xr3:uid="{09327200-E7B0-45AC-8B0F-EBB7E4C1EAE0}" name="Allowance FC &gt;1" dataDxfId="344">
      <calculatedColumnFormula>IF(SRG[[#This Row],[Allowance FC Issue]]=0,COUNTIF(FinanceCodesBudget[FinanceCode],SRG[[#This Row],[AllowanceTypesFinanceCode]])-1,0)</calculatedColumnFormula>
    </tableColumn>
    <tableColumn id="39" xr3:uid="{5044B496-2565-4766-80FE-7ED314617E63}" name="Adj FC Issue" dataDxfId="343">
      <calculatedColumnFormula>IF(COUNTIF(FinanceCodesBudget[FinanceCode],SRG[[#This Row],[AdjustmentsFinanceCode]])&gt;0,0,1)</calculatedColumnFormula>
    </tableColumn>
    <tableColumn id="40" xr3:uid="{A5E3B564-42F2-4E8D-BCCE-36ACB76E1982}" name="Adj FC &gt;1" dataDxfId="342">
      <calculatedColumnFormula>IF(SRG[[#This Row],[Adj FC Issue]]=0,COUNTIF(FinanceCodesBudget[FinanceCode],SRG[[#This Row],[AdjustmentsFinanceCode]])-1,0)</calculatedColumnFormula>
    </tableColumn>
    <tableColumn id="29" xr3:uid="{130D8823-00D3-4D8E-876F-CB0AE229E9FC}" name="NI FC Issue" dataDxfId="341">
      <calculatedColumnFormula>IF(COUNTIF(FinanceCodesBudget[FinanceCode],SRG[[#This Row],[EmployersNiFinanceCode]])&gt;0,0,1)</calculatedColumnFormula>
    </tableColumn>
    <tableColumn id="37" xr3:uid="{BF06CFF3-A6A0-4A26-A1BF-34D247C51BEE}" name="NI FC &gt;1" dataDxfId="340">
      <calculatedColumnFormula>IF(SRG[[#This Row],[NI FC Issue]]=0,COUNTIF(FinanceCodesBudget[FinanceCode],SRG[[#This Row],[EmployersNiFinanceCode]])-1,0)</calculatedColumnFormula>
    </tableColumn>
    <tableColumn id="30" xr3:uid="{CB928242-8552-4ADE-AA93-89D68C4D786E}" name="Pension FC Issue" dataDxfId="339">
      <calculatedColumnFormula>IF(COUNTIF(FinanceCodesBudget[FinanceCode],SRG[[#This Row],[PensionFinanceCode]])&gt;0,0,1)</calculatedColumnFormula>
    </tableColumn>
    <tableColumn id="38" xr3:uid="{57EE6CE3-8D81-40EF-811E-4EF774C48B7E}" name="Pension FC &gt;1" dataDxfId="338">
      <calculatedColumnFormula>IF(SRG[[#This Row],[Pension FC Issue]]=0,COUNTIF(FinanceCodesBudget[FinanceCode],SRG[[#This Row],[PensionFinanceCode]])-1,0)</calculatedColumnFormula>
    </tableColumn>
    <tableColumn id="32" xr3:uid="{4D200519-73B8-44C0-AABD-080176327F57}" name="Weekly FTE Issue" dataDxfId="337">
      <calculatedColumnFormula>IFERROR(IF(_xlfn.XLOOKUP(SRG[[#This Row],[WeeklyFteFinanceCode]],FC_import[FinanceCode],FC_import[LedgerCode])=_xlfn.XLOOKUP(SRG[[#This Row],[GrossSalaryFinanceCode]],FinanceCodesBudget[FinanceCode],FinanceCodesBudget[LedgerCode]),0,1),1)</calculatedColumnFormula>
    </tableColumn>
    <tableColumn id="13" xr3:uid="{EB32130A-3260-4709-9AA4-C5F7E3F1D689}" name="Annual FTE Issue" dataDxfId="336">
      <calculatedColumnFormula>IFERROR(IF(_xlfn.XLOOKUP(SRG[[#This Row],[AnnualFteFinanceCode]],FC_import[FinanceCode],FC_import[LedgerCode])=_xlfn.XLOOKUP(SRG[[#This Row],[GrossSalaryFinanceCode]],FinanceCodesBudget[FinanceCode],FinanceCodesBudget[LedgerCode]),0,1),1)</calculatedColumnFormula>
    </tableColumn>
    <tableColumn id="43" xr3:uid="{60DE3A97-5553-40DB-881B-94A76B3F7B46}" name="Weekly FTE Leave Adj Issue" dataDxfId="335">
      <calculatedColumnFormula>IFERROR(IF(_xlfn.XLOOKUP(SRG[[#This Row],[WeeklyFteLeaveAdjustmentFinanceCode]],FC_import[FinanceCode],FC_import[LedgerCode])=_xlfn.XLOOKUP(SRG[[#This Row],[GrossSalaryFinanceCode]],FinanceCodesBudget[FinanceCode],FinanceCodesBudget[LedgerCode]),0,1),1)</calculatedColumnFormula>
    </tableColumn>
    <tableColumn id="44" xr3:uid="{F282ADCE-E19C-49BC-822E-393902E04A1A}" name="Annual FTE Leave Adj Issue" dataDxfId="334">
      <calculatedColumnFormula>IFERROR(IF(_xlfn.XLOOKUP(SRG[[#This Row],[AnnualFteLeaveAdjustmentFinanceCode]],FC_import[FinanceCode],FC_import[LedgerCode])=_xlfn.XLOOKUP(SRG[[#This Row],[GrossSalaryFinanceCode]],FinanceCodesBudget[FinanceCode],FinanceCodesBudget[LedgerCode]),0,1),1)</calculatedColumnFormula>
    </tableColumn>
    <tableColumn id="45" xr3:uid="{EE2DC20C-CC61-47B1-8A4B-0928FD612669}" name="TRUE /FALSE Typo" dataDxfId="333">
      <calculatedColumnFormula>IF(OR(SRG[[#This Row],[StaffRoleGroupEnabled]]=TRUE,SRG[[#This Row],[StaffRoleGroupEnabled]]=FALSE),IF(OR(SRG[[#This Row],[TeachingRoleGroup]]=TRUE,SRG[[#This Row],[TeachingRoleGroup]]=FALSE),0,1),1)</calculatedColumnFormula>
    </tableColumn>
    <tableColumn id="20" xr3:uid="{8AC49AC2-07D3-4971-AF74-773D024D77D3}" name="Code Length" dataDxfId="332">
      <calculatedColumnFormula>IF(LEN(SRG[[#This Row],[StaffRoleGroupCode]])&lt;100,0,1)</calculatedColumnFormula>
    </tableColumn>
    <tableColumn id="21" xr3:uid="{FCF70F47-2D3A-425E-9296-54CC28B58E81}" name="Title Length" dataDxfId="331">
      <calculatedColumnFormula>IF(LEN(SRG[[#This Row],[Title]])&lt;100,0,1)</calculatedColumnFormula>
    </tableColumn>
    <tableColumn id="47" xr3:uid="{E513A059-2978-4617-8F50-1CEFEEE606D2}" name="Space in Code" dataDxfId="330">
      <calculatedColumnFormula>IF(SUBSTITUTE(TEXT(SRG[[#This Row],[StaffRoleGroupCode]],10)," ","")=TEXT(SRG[[#This Row],[StaffRoleGroupCode]],10),0,1)</calculatedColumnFormula>
    </tableColumn>
    <tableColumn id="33" xr3:uid="{B468B01A-B91D-4687-8F63-A1B24A9C7C95}" name="Will Import if 0" dataDxfId="329">
      <calculatedColumnFormula>SUM(SRG[[#This Row],[Duplicate SRG Code]:[Space in Code]])</calculatedColumnFormula>
    </tableColumn>
    <tableColumn id="1" xr3:uid="{13598586-87F1-4165-93D1-68CF2F9F5C77}" name="ScenarioCode" dataDxfId="328"/>
    <tableColumn id="2" xr3:uid="{92FA18DC-BE3E-4969-981F-A34CB8BDC965}" name="StaffRoleGroupCode" dataDxfId="327"/>
    <tableColumn id="3" xr3:uid="{3A4DA6B1-4333-4A27-9FF3-EFC5277C6B09}" name="Title" dataDxfId="326"/>
    <tableColumn id="4" xr3:uid="{C7629AAA-5F18-4B80-8DEC-8A6F32B08CE7}" name="GrossSalaryFinanceCode" dataDxfId="325"/>
    <tableColumn id="5" xr3:uid="{E4330DF2-4BD0-4F7E-B170-7DF42C9BC667}" name="LeaveRebateFinanceCode" dataDxfId="324">
      <calculatedColumnFormula>SRG[[#This Row],[GrossSalaryFinanceCode]]</calculatedColumnFormula>
    </tableColumn>
    <tableColumn id="6" xr3:uid="{BEA1071E-2AFE-4A74-9D43-7D726C610E6E}" name="AllowanceTypesFinanceCode" dataDxfId="323">
      <calculatedColumnFormula>SRG[[#This Row],[GrossSalaryFinanceCode]]</calculatedColumnFormula>
    </tableColumn>
    <tableColumn id="16" xr3:uid="{CAE987C2-A3DF-4266-93D7-62FC6436386D}" name="AdjustmentsFinanceCode" dataDxfId="322">
      <calculatedColumnFormula>SRG[[#This Row],[GrossSalaryFinanceCode]]</calculatedColumnFormula>
    </tableColumn>
    <tableColumn id="7" xr3:uid="{05F0E35E-9DEB-4FD8-936D-9D8D1BF731A9}" name="MinimumWageTopupFinanceCode" dataDxfId="321"/>
    <tableColumn id="8" xr3:uid="{6E938945-B365-416C-A3D8-C0E409BB65C2}" name="LivingWageTopupFinanceCode" dataDxfId="320"/>
    <tableColumn id="9" xr3:uid="{E4C532D4-9408-49A1-9DA9-03233534ABCD}" name="EmployersNiFinanceCode" dataDxfId="319"/>
    <tableColumn id="10" xr3:uid="{0533C1FE-4EFB-44B5-BF22-799D420A57B7}" name="PensionFinanceCode" dataDxfId="318"/>
    <tableColumn id="11" xr3:uid="{9AFFE28F-9BC7-4E99-A896-42638B3900B7}" name="OptOutPensionFinanceCode" dataDxfId="317"/>
    <tableColumn id="12" xr3:uid="{A355EBCF-1FEE-408D-80DA-ACE524F47981}" name="OtherSalaryCostsFinanceCode" dataDxfId="316">
      <calculatedColumnFormula>SRG[[#This Row],[GrossSalaryFinanceCode]]</calculatedColumnFormula>
    </tableColumn>
    <tableColumn id="34" xr3:uid="{F06C1630-A310-499F-8C5C-73CC4323BD2F}" name="WeeklyFteFinanceCode" dataDxfId="315"/>
    <tableColumn id="31" xr3:uid="{FE231124-21D3-498A-A1D1-889BAE9DEA12}" name="AnnualFteFinanceCode" dataDxfId="314"/>
    <tableColumn id="41" xr3:uid="{002DAFDB-A82D-4B40-9BEB-DA376EA27C0F}" name="WeeklyFteLeaveAdjustmentFinanceCode" dataDxfId="313"/>
    <tableColumn id="42" xr3:uid="{D8F9C3E8-065D-4128-AE9A-7A4A0D911987}" name="AnnualFteLeaveAdjustmentFinanceCode" dataDxfId="312"/>
    <tableColumn id="14" xr3:uid="{B9923DB8-4295-4A03-AE62-387D1C2B4CFA}" name="TeachingRoleGroup" dataDxfId="311"/>
    <tableColumn id="15" xr3:uid="{24F510BB-9862-4D7E-A2BA-2AFF3A189269}" name="StaffRoleGroupEnabled" dataDxfId="310"/>
    <tableColumn id="17" xr3:uid="{46E17FAC-0940-4E6E-96F4-14DBC729F22C}" name="IncrementCount" dataDxfId="309"/>
  </tableColumns>
  <tableStyleInfo name="IMP Colours"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0941988-8410-4660-9F76-D8627A0415F6}" name="ROLES" displayName="ROLES" ref="A1:Z35" totalsRowShown="0" headerRowDxfId="308" dataDxfId="307">
  <autoFilter ref="A1:Z35" xr:uid="{E0941988-8410-4660-9F76-D8627A0415F6}"/>
  <tableColumns count="26">
    <tableColumn id="1" xr3:uid="{245AA58F-D76B-43F6-8ADD-74339000E012}" name="Duplicate Role Code" dataDxfId="306">
      <calculatedColumnFormula>COUNTIF(ROLES[StaffRoleCode],ROLES[[#This Row],[StaffRoleCode]])-1</calculatedColumnFormula>
    </tableColumn>
    <tableColumn id="2" xr3:uid="{46ACF114-6DFE-4A42-8068-3701C656B705}" name="Duplicate Title" dataDxfId="305">
      <calculatedColumnFormula>COUNTIF(ROLES[Title],ROLES[[#This Row],[Title]])-1</calculatedColumnFormula>
    </tableColumn>
    <tableColumn id="3" xr3:uid="{1B9EA6BE-90F4-48D3-9481-AEB02879CD50}" name="SRG Gross Salary School Issue" dataDxfId="304">
      <calculatedColumnFormula>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calculatedColumnFormula>
    </tableColumn>
    <tableColumn id="19" xr3:uid="{FF977C2B-E4B2-45A0-BD3D-691AF413F2AF}" name="SRG NI School Issue" dataDxfId="303">
      <calculatedColumnFormula>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calculatedColumnFormula>
    </tableColumn>
    <tableColumn id="20" xr3:uid="{F4548F06-7D18-4A62-B4AC-285D45AE868A}" name="SRG Pension School Issue" dataDxfId="302">
      <calculatedColumnFormula>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calculatedColumnFormula>
    </tableColumn>
    <tableColumn id="4" xr3:uid="{2A9D840B-98C0-42C7-A3D0-D67D3FCF3E7B}" name="Pay Scale issue" dataDxfId="301">
      <calculatedColumnFormula>IF(COUNTIF(PAYSCALES[PayScaleCode],ROLES[[#This Row],[PayScaleCode]])&gt;0,0,1)</calculatedColumnFormula>
    </tableColumn>
    <tableColumn id="22" xr3:uid="{22D01154-5349-41CC-B48D-EE8D07C0FE9C}" name="PayScaleCode Available to School" dataDxfId="300">
      <calculatedColumnFormula array="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calculatedColumnFormula>
    </tableColumn>
    <tableColumn id="23" xr3:uid="{913778F1-9BF3-441C-BF59-2668FC4D8E69}" name="Schools Check" dataDxfId="299">
      <calculatedColumnFormula>IF(ROLES[[#This Row],[AvailableToAllSchools]]=FALSE,IF(ISBLANK(ROLES[[#This Row],[SchoolCodes]]),1,0),IF(ROLES[[#This Row],[AvailableToAllSchools]]=TRUE,IF(ISBLANK(ROLES[[#This Row],[SchoolCodes]]),0,)))</calculatedColumnFormula>
    </tableColumn>
    <tableColumn id="27" xr3:uid="{7A75F769-AA5F-4139-ACDD-4848AF1F8BEE}" name="TRUE /FALSE Typo" dataDxfId="298">
      <calculatedColumnFormula>IF(OR(ROLES[[#This Row],[StaffRoleEnabled]]=TRUE,ROLES[[#This Row],[StaffRoleEnabled]]=FALSE),IF(OR(ROLES[[#This Row],[AvailableToAllSchools]]=TRUE,ROLES[[#This Row],[AvailableToAllSchools]]=FALSE),0,1),1)</calculatedColumnFormula>
    </tableColumn>
    <tableColumn id="18" xr3:uid="{E5134C21-0051-4CFF-A54F-AA5777347175}" name="Code Length" dataDxfId="297">
      <calculatedColumnFormula>IF(LEN(ROLES[[#This Row],[StaffRoleCode]])&lt;100,0,1)</calculatedColumnFormula>
    </tableColumn>
    <tableColumn id="17" xr3:uid="{AD990528-E150-4345-B4E6-AE52500EB5FB}" name="Title Length" dataDxfId="296">
      <calculatedColumnFormula>IF(LEN(ROLES[[#This Row],[Title]])&lt;100,0,1)</calculatedColumnFormula>
    </tableColumn>
    <tableColumn id="26" xr3:uid="{0BEEC624-6D5A-4CFD-A66E-EA6B430A2878}" name="Blank in column" dataDxfId="295">
      <calculatedColumnFormula>(COUNTBLANK(ROLES[[#This Row],[MonthsServiceBeforeIncrement]:[StaffRoleEnabled]]))+COUNTBLANK(ROLES[[#This Row],[FullTimeHoursPerWeek]])</calculatedColumnFormula>
    </tableColumn>
    <tableColumn id="25" xr3:uid="{DFD6BAEB-F08A-4491-93E7-E2BD5C56CF96}" name="Space in Code" dataDxfId="294">
      <calculatedColumnFormula>IF(SUBSTITUTE(TEXT(ROLES[[#This Row],[StaffRoleCode]],10)," ","")=TEXT(ROLES[[#This Row],[StaffRoleCode]],10),0,1)</calculatedColumnFormula>
    </tableColumn>
    <tableColumn id="5" xr3:uid="{5622D2BD-D94D-4C13-BB37-DCD4A57BCB7D}" name="Will Import if 0" dataDxfId="293">
      <calculatedColumnFormula>SUM(ROLES[[#This Row],[Duplicate Role Code]:[Space in Code]])</calculatedColumnFormula>
    </tableColumn>
    <tableColumn id="6" xr3:uid="{9ADAFE2F-1DA0-4009-AF2A-65DEBC54CEB3}" name="ScenarioCode" dataDxfId="292"/>
    <tableColumn id="7" xr3:uid="{3FF590B5-9005-4DE8-856B-017968C20E85}" name="StaffRoleGroupCode" dataDxfId="291"/>
    <tableColumn id="8" xr3:uid="{AE27F939-C402-494F-8E1E-17A10E621D31}" name="StaffRoleCode" dataDxfId="290"/>
    <tableColumn id="9" xr3:uid="{320C7696-8120-4E9F-8F96-1746786F0C1F}" name="Title" dataDxfId="289"/>
    <tableColumn id="10" xr3:uid="{1526ADA5-8C5B-4F57-82E7-5E4DF11118C5}" name="PayScaleCode" dataDxfId="288"/>
    <tableColumn id="11" xr3:uid="{EA718195-388F-4E94-ADA0-E41A16AF5644}" name="FullTimeHoursPerWeek" dataDxfId="287"/>
    <tableColumn id="12" xr3:uid="{9679BC8A-C6D0-4CFD-B910-0FAF2E037E34}" name="AvailableToAllSchools" dataDxfId="286">
      <calculatedColumnFormula>_xlfn.XLOOKUP(ROLES[[#This Row],[PayScaleCode]],'19_PayScales'!N:N,'19_PayScales'!T:T)</calculatedColumnFormula>
    </tableColumn>
    <tableColumn id="13" xr3:uid="{EF331467-467C-4A2E-B820-3F07163273E9}" name="SchoolCodes" dataDxfId="285">
      <calculatedColumnFormula>IF(ROLES[[#This Row],[AvailableToAllSchools]]=TRUE,"",_xlfn.XLOOKUP(ROLES[[#This Row],[PayScaleCode]],'19_PayScales'!N:N,'19_PayScales'!U:U))</calculatedColumnFormula>
    </tableColumn>
    <tableColumn id="14" xr3:uid="{F1038905-DF10-4A5A-A037-5A89E803408A}" name="MonthsServiceBeforeIncrement" dataDxfId="284"/>
    <tableColumn id="15" xr3:uid="{8E915A58-DFA6-49B4-816A-7AD1E63533B8}" name="DaysServiceBeforeIncrement" dataDxfId="283"/>
    <tableColumn id="16" xr3:uid="{45BACAC4-C83E-463D-AA78-B6F3D4992E4C}" name="StaffRoleEnabled" dataDxfId="282"/>
    <tableColumn id="21" xr3:uid="{2C2FE1B6-EE8D-4548-8C83-442B080E6B3F}" name="IsFinanceRole" dataDxfId="281"/>
  </tableColumns>
  <tableStyleInfo name="IMP Colours"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F507ED3E-05A9-4643-9307-4BB03BE097F9}" name="Gender" displayName="Gender" ref="A1:B4" totalsRowShown="0" headerRowDxfId="280" dataDxfId="278" headerRowBorderDxfId="279" tableBorderDxfId="277" totalsRowBorderDxfId="276">
  <autoFilter ref="A1:B4" xr:uid="{F507ED3E-05A9-4643-9307-4BB03BE097F9}"/>
  <tableColumns count="2">
    <tableColumn id="1" xr3:uid="{171A0820-8B11-4ADC-9F34-D4FA0E5AB8BB}" name="Code" dataDxfId="275"/>
    <tableColumn id="2" xr3:uid="{53FF5F6A-5716-4784-BFDD-68D309047845}" name="Title" dataDxfId="274"/>
  </tableColumns>
  <tableStyleInfo name="IMP Colours"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861A589E-BEB7-4E9A-9A41-5E8A53C91F55}" name="ContractTypes" displayName="ContractTypes" ref="A1:B9" totalsRowShown="0" headerRowDxfId="273" dataDxfId="271" headerRowBorderDxfId="272" tableBorderDxfId="270" totalsRowBorderDxfId="269">
  <autoFilter ref="A1:B9" xr:uid="{F507ED3E-05A9-4643-9307-4BB03BE097F9}"/>
  <tableColumns count="2">
    <tableColumn id="1" xr3:uid="{1BBDBED4-A529-49C4-A104-EEBAEBD1623C}" name="Code" dataDxfId="268"/>
    <tableColumn id="2" xr3:uid="{41819A69-71FB-4160-A075-3E3F4216002C}" name="Title" dataDxfId="267"/>
  </tableColumns>
  <tableStyleInfo name="IMP Colours"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B8C8920-F7B3-42B4-8F22-85D0E44A43B3}" name="MEMBERS" displayName="MEMBERS" ref="A1:AC3" totalsRowShown="0" headerRowDxfId="266" dataDxfId="265">
  <autoFilter ref="A1:AC3" xr:uid="{7B8C8920-F7B3-42B4-8F22-85D0E44A43B3}"/>
  <tableColumns count="29">
    <tableColumn id="1" xr3:uid="{047041E2-BD3C-4F49-8A5F-48D28E74F988}" name="NameServiceStart" dataDxfId="264">
      <calculatedColumnFormula>MEMBERS[[#This Row],[Title]]&amp;MEMBERS[[#This Row],[ServiceStartDate]]</calculatedColumnFormula>
    </tableColumn>
    <tableColumn id="15" xr3:uid="{0852CD61-860F-4C19-B399-873A33F5A7EF}" name="Duplicate NameService Start" dataDxfId="263">
      <calculatedColumnFormula>IF(COUNTIF(MEMBERS[NameServiceStart],MEMBERS[[#This Row],[NameServiceStart]])=1,0,1)</calculatedColumnFormula>
    </tableColumn>
    <tableColumn id="2" xr3:uid="{0345CC83-35B4-4DC3-84A4-202C8C811BF1}" name="Duplicate Staff Member Code" dataDxfId="262">
      <calculatedColumnFormula>IF(COUNTIF(MEMBERS[StaffMemberCode],MEMBERS[[#This Row],[StaffMemberCode]])=1,0,1)</calculatedColumnFormula>
    </tableColumn>
    <tableColumn id="22" xr3:uid="{987A70A5-F1CA-487A-A5CC-96E1A99BFA1A}" name="Payroll Location" dataDxfId="261">
      <calculatedColumnFormula>IF(ISBLANK(MEMBERS[[#This Row],[PayrollLocation]]),0,IF(COUNTIF(SCHOOLS[SchoolCode],MEMBERS[[#This Row],[PayrollLocation]])=1,0,1))</calculatedColumnFormula>
    </tableColumn>
    <tableColumn id="24" xr3:uid="{DF2C599B-97B9-4C14-900B-BFF071738F3E}" name="Schools Check" dataDxfId="260">
      <calculatedColumnFormula>IF(MEMBERS[[#This Row],[AvailableToAllSchools]]=FALSE,IF(ISBLANK(MEMBERS[[#This Row],[SchoolCodes]]),1,0),IF(MEMBERS[[#This Row],[AvailableToAllSchools]]=TRUE,IF(ISBLANK(MEMBERS[[#This Row],[SchoolCodes]]),0,1)))</calculatedColumnFormula>
    </tableColumn>
    <tableColumn id="31" xr3:uid="{D6878AEA-53D2-44F9-AE95-CB95B78D1911}" name="Dates From/To Issue" dataDxfId="259">
      <calculatedColumnFormula>IF(ISBLANK(MEMBERS[[#This Row],[ServiceEndDate]]),0,IF(MEMBERS[[#This Row],[ServiceStartDate]]&lt;MEMBERS[[#This Row],[ServiceEndDate]],0,1))</calculatedColumnFormula>
    </tableColumn>
    <tableColumn id="25" xr3:uid="{6698DE52-57BE-4729-939E-C560F62CBA0C}" name="Date Format Issue" dataDxfId="258">
      <calculatedColumnFormula array="1">IF(CELL("format",MEMBERS[[#This Row],[ServiceStartDate]])="D1",0,1)+IF(CELL("format",MEMBERS[[#This Row],[ServiceEndDate]])="D1",0,1)</calculatedColumnFormula>
    </tableColumn>
    <tableColumn id="30" xr3:uid="{5396A78D-884B-4E68-B4A3-857C3F2BA29A}" name="TRUE /FALSE Typo" dataDxfId="257">
      <calculatedColumnFormula>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calculatedColumnFormula>
    </tableColumn>
    <tableColumn id="29" xr3:uid="{3BB0DB52-C8DF-4A7B-A7E0-9879ED243F1B}" name="Code Length" dataDxfId="256">
      <calculatedColumnFormula>IF(LEN(MEMBERS[[#This Row],[StaffMemberCode]])&lt;100,0,1)</calculatedColumnFormula>
    </tableColumn>
    <tableColumn id="28" xr3:uid="{81C24955-4B75-455C-8D1A-620EF97ACE02}" name="Title Length" dataDxfId="255">
      <calculatedColumnFormula>IF(LEN(MEMBERS[[#This Row],[Title]])&lt;100,0,1)</calculatedColumnFormula>
    </tableColumn>
    <tableColumn id="18" xr3:uid="{9558F01B-5877-43E8-84B8-F518446B16B3}" name="Blank in column" dataDxfId="254">
      <calculatedColumnFormula>COUNTBLANK(MEMBERS[[#This Row],[StaffMemberCode]:[ServiceStartDate]])+COUNTBLANK(MEMBERS[[#This Row],[Apprenticeship]]:MEMBERS[[#This Row],[StaffMemberEnabled]])+COUNTBLANK(MEMBERS[[#This Row],[GenderCode]]:MEMBERS[[#This Row],[Casual]])</calculatedColumnFormula>
    </tableColumn>
    <tableColumn id="23" xr3:uid="{2FA0DB43-7EF1-4867-9869-E14842223057}" name="Space in Code" dataDxfId="253">
      <calculatedColumnFormula>IF(SUBSTITUTE(TEXT(MEMBERS[[#This Row],[StaffMemberCode]],10)," ","")=TEXT(MEMBERS[[#This Row],[StaffMemberCode]],10),0,1)</calculatedColumnFormula>
    </tableColumn>
    <tableColumn id="3" xr3:uid="{DEB79F99-1601-4F6A-9C88-6EAFA03749C6}" name="Will Import if 0" dataDxfId="252">
      <calculatedColumnFormula>SUM(MEMBERS[[#This Row],[Duplicate NameService Start]:[Space in Code]])</calculatedColumnFormula>
    </tableColumn>
    <tableColumn id="4" xr3:uid="{B4DE96C3-4BAA-4070-BCA9-245D3BE0F128}" name="ScenarioCode" dataDxfId="251"/>
    <tableColumn id="5" xr3:uid="{A481250E-F6A8-44BC-98E3-95EF71AC3CF0}" name="StaffMemberCode" dataDxfId="250"/>
    <tableColumn id="20" xr3:uid="{9F301D34-9908-4B0D-8BC6-0F14006FF599}" name="FirstName" dataDxfId="249"/>
    <tableColumn id="19" xr3:uid="{7DD33462-8620-4F22-98FD-912D2E713C04}" name="LastName" dataDxfId="248"/>
    <tableColumn id="6" xr3:uid="{9E066F12-97C2-46E5-8B48-D157CA34577B}" name="Title" dataDxfId="247">
      <calculatedColumnFormula>MEMBERS[[#This Row],[FirstName]]&amp;" "&amp;MEMBERS[[#This Row],[LastName]]</calculatedColumnFormula>
    </tableColumn>
    <tableColumn id="8" xr3:uid="{CC0CAC37-E5C9-4649-94FF-8076B38C9D45}" name="ServiceStartDate" dataDxfId="246"/>
    <tableColumn id="21" xr3:uid="{9CE005EC-27D2-4D8B-9F0D-CBA1A90C58AF}" name="ServiceEndDate" dataDxfId="245"/>
    <tableColumn id="9" xr3:uid="{8605F492-E132-4367-BF15-8D5ACC52C674}" name="DateOfBirth" dataDxfId="244"/>
    <tableColumn id="10" xr3:uid="{F3A3F365-636F-4C9B-8942-41C3BA8B9C27}" name="Apprenticeship" dataDxfId="243"/>
    <tableColumn id="7" xr3:uid="{711EB927-FDAD-4FDE-8D6F-4FEEB329700A}" name="PensionOptOut" dataDxfId="242"/>
    <tableColumn id="11" xr3:uid="{275BD446-A9E0-4081-88B8-CB47154DA41A}" name="AvailableToAllSchools" dataDxfId="241"/>
    <tableColumn id="12" xr3:uid="{9749D7BA-C9EE-47B3-B582-E3288B4E7951}" name="SchoolCodes" dataDxfId="240"/>
    <tableColumn id="13" xr3:uid="{68EF1B85-7A5E-4717-AAF5-72AF3EB5A2FA}" name="StaffMemberEnabled" dataDxfId="239"/>
    <tableColumn id="14" xr3:uid="{245D0054-FCAD-4FE2-A619-A6D06D90AC64}" name="PayrollLocation" dataDxfId="238"/>
    <tableColumn id="16" xr3:uid="{3D8D7CB9-A502-4373-8B32-A252C73CD474}" name="GenderCode" dataDxfId="237"/>
    <tableColumn id="17" xr3:uid="{4899DB3E-3E51-43A3-BBA3-232F32105DB1}" name="Casual" dataDxfId="236"/>
  </tableColumns>
  <tableStyleInfo name="IMP Colours"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CE25C6D0-D107-4B20-9424-1D7586EC53C7}" name="CONT_TEA" displayName="CONT_TEA" ref="A1:AV3" totalsRowShown="0" headerRowDxfId="235" dataDxfId="234">
  <autoFilter ref="A1:AV3" xr:uid="{CE25C6D0-D107-4B20-9424-1D7586EC53C7}"/>
  <tableColumns count="48">
    <tableColumn id="19" xr3:uid="{C62E9C38-FBC8-4677-B546-F17464489C07}" name="Unique Contract" dataDxfId="233">
      <calculatedColumnFormula>AA2&amp;AB2&amp;AC2&amp;AE2&amp;AL2&amp;AP2</calculatedColumnFormula>
    </tableColumn>
    <tableColumn id="20" xr3:uid="{7C8217B2-B33F-4421-B52D-5B74566B9848}" name="Duplicate Contract" dataDxfId="232">
      <calculatedColumnFormula>COUNTIF(CONT_TEA[Unique Contract],CONT_TEA[[#This Row],[Unique Contract]])-1</calculatedColumnFormula>
    </tableColumn>
    <tableColumn id="48" xr3:uid="{822C6751-028F-45D8-8C0E-0B0CC43A1507}" name="Location Issue" dataDxfId="231">
      <calculatedColumnFormula>IFERROR(IF(FIND(CONT_TEA[[#This Row],[SchoolCode]],_xlfn.XLOOKUP(CONT_TEA[[#This Row],[StaffMemberCode]],MEMBERS[StaffMemberCode],MEMBERS[SchoolCodes]))&gt;0,0,1),1)</calculatedColumnFormula>
    </tableColumn>
    <tableColumn id="57" xr3:uid="{50987BF1-445C-4D0E-8AFE-96C6A9DBE59F}" name="Role / School Issue" dataDxfId="230">
      <calculatedColumnFormula array="1">IF(_xlfn.XLOOKUP(CONT_TEA[[#This Row],[StaffRoleCode]],ROLES[StaffRoleCode],ROLES[AvailableToAllSchools],1,0,)=TRUE,0,IF(ISERROR(FIND(CONT_TEA[[#This Row],[SchoolCode]],_xlfn.TEXTJOIN(",",TRUE,_xlfn.UNIQUE(IF(ROLES[StaffRoleCode]=CONT_TEA[[#This Row],[StaffRoleCode]],ROLES[SchoolCodes],""))))),1,0))</calculatedColumnFormula>
    </tableColumn>
    <tableColumn id="49" xr3:uid="{452BB70A-7505-415D-838A-59416FEB727A}" name="SRG FC Issue" dataDxfId="229">
      <calculatedColumnFormula array="1">IF(_xlfn.XLOOKUP(CONT_TEA[[#This Row],[SRG Gross]],FinanceCodesBudget[FinanceCode],FinanceCodesBudget[AvailableToAllSchools],1,0,)=TRUE,0,IF(ISERROR(FIND(CONT_TEA[[#This Row],[SchoolCode]],_xlfn.TEXTJOIN(",",TRUE,_xlfn.UNIQUE(IF(FinanceCodesBudget[FinanceCode]=CONT_TEA[[#This Row],[SRG Gross]],FinanceCodesBudget[SchoolCodes],""))))),1,0))</calculatedColumnFormula>
    </tableColumn>
    <tableColumn id="56" xr3:uid="{159C371C-E233-4392-B380-F626C9D284AB}" name="Pay Scale / School Issue" dataDxfId="228">
      <calculatedColumnFormula array="1">IF(_xlfn.XLOOKUP(CONT_TEA[[#This Row],[PayScaleCode]],PAYSCALES[PayScaleCode],PAYSCALES[AvailableToAllSchools],1,0,)=TRUE,0,IF(ISERROR(FIND(CONT_TEA[[#This Row],[SchoolCode]],_xlfn.TEXTJOIN(",",TRUE,_xlfn.UNIQUE(IF(PAYSCALES[PayScaleCode]=CONT_TEA[[#This Row],[PayScaleCode]],PAYSCALES[SchoolCodes],""))))),1,0))</calculatedColumnFormula>
    </tableColumn>
    <tableColumn id="47" xr3:uid="{D36BDFC0-6602-45CE-9B4D-8275142AF57C}" name="Grade / School Issue" dataDxfId="227">
      <calculatedColumnFormula>IF(_xlfn.XLOOKUP(CONT_TEA[[#This Row],[PayScaleGradeCode]],GRADES[PayScaleGradeCode],GRADES[AvailableToAllSchools])=TRUE,0,IFERROR(IF(FIND(CONT_TEA[[#This Row],[SchoolCode]],_xlfn.XLOOKUP(CONT_TEA[[#This Row],[PayScaleGradeCode]],GRADES[PayScaleGradeCode],GRADES[SchoolCodes]))&gt;=1,0,1),1))</calculatedColumnFormula>
    </tableColumn>
    <tableColumn id="50" xr3:uid="{AFDF99DE-1018-4A35-BD66-13319BE30957}" name="Grade / Pay Scale Issue" dataDxfId="226">
      <calculatedColumnFormula>IF(ISERROR(IF((_xlfn.XLOOKUP(CONT_TEA[[#This Row],[PayScaleGradeCode]],GRADES[PayScaleGradeCode],GRADES[PayScaleCode])=CONT_TEA[[#This Row],[PayScaleCode]]),0,1)),1,0)</calculatedColumnFormula>
    </tableColumn>
    <tableColumn id="52" xr3:uid="{EAD61616-F701-4D9C-919B-EB6B4EB5C70F}" name="Point / Pay Scale Issue" dataDxfId="225">
      <calculatedColumnFormula array="1">IF(ISERROR(FIND(CONT_TEA[[#This Row],[PayScalePointCode]],_xlfn.TEXTJOIN(",",TRUE,IF(PSPOINTS[PayScaleCode]=CONT_TEA[[#This Row],[PayScaleCode]],PSPOINTS[PayScalePointCode])))),1,0)</calculatedColumnFormula>
    </tableColumn>
    <tableColumn id="53" xr3:uid="{1256C095-3848-40B3-AD17-57C0AD99B42E}" name="Point / Grade Issue" dataDxfId="224">
      <calculatedColumnFormula array="1">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calculatedColumnFormula>
    </tableColumn>
    <tableColumn id="54" xr3:uid="{04712B97-8935-423A-B901-E9701DB2F5ED}" name="Scale Point Disabled" dataDxfId="223">
      <calculatedColumnFormula>IF(_xlfn.XLOOKUP(CONT_TEA[[#This Row],[PayScalePointCode]],PSPOINTS[PayScalePointCode],PSPOINTS[PayScalePointEnabled])=TRUE,0,1)</calculatedColumnFormula>
    </tableColumn>
    <tableColumn id="21" xr3:uid="{B68D151D-5614-4BA3-8AB4-E197847A4868}" name="Dept / School Issue" dataDxfId="35">
      <calculatedColumnFormula array="1">IF(_xlfn.XLOOKUP(CONT_TEA[[#This Row],[DepartmentCode]]&amp;"TRUE",DEPTS[DepartmentCode]&amp;DEPTS[AvailableToAllSchools],DEPTS[AvailableToAllSchools],1,0,)=TRUE,0,IF(ISERROR(FIND(CONT_TEA[[#This Row],[SchoolCode]],_xlfn.TEXTJOIN(",",TRUE,_xlfn.UNIQUE(IF(DEPTS[DepartmentCode]=CONT_TEA[[#This Row],[DepartmentCode]],DEPTS[SchoolCodes],""))))),1,0))</calculatedColumnFormula>
    </tableColumn>
    <tableColumn id="28" xr3:uid="{3F64FBC9-6BDE-473A-9CCD-D88742953757}" name="Dept/FC Ledger Issue" dataDxfId="34">
      <calculatedColumnFormula array="1">IFERROR(IF((CONT_TEA[[#This Row],[DepartmentCode]]&amp;CONT_TEA[[#This Row],[Ledger]])=_xlfn.XLOOKUP(CONT_TEA[[#This Row],[DepartmentCode]]&amp;CONT_TEA[[#This Row],[Ledger]],DEPTS[DepartmentCode]&amp;DEPTS[LedgerCode],DEPTS[DepartmentCode]&amp;DEPTS[LedgerCode]),0,1),1)</calculatedColumnFormula>
    </tableColumn>
    <tableColumn id="22" xr3:uid="{5C90C7E1-0066-4A30-8733-2DAB56D10F6E}" name="Pension Issue" dataDxfId="222">
      <calculatedColumnFormula array="1">IF(_xlfn.XLOOKUP(CONT_TEA[[#This Row],[PensionCode]],PENS[PensionCode],PENS[AvailableToAllSchools],1,0,)=TRUE,0,IF(ISERROR(FIND(CONT_TEA[[#This Row],[SchoolCode]],_xlfn.TEXTJOIN(",",TRUE,_xlfn.UNIQUE(IF(PENS[PensionCode]=CONT_TEA[[#This Row],[PensionCode]],PENS[SchoolCodes],""))))),1,0))</calculatedColumnFormula>
    </tableColumn>
    <tableColumn id="23" xr3:uid="{7B5FBC96-319E-4D4D-A8EF-A3C86D2B93E5}" name="EQWP Issue" dataDxfId="221">
      <calculatedColumnFormula array="1">IF(_xlfn.XLOOKUP(CONT_TEA[[#This Row],[EquatedWeekPatternCode]],EQW[EquatedWeekPatternCode],EQW[AvailableToAllSchools],1,0,)=TRUE,0,IF(ISERROR(FIND(CONT_TEA[[#This Row],[SchoolCode]],_xlfn.TEXTJOIN(",",TRUE,_xlfn.UNIQUE(IF(EQW[EquatedWeekPatternCode]=CONT_TEA[[#This Row],[EquatedWeekPatternCode]],EQW[SchoolCodes],""))))),1,0))</calculatedColumnFormula>
    </tableColumn>
    <tableColumn id="38" xr3:uid="{87DEFDB5-F4C5-42F1-8646-1EF6ACBC5ED1}" name="Contract Type Issue" dataDxfId="220">
      <calculatedColumnFormula>1-COUNTIF(ContractTypes[Code],CONT_TEA[[#This Row],[ContractTypeCode]])</calculatedColumnFormula>
    </tableColumn>
    <tableColumn id="26" xr3:uid="{5D99F819-CA37-4161-BA72-DC64B1903605}" name="Contract Date From Issue" dataDxfId="219">
      <calculatedColumnFormula>IF(VLOOKUP(CONT_TEA[[#This Row],[StaffMemberCode]],MEMBERS[[StaffMemberCode]:[ServiceStartDate]],5,0)&gt;CONT_TEA[[#This Row],[DateFrom]],1,0)</calculatedColumnFormula>
    </tableColumn>
    <tableColumn id="58" xr3:uid="{1F5A653F-2036-439C-A5A9-0C77618F9FE1}" name="Contract Date To Issue" dataDxfId="218">
      <calculatedColumnFormula>IF(_xlfn.XLOOKUP(CONT_TEA[[#This Row],[StaffMemberCode]],MEMBERS[StaffMemberCode],MEMBERS[ServiceEndDate])="",0,IF(CONT_TEA[[#This Row],[DateTo]]="",1,IF(_xlfn.XLOOKUP(CONT_TEA[[#This Row],[StaffMemberCode]],MEMBERS[StaffMemberCode],MEMBERS[ServiceEndDate])&lt;CONT_TEA[[#This Row],[DateTo]],1,0)))</calculatedColumnFormula>
    </tableColumn>
    <tableColumn id="40" xr3:uid="{52180335-1076-4501-8519-C8E49C0218DD}" name="Dates From/To Issue" dataDxfId="217">
      <calculatedColumnFormula>IF(ISBLANK(CONT_TEA[[#This Row],[DateTo]]),0,IF(CONT_TEA[[#This Row],[DateFrom]]=CONT_TEA[[#This Row],[DateTo]],0,IF(CONT_TEA[[#This Row],[DateFrom]]&lt;CONT_TEA[[#This Row],[DateTo]],0,1)))</calculatedColumnFormula>
    </tableColumn>
    <tableColumn id="24" xr3:uid="{DF09E09D-364C-4F62-B43E-8E93D8B0E9FA}" name="Date Format Issue" dataDxfId="216">
      <calculatedColumnFormula array="1">IF(CELL("format",CONT_TEA[[#This Row],[DateFrom]])="D1",0,1)+IF(CELL("format",CONT_TEA[[#This Row],[DateTo]])="D1",0,1)</calculatedColumnFormula>
    </tableColumn>
    <tableColumn id="46" xr3:uid="{95FB39E1-53E0-46C4-AFBB-01D629BD07BB}" name="TRUE /FALSE Typo" dataDxfId="215">
      <calculatedColumnFormula>IF(OR(CONT_TEA[[#This Row],[MatEditOnly]]=TRUE,CONT_TEA[[#This Row],[MatEditOnly]]=FALSE),IF(OR(CONT_TEA[[#This Row],[NoIncrement]]=TRUE,CONT_TEA[[#This Row],[NoIncrement]]=FALSE),0,1),1)</calculatedColumnFormula>
    </tableColumn>
    <tableColumn id="25" xr3:uid="{5BE43BD1-8D01-4696-A2B7-7CF6DD65A29D}" name="Fund Code Issue" dataDxfId="214">
      <calculatedColumnFormula>IF(ISBLANK(CONT_TEA[[#This Row],[FundCode]])=TRUE,0,IF(COUNTIF(FUNDS[FundCode],CONT_TEA[[#This Row],[FundCode]])=1,0,1))</calculatedColumnFormula>
    </tableColumn>
    <tableColumn id="16" xr3:uid="{5A0689BC-2F47-42D5-8B39-3623E3127FB9}" name="Notes Length" dataDxfId="213">
      <calculatedColumnFormula>IF(LEN(CONT_TEA[[#This Row],[Notes]])&lt;4000,0,1)</calculatedColumnFormula>
    </tableColumn>
    <tableColumn id="45" xr3:uid="{EA1DAD4C-8C2D-4DAB-A6D2-79F120940B91}" name="Space in Code" dataDxfId="212">
      <calculatedColumnFormula>IF(SUBSTITUTE(TEXT(CONT_TEA[[#This Row],[Reference]],10)," ","")=TEXT(CONT_TEA[[#This Row],[Reference]],10),0,1)</calculatedColumnFormula>
    </tableColumn>
    <tableColumn id="27" xr3:uid="{3625B994-FFCD-4F39-BA9A-FED0C18B9999}" name="Will Import if 0" dataDxfId="211">
      <calculatedColumnFormula>SUM(CONT_TEA[[#This Row],[Duplicate Contract]:[Space in Code]])</calculatedColumnFormula>
    </tableColumn>
    <tableColumn id="1" xr3:uid="{9BDBF52C-8C0F-4D10-BB33-0B18D2D0738B}" name="ScenarioCode" dataDxfId="210"/>
    <tableColumn id="2" xr3:uid="{AA272951-8DF6-43B2-8125-D68BD41C7CAC}" name="SchoolCode" dataDxfId="209"/>
    <tableColumn id="3" xr3:uid="{9F70F30E-639A-425D-BE17-47448682989F}" name="StaffMemberCode" dataDxfId="208"/>
    <tableColumn id="4" xr3:uid="{41D72DBD-8A76-40B3-ABC2-CF9B821FAB66}" name="Reference" dataDxfId="207"/>
    <tableColumn id="5" xr3:uid="{4C2CD676-0FFF-421D-97DA-B6F5152F792D}" name="Title" dataDxfId="206">
      <calculatedColumnFormula>_xlfn.XLOOKUP(CONT_TEA[[#This Row],[StaffMemberCode]],'25_StaffMembers'!O:O,'25_StaffMembers'!R:R)</calculatedColumnFormula>
    </tableColumn>
    <tableColumn id="6" xr3:uid="{035A47F7-E59A-4B58-9293-B8E03E5A295F}" name="StaffRoleCode" dataDxfId="205"/>
    <tableColumn id="34" xr3:uid="{BA398559-2E4E-4B0D-A147-7A4979CBFADA}" name="SRG Gross" dataDxfId="204">
      <calculatedColumnFormula>_xlfn.XLOOKUP(CONT_TEA[[#This Row],[SRG]],SRG[StaffRoleGroupCode],SRG[GrossSalaryFinanceCode])</calculatedColumnFormula>
    </tableColumn>
    <tableColumn id="33" xr3:uid="{D1AF5EB4-B5E5-4E50-9E54-D76C0B292DF1}" name="SRG" dataDxfId="203">
      <calculatedColumnFormula>_xlfn.XLOOKUP(CONT_TEA[[#This Row],[StaffRoleCode]],ROLES[StaffRoleCode],ROLES[StaffRoleGroupCode])</calculatedColumnFormula>
    </tableColumn>
    <tableColumn id="7" xr3:uid="{F5321D0E-48D1-4E8B-B068-BE6CF3EE4ABA}" name="PayScaleCode" dataDxfId="202">
      <calculatedColumnFormula>_xlfn.XLOOKUP(CONT_TEA[[#This Row],[StaffRoleCode]],ROLES[StaffRoleCode],ROLES[PayScaleCode])</calculatedColumnFormula>
    </tableColumn>
    <tableColumn id="30" xr3:uid="{69F52B5D-412D-484C-983D-83413C24E469}" name="Ledger" dataDxfId="36">
      <calculatedColumnFormula>_xlfn.XLOOKUP(CONT_TEA[[#This Row],[SRG Gross]],FinanceCodesBudget[FinanceCode],FinanceCodesBudget[LedgerCode])</calculatedColumnFormula>
    </tableColumn>
    <tableColumn id="8" xr3:uid="{74CBE987-8CE7-460A-8822-EBDC6B22161B}" name="PayScaleGradeCode" dataDxfId="201"/>
    <tableColumn id="9" xr3:uid="{1F31D2A4-36B9-489F-85C8-4C7751534745}" name="PayScalePointCode" dataDxfId="200"/>
    <tableColumn id="10" xr3:uid="{A6D14734-DB93-40EF-8CBE-A040E23FBEDA}" name="DepartmentCode" dataDxfId="199"/>
    <tableColumn id="39" xr3:uid="{8DE09219-C2C2-4E07-A802-450E7166889F}" name="FundCode" dataDxfId="198"/>
    <tableColumn id="11" xr3:uid="{14FE54FB-18E7-4486-BA18-D6B8439A8CEB}" name="PensionCode" dataDxfId="197"/>
    <tableColumn id="12" xr3:uid="{7DA81415-DBAD-4705-896C-E7B2CEA5CDAB}" name="EquatedWeekPatternCode" dataDxfId="196"/>
    <tableColumn id="13" xr3:uid="{3E7570F6-706C-4106-9FB4-0686387BD001}" name="DateFrom" dataDxfId="195"/>
    <tableColumn id="14" xr3:uid="{CD3002E2-99AA-42BA-AC0E-9572B7D48863}" name="DateTo" dataDxfId="194"/>
    <tableColumn id="15" xr3:uid="{81DF3D95-E718-456E-8155-E1A7FF6AA2C7}" name="WeeklyFteOrHpw" dataDxfId="193"/>
    <tableColumn id="17" xr3:uid="{39BA1ED9-48B9-4153-B363-A98210204CD7}" name="MatEditOnly" dataDxfId="192"/>
    <tableColumn id="29" xr3:uid="{2AE72649-D394-4C9B-A392-45AC20DDA610}" name="NoIncrement" dataDxfId="191"/>
    <tableColumn id="18" xr3:uid="{01BD0576-C418-4F8C-8BF8-F0FE6C326087}" name="ContractTypeCode" dataDxfId="190"/>
    <tableColumn id="37" xr3:uid="{0A5CAFC5-BE29-4C62-80F4-6E1EA1DC75B6}" name="Notes" dataDxfId="189"/>
  </tableColumns>
  <tableStyleInfo name="IMP Colours"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F66DF736-105D-4DF9-A215-BB9670379456}" name="CONT_SUP" displayName="CONT_SUP" ref="A1:AV3" totalsRowShown="0" headerRowDxfId="188" dataDxfId="187">
  <autoFilter ref="A1:AV3" xr:uid="{F66DF736-105D-4DF9-A215-BB9670379456}"/>
  <tableColumns count="48">
    <tableColumn id="19" xr3:uid="{B474C165-6534-4D42-A8C6-BF81877D4078}" name="Unique Contract" dataDxfId="186">
      <calculatedColumnFormula>AA2&amp;AB2&amp;AC2&amp;AE2&amp;AL2&amp;AP2</calculatedColumnFormula>
    </tableColumn>
    <tableColumn id="20" xr3:uid="{687F1D86-1059-4558-85B9-71B21F353B35}" name="Duplicate Contract" dataDxfId="185">
      <calculatedColumnFormula>COUNTIF(CONT_SUP[Unique Contract],CONT_SUP[[#This Row],[Unique Contract]])-1</calculatedColumnFormula>
    </tableColumn>
    <tableColumn id="47" xr3:uid="{638B52E9-382E-4821-9505-A2ACD4EA5EA5}" name="Location Issue" dataDxfId="184">
      <calculatedColumnFormula>IFERROR(IF(FIND(CONT_SUP[[#This Row],[SchoolCode]],_xlfn.XLOOKUP(CONT_SUP[[#This Row],[StaffMemberCode]],MEMBERS[StaffMemberCode],MEMBERS[SchoolCodes]))&gt;0,0,1),1)</calculatedColumnFormula>
    </tableColumn>
    <tableColumn id="48" xr3:uid="{C605AED5-F946-47A2-9D0C-3CBF4A1DD5B9}" name="Role / School Issue" dataDxfId="183">
      <calculatedColumnFormula array="1">IF(_xlfn.XLOOKUP(CONT_SUP[[#This Row],[StaffRoleCode]],ROLES[StaffRoleCode],ROLES[AvailableToAllSchools],1,0,)=TRUE,0,IF(ISERROR(FIND(CONT_SUP[[#This Row],[SchoolCode]],_xlfn.TEXTJOIN(",",TRUE,_xlfn.UNIQUE(IF(ROLES[StaffRoleCode]=CONT_SUP[[#This Row],[StaffRoleCode]],ROLES[SchoolCodes],""))))),1,0))</calculatedColumnFormula>
    </tableColumn>
    <tableColumn id="53" xr3:uid="{977B798C-3D69-4E70-A028-B44FAC0F7200}" name="SRG FC Issue" dataDxfId="182">
      <calculatedColumnFormula array="1">IF(_xlfn.XLOOKUP(CONT_SUP[[#This Row],[SRG Gross]],FinanceCodesBudget[FinanceCode],FinanceCodesBudget[AvailableToAllSchools],1,0,)=TRUE,0,IF(ISERROR(FIND(CONT_SUP[[#This Row],[SchoolCode]],_xlfn.TEXTJOIN(",",TRUE,_xlfn.UNIQUE(IF(FinanceCodesBudget[FinanceCode]=CONT_SUP[[#This Row],[SRG Gross]],FinanceCodesBudget[SchoolCodes],""))))),1,0))</calculatedColumnFormula>
    </tableColumn>
    <tableColumn id="30" xr3:uid="{480AF449-101B-4322-85E6-3FA4F5A9250B}" name="Pay Scale / School Issue" dataDxfId="181">
      <calculatedColumnFormula array="1">IF(_xlfn.XLOOKUP(CONT_SUP[[#This Row],[PayScaleCode]],PAYSCALES[PayScaleCode],PAYSCALES[AvailableToAllSchools],1,0,)=TRUE,0,IF(ISERROR(FIND(CONT_SUP[[#This Row],[SchoolCode]],_xlfn.TEXTJOIN(",",TRUE,_xlfn.UNIQUE(IF(PAYSCALES[PayScaleCode]=CONT_SUP[[#This Row],[PayScaleCode]],PAYSCALES[SchoolCodes],""))))),1,0))</calculatedColumnFormula>
    </tableColumn>
    <tableColumn id="54" xr3:uid="{152AE42C-4ADD-4863-8555-479641439511}" name="Grade / School Issue" dataDxfId="180">
      <calculatedColumnFormula>IF(_xlfn.XLOOKUP(CONT_SUP[[#This Row],[PayScaleGradeCode]],GRADES[PayScaleGradeCode],GRADES[AvailableToAllSchools])=TRUE,0,IFERROR(IF(FIND(CONT_SUP[[#This Row],[SchoolCode]],_xlfn.XLOOKUP(CONT_SUP[[#This Row],[PayScaleGradeCode]],GRADES[PayScaleGradeCode],GRADES[SchoolCodes]))&gt;=1,0,1),1))</calculatedColumnFormula>
    </tableColumn>
    <tableColumn id="25" xr3:uid="{9126832C-0A65-4AE8-8E47-6FCD66A19128}" name="Grade / Pay Scale Issue" dataDxfId="179">
      <calculatedColumnFormula>IF(ISERROR(IF((_xlfn.XLOOKUP(CONT_SUP[[#This Row],[PayScaleGradeCode]],GRADES[PayScaleGradeCode],GRADES[PayScaleCode])=CONT_SUP[[#This Row],[PayScaleCode]]),0,1)),1,0)</calculatedColumnFormula>
    </tableColumn>
    <tableColumn id="35" xr3:uid="{048F899D-E4E9-4FFF-9D4A-20730AE397DA}" name="Point / Pay Scale Issue" dataDxfId="178">
      <calculatedColumnFormula array="1">IF(ISERROR(FIND(CONT_SUP[[#This Row],[PayScalePointCode]],_xlfn.TEXTJOIN(",",TRUE,IF(PSPOINTS[PayScaleCode]=CONT_SUP[[#This Row],[PayScaleCode]],PSPOINTS[PayScalePointCode])))),1,0)</calculatedColumnFormula>
    </tableColumn>
    <tableColumn id="36" xr3:uid="{E3C3B8E9-18F5-468F-A18B-1E2D71228548}" name="Point / Grade Issue" dataDxfId="177">
      <calculatedColumnFormula array="1">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calculatedColumnFormula>
    </tableColumn>
    <tableColumn id="52" xr3:uid="{E3AED47C-A185-4160-AB11-853D63D85CA7}" name="Scale Point Disabled" dataDxfId="176">
      <calculatedColumnFormula>IF(_xlfn.XLOOKUP(CONT_SUP[[#This Row],[PayScalePointCode]],PSPOINTS[PayScalePointCode],PSPOINTS[PayScalePointEnabled])=TRUE,0,1)</calculatedColumnFormula>
    </tableColumn>
    <tableColumn id="51" xr3:uid="{85111306-724B-48CA-AD28-2950C1B26CBB}" name="Dept / School Issue" dataDxfId="3">
      <calculatedColumnFormula array="1">IF(_xlfn.XLOOKUP(CONT_SUP[[#This Row],[DepartmentCode]]&amp;"TRUE",DEPTS[DepartmentCode]&amp;DEPTS[AvailableToAllSchools],DEPTS[AvailableToAllSchools],1,0,)=TRUE,0,IF(ISERROR(FIND(CONT_SUP[[#This Row],[SchoolCode]],_xlfn.TEXTJOIN(",",TRUE,_xlfn.UNIQUE(IF(DEPTS[DepartmentCode]=CONT_SUP[[#This Row],[DepartmentCode]],DEPTS[SchoolCodes],""))))),1,0))</calculatedColumnFormula>
    </tableColumn>
    <tableColumn id="23" xr3:uid="{7D86AA21-54CA-40F4-B796-0B667D9191F4}" name="Dept/FC Ledger Issue" dataDxfId="2">
      <calculatedColumnFormula array="1">IFERROR(IF((CONT_SUP[[#This Row],[DepartmentCode]]&amp;CONT_SUP[[#This Row],[Ledger]])=_xlfn.XLOOKUP(CONT_SUP[[#This Row],[DepartmentCode]]&amp;CONT_SUP[[#This Row],[Ledger]],DEPTS[DepartmentCode]&amp;DEPTS[LedgerCode],DEPTS[DepartmentCode]&amp;DEPTS[LedgerCode]),0,1),1)</calculatedColumnFormula>
    </tableColumn>
    <tableColumn id="50" xr3:uid="{FA1B73C4-0D7B-454F-9E46-214D50E52A10}" name="Pension Issue" dataDxfId="175">
      <calculatedColumnFormula array="1">IF(_xlfn.XLOOKUP(CONT_SUP[[#This Row],[PensionCode]],PENS[PensionCode],PENS[AvailableToAllSchools],1,0,)=TRUE,0,IF(ISERROR(FIND(CONT_SUP[[#This Row],[SchoolCode]],_xlfn.TEXTJOIN(",",TRUE,_xlfn.UNIQUE(IF(PENS[PensionCode]=CONT_SUP[[#This Row],[PensionCode]],PENS[SchoolCodes],""))))),1,0))</calculatedColumnFormula>
    </tableColumn>
    <tableColumn id="49" xr3:uid="{CEDABBB7-7B6F-40C6-80B8-CAFC02897801}" name="EQWP Issue" dataDxfId="174">
      <calculatedColumnFormula array="1">IF(_xlfn.XLOOKUP(CONT_SUP[[#This Row],[EquatedWeekPatternCode]],EQW[EquatedWeekPatternCode],EQW[AvailableToAllSchools],1,0,)=TRUE,0,IF(ISERROR(FIND(CONT_SUP[[#This Row],[SchoolCode]],_xlfn.TEXTJOIN(",",TRUE,_xlfn.UNIQUE(IF(EQW[EquatedWeekPatternCode]=CONT_SUP[[#This Row],[EquatedWeekPatternCode]],EQW[SchoolCodes],""))))),1,0))</calculatedColumnFormula>
    </tableColumn>
    <tableColumn id="37" xr3:uid="{CF404855-5501-493C-A108-FABA8A643BBD}" name="Contract Type Issue" dataDxfId="173">
      <calculatedColumnFormula>1-COUNTIF(ContractTypes[Code],CONT_SUP[[#This Row],[ContractTypeCode]])</calculatedColumnFormula>
    </tableColumn>
    <tableColumn id="26" xr3:uid="{95DE60AE-45B9-4D55-B406-E2DB53E3580E}" name="Contract Date From Issue" dataDxfId="172">
      <calculatedColumnFormula>IF(VLOOKUP(CONT_SUP[[#This Row],[StaffMemberCode]],MEMBERS[[StaffMemberCode]:[ServiceStartDate]],5,0)&gt;CONT_SUP[[#This Row],[DateFrom]],1,0)</calculatedColumnFormula>
    </tableColumn>
    <tableColumn id="43" xr3:uid="{0CEF65CD-E73E-4442-BE42-B6202F4B571C}" name="Contract Date To Issue" dataDxfId="171">
      <calculatedColumnFormula>IF(_xlfn.XLOOKUP(CONT_SUP[[#This Row],[StaffMemberCode]],MEMBERS[StaffMemberCode],MEMBERS[ServiceEndDate])="",0,IF(CONT_SUP[[#This Row],[DateTo]]="",1,IF(_xlfn.XLOOKUP(CONT_SUP[[#This Row],[StaffMemberCode]],MEMBERS[StaffMemberCode],MEMBERS[ServiceEndDate])&lt;CONT_SUP[[#This Row],[DateTo]],1,0)))</calculatedColumnFormula>
    </tableColumn>
    <tableColumn id="41" xr3:uid="{253A67A9-2174-455E-ADF4-D01D8CCC1580}" name="Dates From/To Issue" dataDxfId="170">
      <calculatedColumnFormula>IF(ISBLANK(CONT_SUP[[#This Row],[DateTo]]),0,IF(CONT_SUP[[#This Row],[DateFrom]]=CONT_SUP[[#This Row],[DateTo]],0,IF(CONT_SUP[[#This Row],[DateFrom]]&lt;CONT_SUP[[#This Row],[DateTo]],0,1)))</calculatedColumnFormula>
    </tableColumn>
    <tableColumn id="21" xr3:uid="{365687A3-C8A9-4F4A-935D-09A520856E36}" name="Date Format Issue" dataDxfId="169">
      <calculatedColumnFormula array="1">IF(CELL("format",CONT_SUP[[#This Row],[DateFrom]])="D1",0,1)+IF(CELL("format",CONT_SUP[[#This Row],[DateTo]])="D1",0,1)</calculatedColumnFormula>
    </tableColumn>
    <tableColumn id="46" xr3:uid="{3AA65429-E999-4B98-8DF3-A4B7D4B4794F}" name="TRUE /FALSE Typo" dataDxfId="168">
      <calculatedColumnFormula>IF(OR(CONT_SUP[[#This Row],[MatEditOnly]]=TRUE,CONT_SUP[[#This Row],[MatEditOnly]]=FALSE),IF(OR(CONT_SUP[[#This Row],[NoIncrement]]=TRUE,CONT_SUP[[#This Row],[NoIncrement]]=FALSE),0,1),1)</calculatedColumnFormula>
    </tableColumn>
    <tableColumn id="22" xr3:uid="{9DA5D80E-A588-47F8-8700-41871069E6A8}" name="Fund Code Issue" dataDxfId="167">
      <calculatedColumnFormula>IF(ISBLANK(CONT_SUP[[#This Row],[FundCode]])=TRUE,0,IF(COUNTIF(FUNDS[FundCode],CONT_SUP[[#This Row],[FundCode]])=1,0,1))</calculatedColumnFormula>
    </tableColumn>
    <tableColumn id="16" xr3:uid="{070FA2B7-F590-4BD6-9203-2C51E5447B8B}" name="Notes Length" dataDxfId="166">
      <calculatedColumnFormula>IF(LEN(CONT_SUP[[#This Row],[Notes]])&lt;4000,0,1)</calculatedColumnFormula>
    </tableColumn>
    <tableColumn id="45" xr3:uid="{D4F469BE-03D7-4938-9DC1-CF0F3BE02927}" name="Space in Code" dataDxfId="165">
      <calculatedColumnFormula>IF(SUBSTITUTE(TEXT(CONT_SUP[[#This Row],[Reference]],10)," ","")=TEXT(CONT_SUP[[#This Row],[Reference]],10),0,1)</calculatedColumnFormula>
    </tableColumn>
    <tableColumn id="27" xr3:uid="{2058EA41-AB10-4856-A1AA-EC412FCB0D4F}" name="Will Import if 0" dataDxfId="164">
      <calculatedColumnFormula>SUM(CONT_SUP[[#This Row],[Duplicate Contract]:[Space in Code]])</calculatedColumnFormula>
    </tableColumn>
    <tableColumn id="1" xr3:uid="{4F8C8DEC-1EFA-45FB-881F-9129AE94C93D}" name="ScenarioCode" dataDxfId="163"/>
    <tableColumn id="2" xr3:uid="{160EA2C8-28D5-4C97-9800-DE876FCD411D}" name="SchoolCode" dataDxfId="162"/>
    <tableColumn id="3" xr3:uid="{B6110386-88A6-4969-9F30-9698204CE719}" name="StaffMemberCode" dataDxfId="161"/>
    <tableColumn id="4" xr3:uid="{7593CA20-49DE-4D2D-B394-D51DACE282E4}" name="Reference" dataDxfId="160"/>
    <tableColumn id="5" xr3:uid="{507A1DE4-5871-4139-9B45-1AF866D91E2F}" name="Title" dataDxfId="159">
      <calculatedColumnFormula>_xlfn.XLOOKUP(CONT_SUP[[#This Row],[StaffMemberCode]],'25_StaffMembers'!O:O,'25_StaffMembers'!R:R)</calculatedColumnFormula>
    </tableColumn>
    <tableColumn id="6" xr3:uid="{7A674269-8CD0-4E87-95E4-A2ABF2F82BC6}" name="StaffRoleCode" dataDxfId="158"/>
    <tableColumn id="34" xr3:uid="{3DE0E33E-69DA-4CE8-ABC3-41D3AB3308E3}" name="SRG Gross" dataDxfId="157">
      <calculatedColumnFormula>_xlfn.XLOOKUP(CONT_SUP[[#This Row],[SRG]],SRG[StaffRoleGroupCode],SRG[GrossSalaryFinanceCode])</calculatedColumnFormula>
    </tableColumn>
    <tableColumn id="33" xr3:uid="{733BB62B-C336-4089-96C2-A224E88624C6}" name="SRG" dataDxfId="156">
      <calculatedColumnFormula>_xlfn.XLOOKUP(CONT_SUP[[#This Row],[StaffRoleCode]],ROLES[StaffRoleCode],ROLES[StaffRoleGroupCode])</calculatedColumnFormula>
    </tableColumn>
    <tableColumn id="7" xr3:uid="{736B181F-E769-412C-81B7-C497FC3532A4}" name="PayScaleCode" dataDxfId="155">
      <calculatedColumnFormula>_xlfn.XLOOKUP(CONT_SUP[[#This Row],[StaffRoleCode]],ROLES[StaffRoleCode],ROLES[PayScaleCode])</calculatedColumnFormula>
    </tableColumn>
    <tableColumn id="24" xr3:uid="{172F4DBF-8699-419B-BCF1-D09E6896B05D}" name="Ledger" dataDxfId="4">
      <calculatedColumnFormula>_xlfn.XLOOKUP(CONT_SUP[[#This Row],[SRG Gross]],FinanceCodesBudget[FinanceCode],FinanceCodesBudget[LedgerCode])</calculatedColumnFormula>
    </tableColumn>
    <tableColumn id="8" xr3:uid="{66EAC61A-CE1B-456F-AC51-3B043B5A2061}" name="PayScaleGradeCode" dataDxfId="154"/>
    <tableColumn id="9" xr3:uid="{D6FDE3B5-724A-4B5E-AE7B-33A9D5671BE4}" name="PayScalePointCode" dataDxfId="153"/>
    <tableColumn id="10" xr3:uid="{973F60EB-D1E8-42F0-9A47-C681540B1717}" name="DepartmentCode" dataDxfId="152"/>
    <tableColumn id="39" xr3:uid="{3F9868BE-C283-467A-B6E4-8590A01B1F9C}" name="FundCode" dataDxfId="151"/>
    <tableColumn id="11" xr3:uid="{D78EB8E6-5A29-48FC-9E2A-123D77E2005A}" name="PensionCode" dataDxfId="150"/>
    <tableColumn id="12" xr3:uid="{C13435A0-F949-424E-80E8-E7E2D5FB1517}" name="EquatedWeekPatternCode" dataDxfId="149"/>
    <tableColumn id="13" xr3:uid="{FCBF8044-C749-42F0-BF14-A380382739DF}" name="DateFrom" dataDxfId="148"/>
    <tableColumn id="14" xr3:uid="{72F716E9-6CBA-48EA-B6C2-87E5BA8A56A8}" name="DateTo" dataDxfId="147"/>
    <tableColumn id="15" xr3:uid="{381EA982-C1DE-4DC9-BEA9-F1E8730C938B}" name="WeeklyFteOrHpw" dataDxfId="146"/>
    <tableColumn id="17" xr3:uid="{FF6C35A5-1E75-4D14-A621-A958099786A5}" name="MatEditOnly" dataDxfId="145"/>
    <tableColumn id="29" xr3:uid="{97736621-1644-4C27-B21F-DBA74C5CCE8F}" name="NoIncrement" dataDxfId="144"/>
    <tableColumn id="18" xr3:uid="{F7875E53-2A69-43D2-8D7E-4B8F89B31017}" name="ContractTypeCode" dataDxfId="143"/>
    <tableColumn id="38" xr3:uid="{70F93BDC-7189-43D9-9B9A-460C24A1BCB5}" name="Notes" dataDxfId="142"/>
  </tableColumns>
  <tableStyleInfo name="IMP Colours"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150281B1-DC3C-4605-BC81-99DE409C859C}" name="CONTAL" displayName="CONTAL" ref="A1:AE3" totalsRowShown="0" headerRowDxfId="141" dataDxfId="140">
  <autoFilter ref="A1:AE3" xr:uid="{819C1D37-85BF-4FE3-A29B-75C5D517065B}"/>
  <tableColumns count="31">
    <tableColumn id="1" xr3:uid="{3080878B-A730-4CAC-8031-4D85B829C1E7}" name="Unique Contract" dataDxfId="139">
      <calculatedColumnFormula>R2&amp;S2&amp;T2&amp;V2&amp;W2&amp;X2</calculatedColumnFormula>
    </tableColumn>
    <tableColumn id="23" xr3:uid="{F2C8EE44-CC72-41CA-A33E-51AFFFA3D2D6}" name="Person+AllowancePoint+ContractRef+SchoolCode" dataDxfId="138">
      <calculatedColumnFormula>CONTAL[[#This Row],[StaffMemberCode]]&amp;CONTAL[[#This Row],[AllowancePointCode]]&amp;CONTAL[[#This Row],[ContractReference]]&amp;CONTAL[[#This Row],[SchoolCode]]</calculatedColumnFormula>
    </tableColumn>
    <tableColumn id="2" xr3:uid="{2934C135-1C32-4249-8AFA-144AF40BCDA9}" name="Contract Issue" dataDxfId="137">
      <calculatedColumnFormula>IF(COUNTIF('28_ContractsTeachFTE'!A:A,'34_ContractAllowances'!A2)&gt;0,0,IF(COUNTIF('29_ContractsSupportHours'!A:A,'34_ContractAllowances'!A2)&gt;0,0,1))</calculatedColumnFormula>
    </tableColumn>
    <tableColumn id="24" xr3:uid="{4E5D9533-8032-4668-AB6E-D40F9E8E70AA}" name="Point Code / School isue" dataDxfId="136">
      <calculatedColumnFormula>IF(_xlfn.XLOOKUP(CONTAL[[#This Row],[AllowancePointCode]],ALLWCPTS[AllowancePointCode],ALLWCPTS[AvailableToAllSchools])=TRUE,0,IFERROR(IF(FIND(CONTAL[[#This Row],[SchoolCode]],_xlfn.XLOOKUP(CONTAL[[#This Row],[AllowancePointCode]],ALLWCPTS[AllowancePointCode],ALLWCPTS[SchoolCodes]))&gt;=1,0,1),1))</calculatedColumnFormula>
    </tableColumn>
    <tableColumn id="21" xr3:uid="{DDB18496-38C5-41C9-9258-F63F5D3A67BB}" name="Dept / School Issue" dataDxfId="1">
      <calculatedColumnFormula array="1">IF(_xlfn.XLOOKUP(CONTAL[[#This Row],[DepartmentCode]]&amp;"TRUE",DEPTS[DepartmentCode]&amp;DEPTS[AvailableToAllSchools],DEPTS[AvailableToAllSchools],1,0,)=TRUE,0,IF(ISERROR(FIND(CONTAL[[#This Row],[SchoolCode]],_xlfn.TEXTJOIN(",",TRUE,_xlfn.UNIQUE(IF(DEPTS[DepartmentCode]=CONTAL[[#This Row],[DepartmentCode]],DEPTS[SchoolCodes],""))))),1,0))</calculatedColumnFormula>
    </tableColumn>
    <tableColumn id="3" xr3:uid="{5E6C9B3F-28A9-4D13-906E-F2E9FD1F1825}" name="Allw Code Issue" dataDxfId="135">
      <calculatedColumnFormula>IF(COUNTIF(ALLWCTYPE[AllowanceTypeCode],CONTAL[[#This Row],[AllowanceCode]])&gt;0,0,1)</calculatedColumnFormula>
    </tableColumn>
    <tableColumn id="18" xr3:uid="{F8811CFB-1BB7-4BB8-9D74-C06B061BB5B2}" name="Allw Point Issue" dataDxfId="134">
      <calculatedColumnFormula>IF(COUNTIF(ALLWCPTS[AllowancePointCode],CONTAL[[#This Row],[AllowancePointCode]])&gt;0,0,1)</calculatedColumnFormula>
    </tableColumn>
    <tableColumn id="33" xr3:uid="{9D6E3437-8352-43DA-9884-0C5484E817B5}" name="Allw Point Duplicate" dataDxfId="133">
      <calculatedColumnFormula>COUNTIF(CONTAL[Person+AllowancePoint+ContractRef+SchoolCode],CONTAL[[#This Row],[Person+AllowancePoint+ContractRef+SchoolCode]])-1</calculatedColumnFormula>
    </tableColumn>
    <tableColumn id="4" xr3:uid="{F1ADE825-16F3-4B5F-86D7-0CEF69178CB8}" name="Allw Date From issue" dataDxfId="132">
      <calculatedColumnFormula>IF(X2&gt;AB2,1,0)</calculatedColumnFormula>
    </tableColumn>
    <tableColumn id="27" xr3:uid="{A2908151-7387-4391-ADFF-BD57B330E95C}" name="Contract Dates From/To Issue" dataDxfId="131">
      <calculatedColumnFormula>IF(ISBLANK(CONTAL[[#This Row],[ContractDateTo]]),0,IF(CONTAL[[#This Row],[ContractDateFrom]]=CONTAL[[#This Row],[ContractDateTo]],0,IF(CONTAL[[#This Row],[ContractDateFrom]]&lt;CONTAL[[#This Row],[ContractDateTo]],0,1)))</calculatedColumnFormula>
    </tableColumn>
    <tableColumn id="26" xr3:uid="{1948B2F3-268A-430B-A647-F639AFF34A2E}" name="Allw Dates From/To Issue" dataDxfId="130">
      <calculatedColumnFormula>IF(ISBLANK(CONTAL[[#This Row],[AllowanceDateTo]]),0,IF(CONTAL[[#This Row],[AllowanceDateFrom]]=CONTAL[[#This Row],[AllowanceDateTo]],0,IF(CONTAL[[#This Row],[AllowanceDateFrom]]&lt;CONTAL[[#This Row],[AllowanceDateTo]],0,1)))</calculatedColumnFormula>
    </tableColumn>
    <tableColumn id="25" xr3:uid="{E85D0B77-323E-4281-B994-9D6F31913A2B}" name="Date Format Issue" dataDxfId="129">
      <calculatedColumnFormula array="1">IF(CELL("format",CONTAL[[#This Row],[ContractDateFrom]])="D1",0,1)+IF(CELL("format",CONTAL[[#This Row],[ContractDateTo]])="D1",0,1)+IF(CELL("format",CONTAL[[#This Row],[AllowanceDateFrom]])="D1",0,1)+IF(CELL("format",CONTAL[[#This Row],[AllowanceDateTo]])="D1",0,1)</calculatedColumnFormula>
    </tableColumn>
    <tableColumn id="32" xr3:uid="{A46372C1-C6EF-434F-834F-51F75ABAB3CA}" name="TRUE /FALSE Typo" dataDxfId="128">
      <calculatedColumnFormula>IF(OR(CONTAL[[#This Row],[IgnoreFte]]=TRUE,CONTAL[[#This Row],[IgnoreFte]]=FALSE),0,1)</calculatedColumnFormula>
    </tableColumn>
    <tableColumn id="31" xr3:uid="{BBF07C13-7981-405E-BFE7-251506C7AF2C}" name="Notes Length" dataDxfId="127">
      <calculatedColumnFormula>IF(LEN(CONTAL[[#This Row],[Notes]])&lt;4000,0,1)</calculatedColumnFormula>
    </tableColumn>
    <tableColumn id="30" xr3:uid="{2627866B-1F41-4527-B762-8914B08949BB}" name="Blank in column" dataDxfId="126">
      <calculatedColumnFormula>COUNTBLANK(CONTAL[[#This Row],[AllowanceCode]:[AllowanceDateFrom]])+COUNTBLANK(CONTAL[[#This Row],[IgnoreFte]]:CONTAL[[#This Row],[IgnoreFte]])</calculatedColumnFormula>
    </tableColumn>
    <tableColumn id="5" xr3:uid="{31524525-9B93-4709-B921-36E6DA7B0C49}" name="Will import if 0" dataDxfId="125">
      <calculatedColumnFormula>SUM(CONTAL[[#This Row],[Contract Issue]:[Blank in column]])</calculatedColumnFormula>
    </tableColumn>
    <tableColumn id="6" xr3:uid="{FC5CAF1E-DAA0-4AC0-A2FB-EA0D64182AE3}" name="ScenarioCode" dataDxfId="124"/>
    <tableColumn id="7" xr3:uid="{FDD6109D-5860-4874-BCF7-4CCA5C1309CA}" name="SchoolCode" dataDxfId="123"/>
    <tableColumn id="8" xr3:uid="{03DA4003-09CA-4017-8485-64478DACECFB}" name="StaffMemberCode" dataDxfId="122"/>
    <tableColumn id="10" xr3:uid="{8F4DF05E-4AF8-4FDA-AA6B-11CE8CF62DC4}" name="ContractReference" dataDxfId="121"/>
    <tableColumn id="9" xr3:uid="{A5C67C9A-1E9A-4ACB-A94C-13225055ACF1}" name="Staff Member Name" dataDxfId="120">
      <calculatedColumnFormula>_xlfn.XLOOKUP(CONTAL[[#This Row],[StaffMemberCode]],'25_StaffMembers'!O:O,'25_StaffMembers'!R:R)</calculatedColumnFormula>
    </tableColumn>
    <tableColumn id="11" xr3:uid="{9D0961C8-2D37-4B96-825A-C27AF755673D}" name="StaffRoleCode" dataDxfId="119"/>
    <tableColumn id="12" xr3:uid="{0A5BBE22-6375-4DC6-9D7C-8F843B21253B}" name="DepartmentCode" dataDxfId="118"/>
    <tableColumn id="13" xr3:uid="{168173D9-AD3A-467D-B33A-C2CA9769757F}" name="ContractDateFrom" dataDxfId="117"/>
    <tableColumn id="14" xr3:uid="{0CC9C451-9C9B-40A1-AE92-C3A7FF638D94}" name="ContractDateTo" dataDxfId="116"/>
    <tableColumn id="15" xr3:uid="{F1E91776-825E-400E-8BE4-007AE58227B3}" name="AllowanceCode" dataDxfId="115"/>
    <tableColumn id="22" xr3:uid="{59084FFD-A85D-4545-BDE6-1A6385DFDBFD}" name="AllowancePointCode" dataDxfId="114"/>
    <tableColumn id="16" xr3:uid="{2F39EA0E-E3C8-4162-9FE3-95E82C1812B1}" name="AllowanceDateFrom" dataDxfId="113"/>
    <tableColumn id="17" xr3:uid="{3AE718DE-ABAF-484E-B042-FE4F44281E57}" name="AllowanceDateTo" dataDxfId="112"/>
    <tableColumn id="19" xr3:uid="{5191F857-A329-4C82-9EF0-A920F2B2DF1E}" name="IgnoreFte" dataDxfId="111"/>
    <tableColumn id="20" xr3:uid="{0DC2E545-9CDD-4F06-895B-024926F6784A}" name="Notes" dataDxfId="110"/>
  </tableColumns>
  <tableStyleInfo name="IMP Colours"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819C1D37-85BF-4FE3-A29B-75C5D517065B}" name="CONTADJ" displayName="CONTADJ" ref="A1:AB3" totalsRowShown="0" headerRowDxfId="109" dataDxfId="108">
  <autoFilter ref="A1:AB3" xr:uid="{819C1D37-85BF-4FE3-A29B-75C5D517065B}"/>
  <tableColumns count="28">
    <tableColumn id="1" xr3:uid="{0B8F90F4-AA0D-437B-A5E9-FEA155D41DEB}" name="Unique Contract " dataDxfId="107">
      <calculatedColumnFormula>O2&amp;P2&amp;Q2&amp;S2&amp;T2&amp;U2</calculatedColumnFormula>
    </tableColumn>
    <tableColumn id="24" xr3:uid="{7F84520E-7E88-45EC-8D88-7025D89FB088}" name="Person+Adj Type Point+Contract Ref+SchoolCode" dataDxfId="106">
      <calculatedColumnFormula>CONTADJ[[#This Row],[StaffMemberCode]]&amp;CONTADJ[[#This Row],[AdjustmentTypeCode]]&amp;CONTADJ[[#This Row],[ContractReference]]&amp;CONTADJ[[#This Row],[SchoolCode]]</calculatedColumnFormula>
    </tableColumn>
    <tableColumn id="2" xr3:uid="{C580CA13-E383-427C-BBD0-4AE0CBE19692}" name="Contract Issue" dataDxfId="105">
      <calculatedColumnFormula>IF(COUNTIF('28_ContractsTeachFTE'!A:A,'33_ContractAdjustments'!A2)&gt;0,0,IF(COUNTIF('29_ContractsSupportHours'!A:A,'33_ContractAdjustments'!A2)&gt;0,0,1))</calculatedColumnFormula>
    </tableColumn>
    <tableColumn id="27" xr3:uid="{A020FA20-B6B1-4DA3-98CD-E0F025D57731}" name="Dept / School Issue" dataDxfId="0">
      <calculatedColumnFormula array="1">IF(_xlfn.XLOOKUP(CONTADJ[[#This Row],[DepartmentCode]]&amp;"TRUE",DEPTS[DepartmentCode]&amp;DEPTS[AvailableToAllSchools],DEPTS[AvailableToAllSchools],1,0,)=TRUE,0,IF(ISERROR(FIND(CONTADJ[[#This Row],[SchoolCode]],_xlfn.TEXTJOIN(",",TRUE,_xlfn.UNIQUE(IF(DEPTS[DepartmentCode]=CONTADJ[[#This Row],[DepartmentCode]],DEPTS[SchoolCodes],""))))),1,0))</calculatedColumnFormula>
    </tableColumn>
    <tableColumn id="30" xr3:uid="{421641C8-1A04-4AD2-A769-3DD5EC73649D}" name="Adj Code Issue" dataDxfId="104">
      <calculatedColumnFormula>IF(COUNTIF(ADJTYPE[AdjustmentTypeCode],CONTADJ[[#This Row],[AdjustmentTypeCode]])&gt;0,0,1)</calculatedColumnFormula>
    </tableColumn>
    <tableColumn id="23" xr3:uid="{80483762-A07A-43BC-845E-210BFE6591E6}" name="Adj Type Duplicate" dataDxfId="103">
      <calculatedColumnFormula>COUNTIF(CONTADJ[Person+Adj Type Point+Contract Ref+SchoolCode],CONTADJ[[#This Row],[Person+Adj Type Point+Contract Ref+SchoolCode]]-1)</calculatedColumnFormula>
    </tableColumn>
    <tableColumn id="4" xr3:uid="{CEB83A6E-A22C-43EA-B91B-B0E8412B7BCF}" name="Adj Date From issue" dataDxfId="102">
      <calculatedColumnFormula>IF(U2&gt;X2,1,0)</calculatedColumnFormula>
    </tableColumn>
    <tableColumn id="28" xr3:uid="{E2F8976F-5C93-41AB-9F0A-C3F6906A6D03}" name="Contract Dates From/To Issue" dataDxfId="101">
      <calculatedColumnFormula>IF(ISBLANK(CONTADJ[[#This Row],[ContractDateTo]]),0,IF(CONTADJ[[#This Row],[ContractDateFrom]]=CONTADJ[[#This Row],[ContractDateTo]],0,IF(CONTADJ[[#This Row],[ContractDateFrom]]&lt;CONTADJ[[#This Row],[ContractDateTo]],0,1)))</calculatedColumnFormula>
    </tableColumn>
    <tableColumn id="29" xr3:uid="{38F49C24-EE3D-46C0-BB38-F59A02B2C4FF}" name="Adj Dates From/To Issue" dataDxfId="100">
      <calculatedColumnFormula>IF(ISBLANK(CONTADJ[[#This Row],[AdjustmentDateTo]]),0,IF(CONTADJ[[#This Row],[AdjustmentDateFrom]]=CONTADJ[[#This Row],[AdjustmentDateTo]],0,IF(CONTADJ[[#This Row],[AdjustmentDateFrom]]&lt;CONTADJ[[#This Row],[AdjustmentDateTo]],0,1)))</calculatedColumnFormula>
    </tableColumn>
    <tableColumn id="3" xr3:uid="{46E99FCA-FCF8-46B0-B682-0BF28EF839CA}" name="Date Format Issue" dataDxfId="99">
      <calculatedColumnFormula array="1">IF(CELL("format",CONTADJ[[#This Row],[ContractDateFrom]])="D1",0,1)+IF(CELL("format",CONTADJ[[#This Row],[ContractDateTo]])="D1",0,1)+IF(CELL("format",CONTADJ[[#This Row],[AdjustmentDateFrom]])="D1",0,1)+IF(CELL("format",CONTADJ[[#This Row],[AdjustmentDateTo]])="D1",0,1)</calculatedColumnFormula>
    </tableColumn>
    <tableColumn id="26" xr3:uid="{EAAC95DF-4814-412E-8EB0-095757E767EA}" name="Notes Length" dataDxfId="98">
      <calculatedColumnFormula>IF(LEN(CONTADJ[[#This Row],[Notes]])&lt;4000,0,1)</calculatedColumnFormula>
    </tableColumn>
    <tableColumn id="25" xr3:uid="{B3C9A8E3-D3C6-4A31-8BA0-5C72DC2A8889}" name="Blank in column" dataDxfId="97">
      <calculatedColumnFormula>COUNTBLANK(CONTADJ[[#This Row],[AnnualValuePreAnnualFte]:[AnnualValuePostAnnualFte]])</calculatedColumnFormula>
    </tableColumn>
    <tableColumn id="5" xr3:uid="{FC2662B9-62BF-4048-B003-D532ECF1561F}" name="Will import if 0" dataDxfId="96">
      <calculatedColumnFormula>SUM(CONTADJ[[#This Row],[Contract Issue]:[Blank in column]])</calculatedColumnFormula>
    </tableColumn>
    <tableColumn id="6" xr3:uid="{6E6291A3-E920-4F36-BF50-D5F2A5380743}" name="ScenarioCode" dataDxfId="95"/>
    <tableColumn id="7" xr3:uid="{6FEAD163-AD46-41D0-B099-D0C199A6109A}" name="SchoolCode" dataDxfId="94"/>
    <tableColumn id="8" xr3:uid="{2231C5D2-35C4-4673-8C2A-19C14D1CB4AB}" name="StaffMemberCode" dataDxfId="93"/>
    <tableColumn id="10" xr3:uid="{3DE09155-F775-46CF-8118-FF3EC54B1F12}" name="ContractReference" dataDxfId="92"/>
    <tableColumn id="9" xr3:uid="{7647C219-8570-477D-82D4-266955747288}" name="Staff Member Name" dataDxfId="91">
      <calculatedColumnFormula>_xlfn.XLOOKUP(CONTADJ[[#This Row],[StaffMemberCode]],'25_StaffMembers'!O:O,'25_StaffMembers'!R:R)</calculatedColumnFormula>
    </tableColumn>
    <tableColumn id="11" xr3:uid="{C014DE53-6E7E-4500-A1AB-B07D3F65A9FD}" name="StaffRoleCode" dataDxfId="90"/>
    <tableColumn id="12" xr3:uid="{16C7BF53-CF1F-466E-AE37-F93D5C5AAB1A}" name="DepartmentCode" dataDxfId="89"/>
    <tableColumn id="13" xr3:uid="{D9267144-110A-4B58-923B-888E22A6B0AB}" name="ContractDateFrom" dataDxfId="88"/>
    <tableColumn id="14" xr3:uid="{F666F62F-A7D1-4DF1-AEF1-BD4FB770E90E}" name="ContractDateTo" dataDxfId="87"/>
    <tableColumn id="15" xr3:uid="{1CE7F705-1436-46B2-B2FC-E5671548729B}" name="AdjustmentTypeCode" dataDxfId="86"/>
    <tableColumn id="16" xr3:uid="{409BD99A-5DF5-44C5-822E-E2F21FDDA5EC}" name="AdjustmentDateFrom" dataDxfId="85"/>
    <tableColumn id="17" xr3:uid="{B0B34928-5498-43D5-A9B2-024F69FA9A3C}" name="AdjustmentDateTo" dataDxfId="84"/>
    <tableColumn id="18" xr3:uid="{C46F8A4C-E77C-4F30-B138-0406D90E05E1}" name="AnnualValuePreAnnualFte" dataDxfId="83"/>
    <tableColumn id="19" xr3:uid="{EA85C5FC-E765-4A38-968A-A3EFDDAE451D}" name="AnnualValuePostAnnualFte" dataDxfId="82"/>
    <tableColumn id="20" xr3:uid="{ECC859FB-4599-4425-8EC1-79220A818C87}" name="Notes" dataDxfId="81"/>
  </tableColumns>
  <tableStyleInfo name="IMP Colours"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142704CB-B1B0-4209-B721-D8972E3DFA7E}" name="LEAVES" displayName="LEAVES" ref="A1:W34" totalsRowShown="0" headerRowDxfId="80" dataDxfId="79">
  <autoFilter ref="A1:W34" xr:uid="{142704CB-B1B0-4209-B721-D8972E3DFA7E}"/>
  <tableColumns count="23">
    <tableColumn id="1" xr3:uid="{BA259FDC-E254-4343-A9C2-1B6B36A5F4DF}" name="Schools Check" dataDxfId="78">
      <calculatedColumnFormula>IF(LEAVES[[#This Row],[AvailableToAllSchools]]=FALSE,IF(ISBLANK(LEAVES[[#This Row],[SchoolCodes]]),1,0),IF(LEAVES[[#This Row],[AvailableToAllSchools]]=TRUE,IF(ISBLANK(LEAVES[[#This Row],[SchoolCodes]]),0,1)))</calculatedColumnFormula>
    </tableColumn>
    <tableColumn id="23" xr3:uid="{0BC979EE-5E28-4C9E-83C5-C6FC8F70DE52}" name="TRUE /FALSE Typo" dataDxfId="77">
      <calculatedColumnFormula>IF(OR(LEAVES[[#This Row],[LeaveTypeEnabled]]=TRUE,LEAVES[[#This Row],[LeaveTypeEnabled]]=FALSE),IF(OR(LEAVES[[#This Row],[AvailableToAllSchools]]=TRUE,LEAVES[[#This Row],[AvailableToAllSchools]]=FALSE),IF(OR(LEAVES[[#This Row],[UseGrossValueForPension]]=TRUE,LEAVES[[#This Row],[UseGrossValueForPension]]=FALSE),0,1),1),1)</calculatedColumnFormula>
    </tableColumn>
    <tableColumn id="22" xr3:uid="{17E13DCB-73A8-4901-AE4F-141B28632973}" name="Blank in column" dataDxfId="76">
      <calculatedColumnFormula>COUNTBLANK(LEAVES[[#This Row],[RebatePercentage]:[TopUpToPercentage]])</calculatedColumnFormula>
    </tableColumn>
    <tableColumn id="18" xr3:uid="{ABD0C80C-7761-4472-A40E-3E60366B6018}" name="Code Length" dataDxfId="75">
      <calculatedColumnFormula>IF(LEN(LEAVES[[#This Row],[LeaveTypeCode]])&lt;100,0,1)</calculatedColumnFormula>
    </tableColumn>
    <tableColumn id="17" xr3:uid="{159EB105-E355-418D-B0DA-66F27FE07C92}" name="Title Length" dataDxfId="74">
      <calculatedColumnFormula>IF(LEN(LEAVES[[#This Row],[LeaveTypeTitle]])&lt;100,0,1)</calculatedColumnFormula>
    </tableColumn>
    <tableColumn id="21" xr3:uid="{B55DBA7B-0DC9-44EA-91FB-129565CB7D79}" name="Space in Code" dataDxfId="73">
      <calculatedColumnFormula>IF(SUBSTITUTE(TEXT(LEAVES[[#This Row],[LeaveTypeCode]],10)," ","")=TEXT(LEAVES[[#This Row],[LeaveTypeCode]],10),0,1)</calculatedColumnFormula>
    </tableColumn>
    <tableColumn id="19" xr3:uid="{91DF8025-3631-481F-9566-3921A741AFF7}" name="Leave Types Overlap" dataDxfId="72">
      <calculatedColumnFormula array="1">IF(SUM((LEAVES[LeaveTypeCode]=LEAVES[[#This Row],[LeaveTypeCode]]) *
        (LEAVES[WeeksFrom] &lt;= LEAVES[[#This Row],[WeeksTo]]) *
        (LEAVES[WeeksTo] &gt;= LEAVES[[#This Row],[WeeksFrom]])) &gt; 1,
    1,
    0
)</calculatedColumnFormula>
    </tableColumn>
    <tableColumn id="20" xr3:uid="{20A398FD-1C21-406B-AE69-D491FD08A1BE}" name="Will Import if 0" dataDxfId="71">
      <calculatedColumnFormula>SUM(LEAVES[[#This Row],[Schools Check]:[Leave Types Overlap]])</calculatedColumnFormula>
    </tableColumn>
    <tableColumn id="15" xr3:uid="{F365D662-B262-47C0-8388-84E9ABC56E53}" name="ScenarioCode"/>
    <tableColumn id="2" xr3:uid="{3D75F62A-A97B-440E-BA7D-EBFFA33045C5}" name="LeaveTypeCode" dataDxfId="70"/>
    <tableColumn id="3" xr3:uid="{23BEE5B4-39FB-4625-B67D-B9905EDE6217}" name="LeaveTypeTitle" dataDxfId="69"/>
    <tableColumn id="4" xr3:uid="{F64C6042-B6A1-4F70-8AD7-E95AF378ADF5}" name="AvailableToAllSchools" dataDxfId="68"/>
    <tableColumn id="5" xr3:uid="{24E71CB2-2578-4FC0-84D3-7ADAAB1C7DA6}" name="SchoolCodes" dataDxfId="67"/>
    <tableColumn id="6" xr3:uid="{ACBFA5DF-7E3A-467C-B147-76DD4257990D}" name="RebatePercentage" dataDxfId="66"/>
    <tableColumn id="7" xr3:uid="{CC5EF973-8880-41AE-8B67-9A80BB42C1AB}" name="LeaveTypeEnabled" dataDxfId="65"/>
    <tableColumn id="16" xr3:uid="{0F0191E8-8C06-4C36-BC03-A52539A10DEF}" name="UseGrossValueForPension"/>
    <tableColumn id="8" xr3:uid="{1E7F8128-DF57-4AA8-A124-2ABEA6D443B9}" name="WeeksFrom" dataDxfId="64"/>
    <tableColumn id="9" xr3:uid="{04CE6CFD-0FD1-4F03-BFA0-4660EE69E1FC}" name="WeeksTo" dataDxfId="63"/>
    <tableColumn id="10" xr3:uid="{B7182B73-6BF6-485E-9611-C637402D04E4}" name="StatutoryPayPercentage" dataDxfId="62"/>
    <tableColumn id="11" xr3:uid="{E8F0B0E6-CD28-4E44-B851-2EABD58D25F5}" name="OtherPayPercentage" dataDxfId="61"/>
    <tableColumn id="12" xr3:uid="{3AB045E0-65BA-4EF7-B3EA-5009923F5826}" name="MinimumStatutoryWeeklyValue" dataDxfId="60"/>
    <tableColumn id="13" xr3:uid="{A0E2614B-E5B4-4BA8-843F-BC67607B4280}" name="MaximumStatutoryWeeklyValue" dataDxfId="59"/>
    <tableColumn id="14" xr3:uid="{6D408457-82D8-47FE-BAA5-140DF38CAFEE}" name="TopUpToPercentage" dataDxfId="58"/>
  </tableColumns>
  <tableStyleInfo name="IMP Colours"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5C875A15-DD80-4847-A7A3-048644984430}" name="SM_LEAVES" displayName="SM_LEAVES" ref="A1:R3" totalsRowShown="0" headerRowDxfId="57" dataDxfId="56">
  <autoFilter ref="A1:R3" xr:uid="{5C875A15-DD80-4847-A7A3-048644984430}"/>
  <tableColumns count="18">
    <tableColumn id="14" xr3:uid="{51532E03-6C7E-4AA2-8469-9D60247C499F}" name="Duplicate Employee" dataDxfId="55">
      <calculatedColumnFormula>COUNTIF(SM_LEAVES[StaffMemberCode],SM_LEAVES[[#This Row],[StaffMemberCode]])-1</calculatedColumnFormula>
    </tableColumn>
    <tableColumn id="10" xr3:uid="{41021948-5AAC-43E5-9D84-0C1CFC52AD86}" name="Staff Member Code Issue" dataDxfId="54">
      <calculatedColumnFormula>1-COUNTIF(MEMBERS[StaffMemberCode],SM_LEAVES[[#This Row],[StaffMemberCode]])</calculatedColumnFormula>
    </tableColumn>
    <tableColumn id="20" xr3:uid="{7B43F935-54E7-4BFD-B96E-E3849C2E97DC}" name="Leave Type Code Issue" dataDxfId="53">
      <calculatedColumnFormula>IF(COUNTIF('30_LeaveTypes'!J:J,SM_LEAVES[[#This Row],[LeaveTypeCode]])&gt;0,"0","1")</calculatedColumnFormula>
    </tableColumn>
    <tableColumn id="19" xr3:uid="{24A71BBC-2AB3-4849-A239-5FE065603568}" name="Dates From/To Issue" dataDxfId="52">
      <calculatedColumnFormula>IF(ISBLANK(SM_LEAVES[[#This Row],[DateTo]]),0,IF(SM_LEAVES[[#This Row],[DateFrom]]&lt;SM_LEAVES[[#This Row],[DateTo]],0,1))</calculatedColumnFormula>
    </tableColumn>
    <tableColumn id="13" xr3:uid="{98D49EE3-D915-4524-AB68-D0517F061A88}" name="Date Format Issue" dataDxfId="51">
      <calculatedColumnFormula array="1">IF(CELL("format",SM_LEAVES[[#This Row],[DateFrom]])="D1",0,1)+IF(CELL("format",SM_LEAVES[[#This Row],[DateTo]])="D1",0,1)</calculatedColumnFormula>
    </tableColumn>
    <tableColumn id="18" xr3:uid="{B8D6CE42-BD79-4458-BD8F-62E457D74F81}" name="TRUE /FALSE Typo" dataDxfId="50">
      <calculatedColumnFormula>IF(OR(SM_LEAVES[[#This Row],[PensionOptOut]]=TRUE,SM_LEAVES[[#This Row],[PensionOptOut]]=FALSE),0,1)</calculatedColumnFormula>
    </tableColumn>
    <tableColumn id="17" xr3:uid="{2E45B2B6-54E6-4623-A6F7-8C2C0F04B176}" name="Blank in column" dataDxfId="49">
      <calculatedColumnFormula>COUNTBLANK(SM_LEAVES[[#This Row],[StaffMemberCode]:[DateTo]])+COUNTBLANK(SM_LEAVES[[#This Row],[PensionOptOut]])</calculatedColumnFormula>
    </tableColumn>
    <tableColumn id="9" xr3:uid="{B8521E14-B85B-4E83-A579-0F522D337AFF}" name="Will Import if 0" dataDxfId="48">
      <calculatedColumnFormula>SUM(SM_LEAVES[[#This Row],[Duplicate Employee]:[Blank in column]])</calculatedColumnFormula>
    </tableColumn>
    <tableColumn id="12" xr3:uid="{49AA471F-CC70-4B53-8BE6-A7CE44B1C9E5}" name="Leave Before contract start date" dataDxfId="47">
      <calculatedColumnFormula>IF(SM_LEAVES[[#This Row],[DateFrom]]&gt;=_xlfn.XLOOKUP(SM_LEAVES[[#This Row],[StaffMemberCode]],CONT_SUP[StaffMemberCode],CONT_SUP[DateFrom],_xlfn.XLOOKUP(SM_LEAVES[[#This Row],[StaffMemberCode]],CONT_TEA[StaffMemberCode],CONT_TEA[DateFrom])),0,1)</calculatedColumnFormula>
    </tableColumn>
    <tableColumn id="1" xr3:uid="{8C7C6D3C-AD9D-4FDD-9830-1462DE6F2687}" name="ScenarioCode" dataDxfId="46"/>
    <tableColumn id="2" xr3:uid="{46DE713E-36E8-4907-863D-4397E66C67F0}" name="StaffMemberCode" dataDxfId="45"/>
    <tableColumn id="3" xr3:uid="{6556ABDC-BB4E-477E-8CCC-BD54431ACF37}" name="LeaveTypeCode" dataDxfId="44"/>
    <tableColumn id="11" xr3:uid="{E78CE99E-4379-4170-AD46-B22C4A64A637}" name="Actual Leave Start" dataDxfId="43"/>
    <tableColumn id="4" xr3:uid="{ED2EA22A-ECE2-4D3B-927A-745147925531}" name="DateFrom" dataDxfId="42"/>
    <tableColumn id="5" xr3:uid="{2B88F4F8-B5C7-47E3-802B-C30B6B1329E1}" name="DateTo" dataDxfId="41"/>
    <tableColumn id="6" xr3:uid="{D9317AD0-3285-40E1-B5AF-978335695079}" name="BaseWeeklyEarnings" dataDxfId="40"/>
    <tableColumn id="7" xr3:uid="{644B66C2-4057-48DF-BB8D-D1ABDB8CB7EF}" name="PensionOptOut" dataDxfId="39"/>
    <tableColumn id="8" xr3:uid="{53B3882C-5FC8-4C21-88F9-D012F2E5068A}" name="NAME" dataDxfId="38">
      <calculatedColumnFormula>_xlfn.XLOOKUP(SM_LEAVES[[#This Row],[StaffMemberCode]],'25_StaffMembers'!O:O,'25_StaffMembers'!R:R)</calculatedColumnFormula>
    </tableColumn>
  </tableColumns>
  <tableStyleInfo name="IMP Colours"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1F16254-B050-4C1A-8615-8AFC0279641F}" name="Years" displayName="Years" ref="M1:M7" totalsRowShown="0" headerRowDxfId="37">
  <autoFilter ref="M1:M7" xr:uid="{41F16254-B050-4C1A-8615-8AFC0279641F}"/>
  <tableColumns count="1">
    <tableColumn id="1" xr3:uid="{F55FDF28-4147-456D-BC08-E63C2DBE78BD}" name="Years"/>
  </tableColumns>
  <tableStyleInfo name="TableStyleMedium2" showFirstColumn="0" showLastColumn="0" showRowStripes="0"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E7003C9F-2994-44EC-B90F-76955122B0A3}" name="CalculatorTypeCode" displayName="CalculatorTypeCode" ref="O1:O6" totalsRowShown="0">
  <autoFilter ref="O1:O6" xr:uid="{E7003C9F-2994-44EC-B90F-76955122B0A3}"/>
  <tableColumns count="1">
    <tableColumn id="1" xr3:uid="{2594B1CE-9E83-4941-86FC-50A9F345CC1A}" name="CalculatorTypeCode"/>
  </tableColumns>
  <tableStyleInfo name="IMP Colours"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api.impplanner.co.uk/" TargetMode="External"/><Relationship Id="rId4"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5.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printerSettings" Target="../printerSettings/printerSettings6.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printerSettings" Target="../printerSettings/printerSettings7.bin"/></Relationships>
</file>

<file path=xl/worksheets/_rels/sheet17.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printerSettings" Target="../printerSettings/printerSettings8.bin"/></Relationships>
</file>

<file path=xl/worksheets/_rels/sheet18.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vmlDrawing" Target="../drawings/vmlDrawing1.v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9.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19.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table" Target="../tables/table20.xml"/><Relationship Id="rId1" Type="http://schemas.openxmlformats.org/officeDocument/2006/relationships/vmlDrawing" Target="../drawings/vmlDrawing3.v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vmlDrawing" Target="../drawings/vmlDrawing4.vml"/><Relationship Id="rId1" Type="http://schemas.openxmlformats.org/officeDocument/2006/relationships/printerSettings" Target="../printerSettings/printerSettings10.bin"/><Relationship Id="rId4" Type="http://schemas.openxmlformats.org/officeDocument/2006/relationships/comments" Target="../comments4.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vmlDrawing" Target="../drawings/vmlDrawing5.vml"/><Relationship Id="rId1" Type="http://schemas.openxmlformats.org/officeDocument/2006/relationships/printerSettings" Target="../printerSettings/printerSettings11.bin"/><Relationship Id="rId4" Type="http://schemas.openxmlformats.org/officeDocument/2006/relationships/comments" Target="../comments5.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table" Target="../tables/table23.xml"/><Relationship Id="rId1" Type="http://schemas.openxmlformats.org/officeDocument/2006/relationships/vmlDrawing" Target="../drawings/vmlDrawing6.vml"/></Relationships>
</file>

<file path=xl/worksheets/_rels/sheet24.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table" Target="../tables/table24.xml"/><Relationship Id="rId1" Type="http://schemas.openxmlformats.org/officeDocument/2006/relationships/vmlDrawing" Target="../drawings/vmlDrawing7.vml"/></Relationships>
</file>

<file path=xl/worksheets/_rels/sheet25.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table" Target="../tables/table25.xml"/><Relationship Id="rId1" Type="http://schemas.openxmlformats.org/officeDocument/2006/relationships/vmlDrawing" Target="../drawings/vmlDrawing8.vml"/></Relationships>
</file>

<file path=xl/worksheets/_rels/sheet2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table" Target="../tables/table26.xml"/><Relationship Id="rId1" Type="http://schemas.openxmlformats.org/officeDocument/2006/relationships/vmlDrawing" Target="../drawings/vmlDrawing9.vml"/></Relationships>
</file>

<file path=xl/worksheets/_rels/sheet2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table" Target="../tables/table27.xml"/><Relationship Id="rId1" Type="http://schemas.openxmlformats.org/officeDocument/2006/relationships/vmlDrawing" Target="../drawings/vmlDrawing10.vml"/></Relationships>
</file>

<file path=xl/worksheets/_rels/sheet2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table" Target="../tables/table28.xml"/><Relationship Id="rId1" Type="http://schemas.openxmlformats.org/officeDocument/2006/relationships/vmlDrawing" Target="../drawings/vmlDrawing11.vml"/></Relationships>
</file>

<file path=xl/worksheets/_rels/sheet29.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table" Target="../tables/table29.xml"/><Relationship Id="rId1" Type="http://schemas.openxmlformats.org/officeDocument/2006/relationships/vmlDrawing" Target="../drawings/vmlDrawing12.vml"/></Relationships>
</file>

<file path=xl/worksheets/_rels/sheet30.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vmlDrawing" Target="../drawings/vmlDrawing13.vml"/><Relationship Id="rId1" Type="http://schemas.openxmlformats.org/officeDocument/2006/relationships/printerSettings" Target="../printerSettings/printerSettings12.bin"/><Relationship Id="rId4" Type="http://schemas.openxmlformats.org/officeDocument/2006/relationships/comments" Target="../comments13.xml"/></Relationships>
</file>

<file path=xl/worksheets/_rels/sheet33.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vmlDrawing" Target="../drawings/vmlDrawing14.vml"/><Relationship Id="rId1" Type="http://schemas.openxmlformats.org/officeDocument/2006/relationships/printerSettings" Target="../printerSettings/printerSettings13.bin"/><Relationship Id="rId4" Type="http://schemas.openxmlformats.org/officeDocument/2006/relationships/comments" Target="../comments14.xml"/></Relationships>
</file>

<file path=xl/worksheets/_rels/sheet34.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vmlDrawing" Target="../drawings/vmlDrawing15.vml"/><Relationship Id="rId1" Type="http://schemas.openxmlformats.org/officeDocument/2006/relationships/printerSettings" Target="../printerSettings/printerSettings14.bin"/><Relationship Id="rId4" Type="http://schemas.openxmlformats.org/officeDocument/2006/relationships/comments" Target="../comments15.xml"/></Relationships>
</file>

<file path=xl/worksheets/_rels/sheet35.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table" Target="../tables/table35.xml"/><Relationship Id="rId1" Type="http://schemas.openxmlformats.org/officeDocument/2006/relationships/vmlDrawing" Target="../drawings/vmlDrawing16.vml"/></Relationships>
</file>

<file path=xl/worksheets/_rels/sheet36.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vmlDrawing" Target="../drawings/vmlDrawing17.vml"/><Relationship Id="rId1" Type="http://schemas.openxmlformats.org/officeDocument/2006/relationships/printerSettings" Target="../printerSettings/printerSettings15.bin"/><Relationship Id="rId4" Type="http://schemas.openxmlformats.org/officeDocument/2006/relationships/comments" Target="../comments17.xml"/></Relationships>
</file>

<file path=xl/worksheets/_rels/sheet37.xml.rels><?xml version="1.0" encoding="UTF-8" standalone="yes"?>
<Relationships xmlns="http://schemas.openxmlformats.org/package/2006/relationships"><Relationship Id="rId3" Type="http://schemas.openxmlformats.org/officeDocument/2006/relationships/comments" Target="../comments18.xml"/><Relationship Id="rId2" Type="http://schemas.openxmlformats.org/officeDocument/2006/relationships/table" Target="../tables/table37.xml"/><Relationship Id="rId1" Type="http://schemas.openxmlformats.org/officeDocument/2006/relationships/vmlDrawing" Target="../drawings/vmlDrawing18.vml"/></Relationships>
</file>

<file path=xl/worksheets/_rels/sheet38.xml.rels><?xml version="1.0" encoding="UTF-8" standalone="yes"?>
<Relationships xmlns="http://schemas.openxmlformats.org/package/2006/relationships"><Relationship Id="rId3" Type="http://schemas.openxmlformats.org/officeDocument/2006/relationships/comments" Target="../comments19.xml"/><Relationship Id="rId2" Type="http://schemas.openxmlformats.org/officeDocument/2006/relationships/table" Target="../tables/table38.xml"/><Relationship Id="rId1" Type="http://schemas.openxmlformats.org/officeDocument/2006/relationships/vmlDrawing" Target="../drawings/vmlDrawing19.vml"/></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41.xml.rels><?xml version="1.0" encoding="UTF-8" standalone="yes"?>
<Relationships xmlns="http://schemas.openxmlformats.org/package/2006/relationships"><Relationship Id="rId2" Type="http://schemas.openxmlformats.org/officeDocument/2006/relationships/table" Target="../tables/table40.xml"/><Relationship Id="rId1" Type="http://schemas.openxmlformats.org/officeDocument/2006/relationships/table" Target="../tables/table3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E36D6-7D8F-4B69-B197-F6695A59398A}">
  <sheetPr codeName="Sheet3"/>
  <dimension ref="A1:E10"/>
  <sheetViews>
    <sheetView tabSelected="1" workbookViewId="0">
      <selection activeCell="B2" sqref="B2"/>
    </sheetView>
  </sheetViews>
  <sheetFormatPr defaultRowHeight="15" x14ac:dyDescent="0.25"/>
  <cols>
    <col min="1" max="1" width="26" customWidth="1"/>
    <col min="2" max="2" width="85.5703125" customWidth="1"/>
    <col min="3" max="3" width="2.28515625" customWidth="1"/>
    <col min="4" max="4" width="37.28515625" bestFit="1" customWidth="1"/>
  </cols>
  <sheetData>
    <row r="1" spans="1:5" x14ac:dyDescent="0.25">
      <c r="A1" s="85" t="s">
        <v>0</v>
      </c>
      <c r="B1" s="87">
        <v>1.101</v>
      </c>
    </row>
    <row r="3" spans="1:5" x14ac:dyDescent="0.25">
      <c r="A3" s="30" t="s">
        <v>1</v>
      </c>
      <c r="B3" s="30" t="s">
        <v>2</v>
      </c>
      <c r="D3" t="s">
        <v>3</v>
      </c>
      <c r="E3" t="s">
        <v>4</v>
      </c>
    </row>
    <row r="4" spans="1:5" x14ac:dyDescent="0.25">
      <c r="A4" s="31" t="s">
        <v>5</v>
      </c>
      <c r="B4" s="96"/>
    </row>
    <row r="5" spans="1:5" x14ac:dyDescent="0.25">
      <c r="A5" s="32" t="s">
        <v>6</v>
      </c>
      <c r="B5" s="32" t="s">
        <v>7</v>
      </c>
    </row>
    <row r="6" spans="1:5" x14ac:dyDescent="0.25">
      <c r="A6" s="33" t="s">
        <v>8</v>
      </c>
      <c r="B6" s="34" t="s">
        <v>9</v>
      </c>
    </row>
    <row r="7" spans="1:5" x14ac:dyDescent="0.25">
      <c r="A7" s="33" t="s">
        <v>10</v>
      </c>
      <c r="B7" s="103">
        <v>45868</v>
      </c>
      <c r="D7" t="s">
        <v>11</v>
      </c>
    </row>
    <row r="9" spans="1:5" hidden="1" x14ac:dyDescent="0.25">
      <c r="A9" t="s">
        <v>12</v>
      </c>
      <c r="B9" t="s">
        <v>13</v>
      </c>
    </row>
    <row r="10" spans="1:5" hidden="1" x14ac:dyDescent="0.25">
      <c r="A10" t="s">
        <v>14</v>
      </c>
      <c r="B10" s="35" t="s">
        <v>15</v>
      </c>
    </row>
  </sheetData>
  <conditionalFormatting sqref="E3">
    <cfRule type="cellIs" dxfId="33" priority="1" operator="equal">
      <formula>"Yes"</formula>
    </cfRule>
    <cfRule type="cellIs" dxfId="32" priority="2" operator="equal">
      <formula>"No"</formula>
    </cfRule>
  </conditionalFormatting>
  <dataValidations count="3">
    <dataValidation type="list" allowBlank="1" showInputMessage="1" showErrorMessage="1" sqref="B5" xr:uid="{BFEAA90D-9E8D-4F30-A7C1-31595CB47E67}">
      <formula1>dvYears</formula1>
    </dataValidation>
    <dataValidation type="list" allowBlank="1" showInputMessage="1" showErrorMessage="1" sqref="E3" xr:uid="{B34493FC-15B2-42E8-8008-10BBAD1D16D5}">
      <formula1>"Yes,No"</formula1>
    </dataValidation>
    <dataValidation type="list" allowBlank="1" showInputMessage="1" showErrorMessage="1" sqref="B10" xr:uid="{46D05C32-EC85-4C61-9EA2-805B8CD3A986}">
      <formula1>"SIMPLE,COMPLEX"</formula1>
    </dataValidation>
  </dataValidations>
  <hyperlinks>
    <hyperlink ref="B6" r:id="rId1" xr:uid="{C22EDA50-E04A-4C86-B7AE-87AA1A54F057}"/>
  </hyperlinks>
  <pageMargins left="0.7" right="0.7" top="0.75" bottom="0.75" header="0.3" footer="0.3"/>
  <pageSetup paperSize="9" orientation="portrait" r:id="rId2"/>
  <tableParts count="2">
    <tablePart r:id="rId3"/>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5198F-2BAF-4DFC-B339-4D94BBEF926C}">
  <dimension ref="A1:K235"/>
  <sheetViews>
    <sheetView workbookViewId="0">
      <selection activeCell="P172" sqref="P172"/>
    </sheetView>
  </sheetViews>
  <sheetFormatPr defaultRowHeight="15" outlineLevelRow="1" x14ac:dyDescent="0.25"/>
  <cols>
    <col min="1" max="1" width="9.140625" style="97"/>
  </cols>
  <sheetData>
    <row r="1" spans="1:11" ht="29.25" thickBot="1" x14ac:dyDescent="0.5">
      <c r="A1" s="176" t="s">
        <v>16</v>
      </c>
      <c r="B1" s="177"/>
      <c r="C1" s="177"/>
      <c r="D1" s="177"/>
      <c r="E1" s="177"/>
      <c r="F1" s="177"/>
      <c r="G1" s="177"/>
      <c r="H1" s="177"/>
      <c r="I1" s="177"/>
      <c r="J1" s="177"/>
      <c r="K1" s="178"/>
    </row>
    <row r="2" spans="1:11" ht="15.75" thickBot="1" x14ac:dyDescent="0.3"/>
    <row r="3" spans="1:11" ht="15.75" thickBot="1" x14ac:dyDescent="0.3">
      <c r="A3" s="179" t="s">
        <v>17</v>
      </c>
      <c r="B3" s="180"/>
      <c r="C3" s="180"/>
      <c r="D3" s="180"/>
      <c r="E3" s="180"/>
      <c r="F3" s="180"/>
      <c r="G3" s="180"/>
      <c r="H3" s="180"/>
      <c r="I3" s="180"/>
      <c r="J3" s="180"/>
      <c r="K3" s="181"/>
    </row>
    <row r="5" spans="1:11" x14ac:dyDescent="0.25">
      <c r="A5" s="97" t="s">
        <v>18</v>
      </c>
    </row>
    <row r="6" spans="1:11" x14ac:dyDescent="0.25">
      <c r="A6" s="97">
        <v>1</v>
      </c>
      <c r="B6" s="182" t="s">
        <v>19</v>
      </c>
      <c r="C6" s="182"/>
      <c r="D6" s="182"/>
      <c r="E6" s="182"/>
      <c r="F6" s="182"/>
      <c r="G6" s="182"/>
      <c r="H6" s="182"/>
      <c r="I6" s="182"/>
      <c r="J6" s="182"/>
      <c r="K6" s="182"/>
    </row>
    <row r="7" spans="1:11" hidden="1" outlineLevel="1" x14ac:dyDescent="0.25"/>
    <row r="8" spans="1:11" hidden="1" outlineLevel="1" x14ac:dyDescent="0.25"/>
    <row r="9" spans="1:11" hidden="1" outlineLevel="1" x14ac:dyDescent="0.25"/>
    <row r="10" spans="1:11" hidden="1" outlineLevel="1" x14ac:dyDescent="0.25"/>
    <row r="11" spans="1:11" hidden="1" outlineLevel="1" x14ac:dyDescent="0.25"/>
    <row r="12" spans="1:11" hidden="1" outlineLevel="1" x14ac:dyDescent="0.25"/>
    <row r="13" spans="1:11" hidden="1" outlineLevel="1" x14ac:dyDescent="0.25"/>
    <row r="14" spans="1:11" hidden="1" outlineLevel="1" x14ac:dyDescent="0.25"/>
    <row r="15" spans="1:11" hidden="1" outlineLevel="1" x14ac:dyDescent="0.25"/>
    <row r="16" spans="1:11" hidden="1" outlineLevel="1" x14ac:dyDescent="0.25"/>
    <row r="17" spans="1:11" hidden="1" outlineLevel="1" x14ac:dyDescent="0.25"/>
    <row r="18" spans="1:11" hidden="1" outlineLevel="1" x14ac:dyDescent="0.25"/>
    <row r="19" spans="1:11" hidden="1" outlineLevel="1" x14ac:dyDescent="0.25"/>
    <row r="20" spans="1:11" hidden="1" outlineLevel="1" x14ac:dyDescent="0.25"/>
    <row r="21" spans="1:11" hidden="1" outlineLevel="1" x14ac:dyDescent="0.25"/>
    <row r="22" spans="1:11" hidden="1" outlineLevel="1" x14ac:dyDescent="0.25"/>
    <row r="23" spans="1:11" hidden="1" outlineLevel="1" x14ac:dyDescent="0.25"/>
    <row r="24" spans="1:11" hidden="1" outlineLevel="1" x14ac:dyDescent="0.25"/>
    <row r="25" spans="1:11" hidden="1" outlineLevel="1" x14ac:dyDescent="0.25"/>
    <row r="26" spans="1:11" hidden="1" outlineLevel="1" x14ac:dyDescent="0.25"/>
    <row r="27" spans="1:11" collapsed="1" x14ac:dyDescent="0.25"/>
    <row r="28" spans="1:11" x14ac:dyDescent="0.25">
      <c r="A28" s="97">
        <v>2</v>
      </c>
      <c r="B28" s="182" t="s">
        <v>20</v>
      </c>
      <c r="C28" s="182"/>
      <c r="D28" s="182"/>
      <c r="E28" s="182"/>
      <c r="F28" s="182"/>
      <c r="G28" s="182"/>
      <c r="H28" s="182"/>
      <c r="I28" s="182"/>
      <c r="J28" s="182"/>
      <c r="K28" s="182"/>
    </row>
    <row r="29" spans="1:11" hidden="1" outlineLevel="1" x14ac:dyDescent="0.25"/>
    <row r="30" spans="1:11" hidden="1" outlineLevel="1" x14ac:dyDescent="0.25"/>
    <row r="31" spans="1:11" hidden="1" outlineLevel="1" x14ac:dyDescent="0.25"/>
    <row r="32" spans="1:11" hidden="1" outlineLevel="1" x14ac:dyDescent="0.25"/>
    <row r="33" hidden="1" outlineLevel="1" x14ac:dyDescent="0.25"/>
    <row r="34" hidden="1" outlineLevel="1" x14ac:dyDescent="0.25"/>
    <row r="35" hidden="1" outlineLevel="1" x14ac:dyDescent="0.25"/>
    <row r="36" hidden="1" outlineLevel="1" x14ac:dyDescent="0.25"/>
    <row r="37" hidden="1" outlineLevel="1" x14ac:dyDescent="0.25"/>
    <row r="38" hidden="1" outlineLevel="1" x14ac:dyDescent="0.25"/>
    <row r="39" hidden="1" outlineLevel="1" x14ac:dyDescent="0.25"/>
    <row r="40" hidden="1" outlineLevel="1" x14ac:dyDescent="0.25"/>
    <row r="41" hidden="1" outlineLevel="1" x14ac:dyDescent="0.25"/>
    <row r="42" hidden="1" outlineLevel="1" x14ac:dyDescent="0.25"/>
    <row r="43" hidden="1" outlineLevel="1" x14ac:dyDescent="0.25"/>
    <row r="44" hidden="1" outlineLevel="1" x14ac:dyDescent="0.25"/>
    <row r="45" hidden="1" outlineLevel="1" x14ac:dyDescent="0.25"/>
    <row r="46" hidden="1" outlineLevel="1" x14ac:dyDescent="0.25"/>
    <row r="47" hidden="1" outlineLevel="1" x14ac:dyDescent="0.25"/>
    <row r="48" hidden="1" outlineLevel="1" x14ac:dyDescent="0.25"/>
    <row r="49" spans="1:11" hidden="1" outlineLevel="1" x14ac:dyDescent="0.25"/>
    <row r="50" spans="1:11" collapsed="1" x14ac:dyDescent="0.25"/>
    <row r="51" spans="1:11" x14ac:dyDescent="0.25">
      <c r="A51" s="97">
        <v>3</v>
      </c>
      <c r="B51" s="182" t="s">
        <v>21</v>
      </c>
      <c r="C51" s="182"/>
      <c r="D51" s="182"/>
      <c r="E51" s="182"/>
      <c r="F51" s="182"/>
      <c r="G51" s="182"/>
      <c r="H51" s="182"/>
      <c r="I51" s="182"/>
      <c r="J51" s="182"/>
      <c r="K51" s="182"/>
    </row>
    <row r="52" spans="1:11" hidden="1" outlineLevel="1" x14ac:dyDescent="0.25"/>
    <row r="53" spans="1:11" hidden="1" outlineLevel="1" x14ac:dyDescent="0.25"/>
    <row r="54" spans="1:11" hidden="1" outlineLevel="1" x14ac:dyDescent="0.25"/>
    <row r="55" spans="1:11" hidden="1" outlineLevel="1" x14ac:dyDescent="0.25"/>
    <row r="56" spans="1:11" hidden="1" outlineLevel="1" x14ac:dyDescent="0.25"/>
    <row r="57" spans="1:11" hidden="1" outlineLevel="1" x14ac:dyDescent="0.25"/>
    <row r="58" spans="1:11" hidden="1" outlineLevel="1" x14ac:dyDescent="0.25"/>
    <row r="59" spans="1:11" hidden="1" outlineLevel="1" x14ac:dyDescent="0.25"/>
    <row r="60" spans="1:11" hidden="1" outlineLevel="1" x14ac:dyDescent="0.25"/>
    <row r="61" spans="1:11" hidden="1" outlineLevel="1" x14ac:dyDescent="0.25"/>
    <row r="62" spans="1:11" hidden="1" outlineLevel="1" x14ac:dyDescent="0.25"/>
    <row r="63" spans="1:11" hidden="1" outlineLevel="1" x14ac:dyDescent="0.25"/>
    <row r="64" spans="1:11" hidden="1" outlineLevel="1" x14ac:dyDescent="0.25"/>
    <row r="65" hidden="1" outlineLevel="1" x14ac:dyDescent="0.25"/>
    <row r="66" hidden="1" outlineLevel="1" x14ac:dyDescent="0.25"/>
    <row r="67" hidden="1" outlineLevel="1" x14ac:dyDescent="0.25"/>
    <row r="68" hidden="1" outlineLevel="1" x14ac:dyDescent="0.25"/>
    <row r="69" hidden="1" outlineLevel="1" x14ac:dyDescent="0.25"/>
    <row r="70" hidden="1" outlineLevel="1" x14ac:dyDescent="0.25"/>
    <row r="71" hidden="1" outlineLevel="1" x14ac:dyDescent="0.25"/>
    <row r="72" hidden="1" outlineLevel="1" x14ac:dyDescent="0.25"/>
    <row r="73" hidden="1" outlineLevel="1" x14ac:dyDescent="0.25"/>
    <row r="74" hidden="1" outlineLevel="1" x14ac:dyDescent="0.25"/>
    <row r="75" hidden="1" outlineLevel="1" x14ac:dyDescent="0.25"/>
    <row r="76" hidden="1" outlineLevel="1" x14ac:dyDescent="0.25"/>
    <row r="77" hidden="1" outlineLevel="1" x14ac:dyDescent="0.25"/>
    <row r="78" hidden="1" outlineLevel="1" x14ac:dyDescent="0.25"/>
    <row r="79" hidden="1" outlineLevel="1" x14ac:dyDescent="0.25"/>
    <row r="80" hidden="1" outlineLevel="1" x14ac:dyDescent="0.25"/>
    <row r="81" hidden="1" outlineLevel="1" x14ac:dyDescent="0.25"/>
    <row r="82" hidden="1" outlineLevel="1" x14ac:dyDescent="0.25"/>
    <row r="83" hidden="1" outlineLevel="1" x14ac:dyDescent="0.25"/>
    <row r="84" hidden="1" outlineLevel="1" x14ac:dyDescent="0.25"/>
    <row r="85" hidden="1" outlineLevel="1" x14ac:dyDescent="0.25"/>
    <row r="86" hidden="1" outlineLevel="1" x14ac:dyDescent="0.25"/>
    <row r="87" hidden="1" outlineLevel="1" x14ac:dyDescent="0.25"/>
    <row r="88" hidden="1" outlineLevel="1" x14ac:dyDescent="0.25"/>
    <row r="89" hidden="1" outlineLevel="1" x14ac:dyDescent="0.25"/>
    <row r="90" hidden="1" outlineLevel="1" x14ac:dyDescent="0.25"/>
    <row r="91" hidden="1" outlineLevel="1" x14ac:dyDescent="0.25"/>
    <row r="92" hidden="1" outlineLevel="1" x14ac:dyDescent="0.25"/>
    <row r="93" hidden="1" outlineLevel="1" x14ac:dyDescent="0.25"/>
    <row r="94" hidden="1" outlineLevel="1" x14ac:dyDescent="0.25"/>
    <row r="95" hidden="1" outlineLevel="1" x14ac:dyDescent="0.25"/>
    <row r="96" hidden="1" outlineLevel="1" x14ac:dyDescent="0.25"/>
    <row r="97" spans="1:11" hidden="1" outlineLevel="1" x14ac:dyDescent="0.25"/>
    <row r="98" spans="1:11" hidden="1" outlineLevel="1" x14ac:dyDescent="0.25"/>
    <row r="99" spans="1:11" hidden="1" outlineLevel="1" x14ac:dyDescent="0.25"/>
    <row r="100" spans="1:11" hidden="1" outlineLevel="1" x14ac:dyDescent="0.25"/>
    <row r="101" spans="1:11" hidden="1" outlineLevel="1" x14ac:dyDescent="0.25"/>
    <row r="102" spans="1:11" hidden="1" outlineLevel="1" x14ac:dyDescent="0.25"/>
    <row r="103" spans="1:11" collapsed="1" x14ac:dyDescent="0.25"/>
    <row r="104" spans="1:11" x14ac:dyDescent="0.25">
      <c r="A104" s="97">
        <v>4</v>
      </c>
      <c r="B104" s="182" t="s">
        <v>22</v>
      </c>
      <c r="C104" s="182"/>
      <c r="D104" s="182"/>
      <c r="E104" s="182"/>
      <c r="F104" s="182"/>
      <c r="G104" s="182"/>
      <c r="H104" s="182"/>
      <c r="I104" s="182"/>
      <c r="J104" s="182"/>
      <c r="K104" s="182"/>
    </row>
    <row r="105" spans="1:11" hidden="1" outlineLevel="1" x14ac:dyDescent="0.25"/>
    <row r="106" spans="1:11" hidden="1" outlineLevel="1" x14ac:dyDescent="0.25"/>
    <row r="107" spans="1:11" hidden="1" outlineLevel="1" x14ac:dyDescent="0.25"/>
    <row r="108" spans="1:11" hidden="1" outlineLevel="1" x14ac:dyDescent="0.25"/>
    <row r="109" spans="1:11" hidden="1" outlineLevel="1" x14ac:dyDescent="0.25"/>
    <row r="110" spans="1:11" hidden="1" outlineLevel="1" x14ac:dyDescent="0.25"/>
    <row r="111" spans="1:11" hidden="1" outlineLevel="1" x14ac:dyDescent="0.25"/>
    <row r="112" spans="1:11" hidden="1" outlineLevel="1" x14ac:dyDescent="0.25"/>
    <row r="113" hidden="1" outlineLevel="1" x14ac:dyDescent="0.25"/>
    <row r="114" hidden="1" outlineLevel="1" x14ac:dyDescent="0.25"/>
    <row r="115" hidden="1" outlineLevel="1" x14ac:dyDescent="0.25"/>
    <row r="116" hidden="1" outlineLevel="1" x14ac:dyDescent="0.25"/>
    <row r="117" hidden="1" outlineLevel="1" x14ac:dyDescent="0.25"/>
    <row r="118" hidden="1" outlineLevel="1" x14ac:dyDescent="0.25"/>
    <row r="119" hidden="1" outlineLevel="1" x14ac:dyDescent="0.25"/>
    <row r="120" hidden="1" outlineLevel="1" x14ac:dyDescent="0.25"/>
    <row r="121" hidden="1" outlineLevel="1" x14ac:dyDescent="0.25"/>
    <row r="122" hidden="1" outlineLevel="1" x14ac:dyDescent="0.25"/>
    <row r="123" hidden="1" outlineLevel="1" x14ac:dyDescent="0.25"/>
    <row r="124" hidden="1" outlineLevel="1" x14ac:dyDescent="0.25"/>
    <row r="125" hidden="1" outlineLevel="1" x14ac:dyDescent="0.25"/>
    <row r="126" hidden="1" outlineLevel="1" x14ac:dyDescent="0.25"/>
    <row r="127" hidden="1" outlineLevel="1" x14ac:dyDescent="0.25"/>
    <row r="128" hidden="1" outlineLevel="1" x14ac:dyDescent="0.25"/>
    <row r="129" hidden="1" outlineLevel="1" x14ac:dyDescent="0.25"/>
    <row r="130" hidden="1" outlineLevel="1" x14ac:dyDescent="0.25"/>
    <row r="131" hidden="1" outlineLevel="1" x14ac:dyDescent="0.25"/>
    <row r="132" hidden="1" outlineLevel="1" x14ac:dyDescent="0.25"/>
    <row r="133" hidden="1" outlineLevel="1" x14ac:dyDescent="0.25"/>
    <row r="134" hidden="1" outlineLevel="1" x14ac:dyDescent="0.25"/>
    <row r="135" hidden="1" outlineLevel="1" x14ac:dyDescent="0.25"/>
    <row r="136" hidden="1" outlineLevel="1" x14ac:dyDescent="0.25"/>
    <row r="137" hidden="1" outlineLevel="1" x14ac:dyDescent="0.25"/>
    <row r="138" hidden="1" outlineLevel="1" x14ac:dyDescent="0.25"/>
    <row r="139" hidden="1" outlineLevel="1" x14ac:dyDescent="0.25"/>
    <row r="140" hidden="1" outlineLevel="1" x14ac:dyDescent="0.25"/>
    <row r="141" hidden="1" outlineLevel="1" x14ac:dyDescent="0.25"/>
    <row r="142" hidden="1" outlineLevel="1" x14ac:dyDescent="0.25"/>
    <row r="143" hidden="1" outlineLevel="1" x14ac:dyDescent="0.25"/>
    <row r="144" hidden="1" outlineLevel="1" x14ac:dyDescent="0.25"/>
    <row r="145" spans="1:11" hidden="1" outlineLevel="1" x14ac:dyDescent="0.25"/>
    <row r="146" spans="1:11" collapsed="1" x14ac:dyDescent="0.25"/>
    <row r="147" spans="1:11" ht="28.5" customHeight="1" x14ac:dyDescent="0.25">
      <c r="A147" s="97">
        <v>5</v>
      </c>
      <c r="B147" s="184" t="s">
        <v>23</v>
      </c>
      <c r="C147" s="184"/>
      <c r="D147" s="184"/>
      <c r="E147" s="184"/>
      <c r="F147" s="184"/>
      <c r="G147" s="184"/>
      <c r="H147" s="184"/>
      <c r="I147" s="184"/>
      <c r="J147" s="184"/>
      <c r="K147" s="184"/>
    </row>
    <row r="148" spans="1:11" hidden="1" outlineLevel="1" x14ac:dyDescent="0.25"/>
    <row r="149" spans="1:11" hidden="1" outlineLevel="1" x14ac:dyDescent="0.25"/>
    <row r="150" spans="1:11" hidden="1" outlineLevel="1" x14ac:dyDescent="0.25"/>
    <row r="151" spans="1:11" hidden="1" outlineLevel="1" x14ac:dyDescent="0.25"/>
    <row r="152" spans="1:11" hidden="1" outlineLevel="1" x14ac:dyDescent="0.25"/>
    <row r="153" spans="1:11" hidden="1" outlineLevel="1" x14ac:dyDescent="0.25"/>
    <row r="154" spans="1:11" hidden="1" outlineLevel="1" x14ac:dyDescent="0.25"/>
    <row r="155" spans="1:11" hidden="1" outlineLevel="1" x14ac:dyDescent="0.25"/>
    <row r="156" spans="1:11" hidden="1" outlineLevel="1" x14ac:dyDescent="0.25"/>
    <row r="157" spans="1:11" hidden="1" outlineLevel="1" x14ac:dyDescent="0.25"/>
    <row r="158" spans="1:11" hidden="1" outlineLevel="1" x14ac:dyDescent="0.25"/>
    <row r="159" spans="1:11" hidden="1" outlineLevel="1" x14ac:dyDescent="0.25"/>
    <row r="160" spans="1:11" hidden="1" outlineLevel="1" x14ac:dyDescent="0.25"/>
    <row r="161" spans="1:11" hidden="1" outlineLevel="1" x14ac:dyDescent="0.25"/>
    <row r="162" spans="1:11" hidden="1" outlineLevel="1" x14ac:dyDescent="0.25"/>
    <row r="163" spans="1:11" ht="16.5" customHeight="1" collapsed="1" x14ac:dyDescent="0.25"/>
    <row r="164" spans="1:11" x14ac:dyDescent="0.25">
      <c r="A164" s="97">
        <v>6</v>
      </c>
      <c r="B164" s="184" t="s">
        <v>24</v>
      </c>
      <c r="C164" s="184"/>
      <c r="D164" s="184"/>
      <c r="E164" s="184"/>
      <c r="F164" s="184"/>
      <c r="G164" s="184"/>
      <c r="H164" s="184"/>
      <c r="I164" s="184"/>
      <c r="J164" s="184"/>
      <c r="K164" s="184"/>
    </row>
    <row r="165" spans="1:11" hidden="1" outlineLevel="1" x14ac:dyDescent="0.25"/>
    <row r="166" spans="1:11" hidden="1" outlineLevel="1" x14ac:dyDescent="0.25"/>
    <row r="167" spans="1:11" hidden="1" outlineLevel="1" x14ac:dyDescent="0.25"/>
    <row r="168" spans="1:11" hidden="1" outlineLevel="1" x14ac:dyDescent="0.25"/>
    <row r="169" spans="1:11" hidden="1" outlineLevel="1" x14ac:dyDescent="0.25"/>
    <row r="170" spans="1:11" hidden="1" outlineLevel="1" x14ac:dyDescent="0.25"/>
    <row r="171" spans="1:11" hidden="1" outlineLevel="1" x14ac:dyDescent="0.25"/>
    <row r="172" spans="1:11" collapsed="1" x14ac:dyDescent="0.25"/>
    <row r="173" spans="1:11" ht="15.75" thickBot="1" x14ac:dyDescent="0.3"/>
    <row r="174" spans="1:11" ht="15.75" thickBot="1" x14ac:dyDescent="0.3">
      <c r="A174" s="179" t="s">
        <v>25</v>
      </c>
      <c r="B174" s="180"/>
      <c r="C174" s="180"/>
      <c r="D174" s="180"/>
      <c r="E174" s="180"/>
      <c r="F174" s="180"/>
      <c r="G174" s="180"/>
      <c r="H174" s="180"/>
      <c r="I174" s="180"/>
      <c r="J174" s="180"/>
      <c r="K174" s="181"/>
    </row>
    <row r="176" spans="1:11" x14ac:dyDescent="0.25">
      <c r="A176" s="97" t="s">
        <v>18</v>
      </c>
    </row>
    <row r="177" spans="1:11" ht="47.25" customHeight="1" x14ac:dyDescent="0.25">
      <c r="A177" s="97">
        <v>1</v>
      </c>
      <c r="B177" s="183" t="s">
        <v>26</v>
      </c>
      <c r="C177" s="183"/>
      <c r="D177" s="183"/>
      <c r="E177" s="183"/>
      <c r="F177" s="183"/>
      <c r="G177" s="183"/>
      <c r="H177" s="183"/>
      <c r="I177" s="183"/>
      <c r="J177" s="183"/>
      <c r="K177" s="183"/>
    </row>
    <row r="178" spans="1:11" hidden="1" outlineLevel="1" x14ac:dyDescent="0.25"/>
    <row r="179" spans="1:11" hidden="1" outlineLevel="1" x14ac:dyDescent="0.25"/>
    <row r="180" spans="1:11" hidden="1" outlineLevel="1" x14ac:dyDescent="0.25"/>
    <row r="181" spans="1:11" hidden="1" outlineLevel="1" x14ac:dyDescent="0.25"/>
    <row r="182" spans="1:11" hidden="1" outlineLevel="1" x14ac:dyDescent="0.25"/>
    <row r="183" spans="1:11" hidden="1" outlineLevel="1" x14ac:dyDescent="0.25"/>
    <row r="184" spans="1:11" hidden="1" outlineLevel="1" x14ac:dyDescent="0.25"/>
    <row r="185" spans="1:11" hidden="1" outlineLevel="1" x14ac:dyDescent="0.25"/>
    <row r="186" spans="1:11" hidden="1" outlineLevel="1" x14ac:dyDescent="0.25"/>
    <row r="187" spans="1:11" hidden="1" outlineLevel="1" x14ac:dyDescent="0.25"/>
    <row r="188" spans="1:11" hidden="1" outlineLevel="1" x14ac:dyDescent="0.25"/>
    <row r="189" spans="1:11" hidden="1" outlineLevel="1" x14ac:dyDescent="0.25"/>
    <row r="190" spans="1:11" hidden="1" outlineLevel="1" x14ac:dyDescent="0.25"/>
    <row r="191" spans="1:11" hidden="1" outlineLevel="1" x14ac:dyDescent="0.25"/>
    <row r="192" spans="1:11" hidden="1" outlineLevel="1" x14ac:dyDescent="0.25"/>
    <row r="193" spans="1:1" hidden="1" outlineLevel="1" x14ac:dyDescent="0.25">
      <c r="A193" s="97" t="e" vm="1">
        <v>#VALUE!</v>
      </c>
    </row>
    <row r="194" spans="1:1" hidden="1" outlineLevel="1" x14ac:dyDescent="0.25"/>
    <row r="195" spans="1:1" hidden="1" outlineLevel="1" x14ac:dyDescent="0.25"/>
    <row r="196" spans="1:1" hidden="1" outlineLevel="1" x14ac:dyDescent="0.25"/>
    <row r="197" spans="1:1" hidden="1" outlineLevel="1" x14ac:dyDescent="0.25"/>
    <row r="198" spans="1:1" hidden="1" outlineLevel="1" x14ac:dyDescent="0.25"/>
    <row r="199" spans="1:1" hidden="1" outlineLevel="1" x14ac:dyDescent="0.25"/>
    <row r="200" spans="1:1" hidden="1" outlineLevel="1" x14ac:dyDescent="0.25"/>
    <row r="201" spans="1:1" hidden="1" outlineLevel="1" x14ac:dyDescent="0.25"/>
    <row r="202" spans="1:1" hidden="1" outlineLevel="1" x14ac:dyDescent="0.25"/>
    <row r="203" spans="1:1" hidden="1" outlineLevel="1" x14ac:dyDescent="0.25"/>
    <row r="204" spans="1:1" hidden="1" outlineLevel="1" x14ac:dyDescent="0.25"/>
    <row r="205" spans="1:1" hidden="1" outlineLevel="1" x14ac:dyDescent="0.25"/>
    <row r="206" spans="1:1" hidden="1" outlineLevel="1" x14ac:dyDescent="0.25"/>
    <row r="207" spans="1:1" hidden="1" outlineLevel="1" x14ac:dyDescent="0.25"/>
    <row r="208" spans="1:1" hidden="1" outlineLevel="1" x14ac:dyDescent="0.25"/>
    <row r="209" hidden="1" outlineLevel="1" x14ac:dyDescent="0.25"/>
    <row r="210" hidden="1" outlineLevel="1" x14ac:dyDescent="0.25"/>
    <row r="211" hidden="1" outlineLevel="1" x14ac:dyDescent="0.25"/>
    <row r="212" hidden="1" outlineLevel="1" x14ac:dyDescent="0.25"/>
    <row r="213" hidden="1" outlineLevel="1" x14ac:dyDescent="0.25"/>
    <row r="214" hidden="1" outlineLevel="1" x14ac:dyDescent="0.25"/>
    <row r="215" hidden="1" outlineLevel="1" x14ac:dyDescent="0.25"/>
    <row r="216" hidden="1" outlineLevel="1" x14ac:dyDescent="0.25"/>
    <row r="217" hidden="1" outlineLevel="1" x14ac:dyDescent="0.25"/>
    <row r="218" hidden="1" outlineLevel="1" x14ac:dyDescent="0.25"/>
    <row r="219" hidden="1" outlineLevel="1" x14ac:dyDescent="0.25"/>
    <row r="220" hidden="1" outlineLevel="1" x14ac:dyDescent="0.25"/>
    <row r="221" hidden="1" outlineLevel="1" x14ac:dyDescent="0.25"/>
    <row r="222" hidden="1" outlineLevel="1" x14ac:dyDescent="0.25"/>
    <row r="223" hidden="1" outlineLevel="1" x14ac:dyDescent="0.25"/>
    <row r="224" hidden="1" outlineLevel="1" x14ac:dyDescent="0.25"/>
    <row r="225" hidden="1" outlineLevel="1" x14ac:dyDescent="0.25"/>
    <row r="226" hidden="1" outlineLevel="1" x14ac:dyDescent="0.25"/>
    <row r="227" hidden="1" outlineLevel="1" x14ac:dyDescent="0.25"/>
    <row r="228" hidden="1" outlineLevel="1" x14ac:dyDescent="0.25"/>
    <row r="229" hidden="1" outlineLevel="1" x14ac:dyDescent="0.25"/>
    <row r="230" hidden="1" outlineLevel="1" x14ac:dyDescent="0.25"/>
    <row r="231" hidden="1" outlineLevel="1" x14ac:dyDescent="0.25"/>
    <row r="232" hidden="1" outlineLevel="1" x14ac:dyDescent="0.25"/>
    <row r="233" hidden="1" outlineLevel="1" x14ac:dyDescent="0.25"/>
    <row r="234" hidden="1" outlineLevel="1" x14ac:dyDescent="0.25"/>
    <row r="235" collapsed="1" x14ac:dyDescent="0.25"/>
  </sheetData>
  <mergeCells count="10">
    <mergeCell ref="A174:K174"/>
    <mergeCell ref="B177:K177"/>
    <mergeCell ref="B164:K164"/>
    <mergeCell ref="B147:K147"/>
    <mergeCell ref="B104:K104"/>
    <mergeCell ref="A1:K1"/>
    <mergeCell ref="A3:K3"/>
    <mergeCell ref="B6:K6"/>
    <mergeCell ref="B28:K28"/>
    <mergeCell ref="B51:K51"/>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088E5-5812-445A-9EB5-15C3E2B0BE9A}">
  <sheetPr codeName="Sheet23">
    <tabColor theme="8" tint="0.79998168889431442"/>
  </sheetPr>
  <dimension ref="A1:C43"/>
  <sheetViews>
    <sheetView zoomScaleNormal="100" workbookViewId="0">
      <pane ySplit="2" topLeftCell="A3" activePane="bottomLeft" state="frozen"/>
      <selection pane="bottomLeft" activeCell="C10" sqref="C10"/>
    </sheetView>
  </sheetViews>
  <sheetFormatPr defaultColWidth="9.28515625" defaultRowHeight="15" outlineLevelRow="1" x14ac:dyDescent="0.25"/>
  <cols>
    <col min="1" max="1" width="109.5703125" customWidth="1"/>
    <col min="2" max="2" width="27.28515625" customWidth="1"/>
    <col min="3" max="3" width="14.140625" bestFit="1" customWidth="1"/>
  </cols>
  <sheetData>
    <row r="1" spans="1:3" ht="23.25" x14ac:dyDescent="0.35">
      <c r="A1" s="185" t="s">
        <v>27</v>
      </c>
      <c r="B1" s="185"/>
      <c r="C1" s="185"/>
    </row>
    <row r="2" spans="1:3" ht="15.75" x14ac:dyDescent="0.25">
      <c r="A2" s="36" t="s">
        <v>28</v>
      </c>
      <c r="B2" s="36" t="s">
        <v>29</v>
      </c>
      <c r="C2" s="125" t="s">
        <v>30</v>
      </c>
    </row>
    <row r="3" spans="1:3" outlineLevel="1" x14ac:dyDescent="0.25">
      <c r="A3" s="138" t="s">
        <v>31</v>
      </c>
      <c r="B3" s="135"/>
      <c r="C3" s="126">
        <f>SUM(PAYSCALES[Will Import if 0])</f>
        <v>0</v>
      </c>
    </row>
    <row r="4" spans="1:3" outlineLevel="1" x14ac:dyDescent="0.25">
      <c r="A4" s="138" t="s">
        <v>32</v>
      </c>
      <c r="B4" s="135"/>
      <c r="C4" s="126">
        <f ca="1">SUM(PSPOINTS[Will Import if 0])</f>
        <v>0</v>
      </c>
    </row>
    <row r="5" spans="1:3" outlineLevel="1" x14ac:dyDescent="0.25">
      <c r="A5" s="138" t="s">
        <v>33</v>
      </c>
      <c r="B5" s="135"/>
      <c r="C5" s="126">
        <f>SUM(PS_INCPERC[Will Import if 0])</f>
        <v>0</v>
      </c>
    </row>
    <row r="6" spans="1:3" outlineLevel="1" x14ac:dyDescent="0.25">
      <c r="A6" s="23" t="s">
        <v>34</v>
      </c>
      <c r="B6" s="136"/>
      <c r="C6" s="126">
        <f>SUM(GRADES[Will Import if 0])</f>
        <v>0</v>
      </c>
    </row>
    <row r="7" spans="1:3" outlineLevel="1" x14ac:dyDescent="0.25">
      <c r="A7" s="23" t="s">
        <v>35</v>
      </c>
      <c r="B7" s="137"/>
      <c r="C7" s="126">
        <f>SUM(ALLWCTYPE[Will Import if 0])</f>
        <v>0</v>
      </c>
    </row>
    <row r="8" spans="1:3" outlineLevel="1" x14ac:dyDescent="0.25">
      <c r="A8" s="23" t="s">
        <v>36</v>
      </c>
      <c r="B8" s="137"/>
      <c r="C8" s="126">
        <f ca="1">SUM(ALLWCPTS[Will import if 0])</f>
        <v>0</v>
      </c>
    </row>
    <row r="9" spans="1:3" outlineLevel="1" x14ac:dyDescent="0.25">
      <c r="A9" s="138" t="s">
        <v>37</v>
      </c>
      <c r="B9" s="137"/>
      <c r="C9" s="126">
        <f>SUM(AL_INCPERC[Will Import if 0])</f>
        <v>0</v>
      </c>
    </row>
    <row r="10" spans="1:3" outlineLevel="1" x14ac:dyDescent="0.25">
      <c r="A10" s="23" t="s">
        <v>38</v>
      </c>
      <c r="B10" s="137"/>
      <c r="C10" s="126">
        <f ca="1">SUM(PENS[Will import if 0])</f>
        <v>0</v>
      </c>
    </row>
    <row r="11" spans="1:3" outlineLevel="1" x14ac:dyDescent="0.25">
      <c r="A11" s="23" t="s">
        <v>39</v>
      </c>
      <c r="B11" s="137"/>
      <c r="C11" s="126">
        <f>SUM(EQW[Will import if 0])</f>
        <v>0</v>
      </c>
    </row>
    <row r="12" spans="1:3" outlineLevel="1" x14ac:dyDescent="0.25">
      <c r="A12" s="23" t="s">
        <v>40</v>
      </c>
      <c r="B12" s="137"/>
      <c r="C12" s="126">
        <f ca="1">SUM(MEMBERS[Will Import if 0])</f>
        <v>13</v>
      </c>
    </row>
    <row r="13" spans="1:3" outlineLevel="1" x14ac:dyDescent="0.25">
      <c r="A13" s="23" t="s">
        <v>41</v>
      </c>
      <c r="B13" s="137"/>
      <c r="C13" s="126">
        <f>SUM(SRG[Will Import if 0])</f>
        <v>221</v>
      </c>
    </row>
    <row r="14" spans="1:3" outlineLevel="1" x14ac:dyDescent="0.25">
      <c r="A14" s="23" t="s">
        <v>42</v>
      </c>
      <c r="B14" s="137"/>
      <c r="C14" s="126">
        <f>SUM(ROLES[Will Import if 0])</f>
        <v>102</v>
      </c>
    </row>
    <row r="15" spans="1:3" outlineLevel="1" x14ac:dyDescent="0.25">
      <c r="A15" s="23" t="s">
        <v>43</v>
      </c>
      <c r="B15" s="137"/>
      <c r="C15" s="126" t="e">
        <f ca="1">SUM(CONT_TEA[Will Import if 0])</f>
        <v>#N/A</v>
      </c>
    </row>
    <row r="16" spans="1:3" outlineLevel="1" x14ac:dyDescent="0.25">
      <c r="A16" s="23" t="s">
        <v>44</v>
      </c>
      <c r="B16" s="137"/>
      <c r="C16" s="126" t="e">
        <f>SUM(CONT_SUP[Will Import if 0])</f>
        <v>#N/A</v>
      </c>
    </row>
    <row r="17" spans="1:3" outlineLevel="1" x14ac:dyDescent="0.25">
      <c r="A17" s="23" t="s">
        <v>45</v>
      </c>
      <c r="B17" s="137"/>
      <c r="C17" s="126">
        <f>SUM(ADJTYPE[Will import if 0])</f>
        <v>0</v>
      </c>
    </row>
    <row r="18" spans="1:3" outlineLevel="1" x14ac:dyDescent="0.25">
      <c r="A18" s="23" t="s">
        <v>46</v>
      </c>
      <c r="B18" s="137"/>
      <c r="C18" s="126">
        <f ca="1">SUM(CONTADJ[Will import if 0])</f>
        <v>5</v>
      </c>
    </row>
    <row r="19" spans="1:3" outlineLevel="1" x14ac:dyDescent="0.25">
      <c r="A19" s="23" t="s">
        <v>47</v>
      </c>
      <c r="B19" s="137"/>
      <c r="C19" s="126" t="e">
        <f ca="1">SUM(CONTAL[Will import if 0])</f>
        <v>#N/A</v>
      </c>
    </row>
    <row r="20" spans="1:3" outlineLevel="1" x14ac:dyDescent="0.25">
      <c r="A20" s="23" t="s">
        <v>48</v>
      </c>
      <c r="B20" s="137"/>
      <c r="C20" s="126">
        <f>SUM(LEAVES[Will Import if 0])</f>
        <v>0</v>
      </c>
    </row>
    <row r="21" spans="1:3" outlineLevel="1" x14ac:dyDescent="0.25">
      <c r="A21" s="23" t="s">
        <v>49</v>
      </c>
      <c r="B21" s="137"/>
      <c r="C21" s="126">
        <f ca="1">SUM(SM_LEAVES[Will Import if 0])</f>
        <v>10</v>
      </c>
    </row>
    <row r="22" spans="1:3" outlineLevel="1" x14ac:dyDescent="0.25">
      <c r="A22" s="23" t="s">
        <v>50</v>
      </c>
      <c r="B22" s="137"/>
      <c r="C22" s="126">
        <f>SUM(FC_import[Will Import if 0])</f>
        <v>91</v>
      </c>
    </row>
    <row r="23" spans="1:3" x14ac:dyDescent="0.25">
      <c r="A23" s="23" t="s">
        <v>51</v>
      </c>
      <c r="B23" s="137"/>
      <c r="C23" s="133" t="e">
        <f ca="1">SUM(C3:C22)</f>
        <v>#N/A</v>
      </c>
    </row>
    <row r="24" spans="1:3" x14ac:dyDescent="0.25">
      <c r="A24" s="28" t="s">
        <v>52</v>
      </c>
      <c r="B24" s="137"/>
      <c r="C24" s="126"/>
    </row>
    <row r="25" spans="1:3" x14ac:dyDescent="0.25">
      <c r="A25" s="28" t="s">
        <v>53</v>
      </c>
      <c r="B25" s="137"/>
      <c r="C25" s="126"/>
    </row>
    <row r="26" spans="1:3" x14ac:dyDescent="0.25">
      <c r="A26" s="28" t="s">
        <v>54</v>
      </c>
      <c r="B26" s="137"/>
      <c r="C26" s="126"/>
    </row>
    <row r="27" spans="1:3" x14ac:dyDescent="0.25">
      <c r="A27" s="28" t="s">
        <v>55</v>
      </c>
      <c r="B27" s="137"/>
      <c r="C27" s="126"/>
    </row>
    <row r="28" spans="1:3" x14ac:dyDescent="0.25">
      <c r="A28" s="28" t="s">
        <v>56</v>
      </c>
      <c r="B28" s="137"/>
      <c r="C28" s="126"/>
    </row>
    <row r="29" spans="1:3" x14ac:dyDescent="0.25">
      <c r="A29" s="28" t="s">
        <v>57</v>
      </c>
      <c r="B29" s="137"/>
      <c r="C29" s="126"/>
    </row>
    <row r="30" spans="1:3" x14ac:dyDescent="0.25">
      <c r="A30" s="28" t="s">
        <v>58</v>
      </c>
      <c r="B30" s="137"/>
      <c r="C30" s="126"/>
    </row>
    <row r="31" spans="1:3" x14ac:dyDescent="0.25">
      <c r="A31" s="28" t="s">
        <v>59</v>
      </c>
      <c r="B31" s="137"/>
      <c r="C31" s="126"/>
    </row>
    <row r="32" spans="1:3" x14ac:dyDescent="0.25">
      <c r="A32" s="28" t="s">
        <v>60</v>
      </c>
      <c r="B32" s="137"/>
      <c r="C32" s="126"/>
    </row>
    <row r="33" spans="1:3" ht="30" x14ac:dyDescent="0.25">
      <c r="A33" s="28" t="s">
        <v>61</v>
      </c>
      <c r="B33" s="137"/>
      <c r="C33" s="126"/>
    </row>
    <row r="34" spans="1:3" x14ac:dyDescent="0.25">
      <c r="A34" s="28" t="s">
        <v>62</v>
      </c>
      <c r="B34" s="137"/>
      <c r="C34" s="126"/>
    </row>
    <row r="35" spans="1:3" ht="30" x14ac:dyDescent="0.25">
      <c r="A35" s="28" t="s">
        <v>63</v>
      </c>
      <c r="B35" s="137"/>
      <c r="C35" s="126"/>
    </row>
    <row r="36" spans="1:3" x14ac:dyDescent="0.25">
      <c r="A36" s="28" t="s">
        <v>64</v>
      </c>
      <c r="B36" s="137"/>
      <c r="C36" s="126"/>
    </row>
    <row r="37" spans="1:3" x14ac:dyDescent="0.25">
      <c r="A37" s="147" t="s">
        <v>65</v>
      </c>
      <c r="B37" s="24"/>
      <c r="C37" s="126"/>
    </row>
    <row r="38" spans="1:3" x14ac:dyDescent="0.25">
      <c r="A38" s="147" t="s">
        <v>66</v>
      </c>
      <c r="B38" s="24"/>
      <c r="C38" s="126"/>
    </row>
    <row r="39" spans="1:3" x14ac:dyDescent="0.25">
      <c r="A39" s="147" t="s">
        <v>67</v>
      </c>
      <c r="B39" s="24"/>
      <c r="C39" s="126"/>
    </row>
    <row r="40" spans="1:3" ht="30" x14ac:dyDescent="0.25">
      <c r="A40" s="147" t="s">
        <v>68</v>
      </c>
      <c r="B40" s="24"/>
      <c r="C40" s="126"/>
    </row>
    <row r="41" spans="1:3" x14ac:dyDescent="0.25">
      <c r="A41" s="124"/>
      <c r="B41" s="12"/>
      <c r="C41" s="134"/>
    </row>
    <row r="42" spans="1:3" x14ac:dyDescent="0.25">
      <c r="A42" t="s">
        <v>69</v>
      </c>
      <c r="B42" t="s">
        <v>70</v>
      </c>
    </row>
    <row r="43" spans="1:3" x14ac:dyDescent="0.25">
      <c r="A43" t="s">
        <v>71</v>
      </c>
      <c r="B43" t="s">
        <v>70</v>
      </c>
    </row>
  </sheetData>
  <mergeCells count="1">
    <mergeCell ref="A1:C1"/>
  </mergeCells>
  <dataValidations count="1">
    <dataValidation type="list" allowBlank="1" showInputMessage="1" showErrorMessage="1" sqref="C24:C41" xr:uid="{88E14D41-EB8D-45A1-A41D-A3EA2521843C}">
      <formula1>"Yes,No,NA,Other"</formula1>
    </dataValidation>
  </dataValidations>
  <pageMargins left="0.7" right="0.7" top="0.75" bottom="0.75" header="0.3" footer="0.3"/>
  <pageSetup paperSize="9" orientation="portrait" horizontalDpi="360" verticalDpi="36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D325BB-497B-443F-9CC8-F8971AD3F140}">
  <sheetPr codeName="Sheet28"/>
  <dimension ref="A1:I23"/>
  <sheetViews>
    <sheetView workbookViewId="0">
      <pane ySplit="3" topLeftCell="A4" activePane="bottomLeft" state="frozen"/>
      <selection activeCell="D2" sqref="D2"/>
      <selection pane="bottomLeft" activeCell="B31" sqref="B31"/>
    </sheetView>
  </sheetViews>
  <sheetFormatPr defaultColWidth="9.28515625" defaultRowHeight="15" x14ac:dyDescent="0.25"/>
  <cols>
    <col min="1" max="1" width="0" style="23" hidden="1" customWidth="1"/>
    <col min="2" max="2" width="36.28515625" style="23" bestFit="1" customWidth="1"/>
    <col min="3" max="3" width="29.42578125" style="23" customWidth="1"/>
    <col min="4" max="4" width="29.140625" style="23" customWidth="1"/>
    <col min="5" max="5" width="18.5703125" style="23" customWidth="1"/>
    <col min="6" max="6" width="60.5703125" style="23" customWidth="1"/>
    <col min="7" max="7" width="36.85546875" style="28" customWidth="1"/>
    <col min="8" max="8" width="82.28515625" style="23" bestFit="1" customWidth="1"/>
    <col min="9" max="9" width="135.5703125" style="23" bestFit="1" customWidth="1"/>
    <col min="10" max="16384" width="9.28515625" style="23"/>
  </cols>
  <sheetData>
    <row r="1" spans="1:8" ht="23.25" x14ac:dyDescent="0.35">
      <c r="B1" s="185" t="s">
        <v>27</v>
      </c>
      <c r="C1" s="185"/>
      <c r="D1" s="185"/>
      <c r="E1" s="185"/>
      <c r="F1" s="185"/>
      <c r="G1" s="185"/>
      <c r="H1" s="185"/>
    </row>
    <row r="2" spans="1:8" ht="15.75" x14ac:dyDescent="0.25">
      <c r="B2" s="38" t="s">
        <v>72</v>
      </c>
      <c r="C2" s="39">
        <f ca="1">SUM('Build Checklist'!C21)</f>
        <v>10</v>
      </c>
      <c r="D2" s="38"/>
      <c r="E2" s="38"/>
      <c r="F2" s="38"/>
      <c r="G2" s="37"/>
      <c r="H2" s="38"/>
    </row>
    <row r="3" spans="1:8" s="28" customFormat="1" ht="31.5" x14ac:dyDescent="0.25">
      <c r="A3" s="37" t="s">
        <v>73</v>
      </c>
      <c r="B3" s="37" t="s">
        <v>28</v>
      </c>
      <c r="C3" s="37" t="s">
        <v>74</v>
      </c>
      <c r="D3" s="37" t="s">
        <v>75</v>
      </c>
      <c r="E3" s="37" t="s">
        <v>76</v>
      </c>
      <c r="F3" s="37" t="s">
        <v>77</v>
      </c>
      <c r="G3" s="37" t="s">
        <v>78</v>
      </c>
      <c r="H3" s="37" t="s">
        <v>79</v>
      </c>
    </row>
    <row r="4" spans="1:8" x14ac:dyDescent="0.25">
      <c r="A4" s="174">
        <v>11</v>
      </c>
      <c r="B4" s="40" t="s">
        <v>80</v>
      </c>
      <c r="C4" s="40">
        <f>COUNTA(FC_import[FinanceCode])</f>
        <v>91</v>
      </c>
      <c r="D4" s="40"/>
      <c r="E4" s="40" t="b">
        <f t="shared" ref="E4" si="0">IF(C4=D4,TRUE,FALSE)</f>
        <v>0</v>
      </c>
      <c r="F4" s="40"/>
      <c r="G4" s="41"/>
      <c r="H4" s="40"/>
    </row>
    <row r="5" spans="1:8" x14ac:dyDescent="0.25">
      <c r="A5" s="40">
        <v>16</v>
      </c>
      <c r="B5" s="40" t="s">
        <v>81</v>
      </c>
      <c r="C5" s="40">
        <f>COUNTA(ALLWCTYPE[AllowanceTypeCode])</f>
        <v>2</v>
      </c>
      <c r="D5" s="40"/>
      <c r="E5" s="40" t="b">
        <f t="shared" ref="E5:E22" si="1">IF(C5=D5,TRUE,FALSE)</f>
        <v>0</v>
      </c>
      <c r="F5" s="40"/>
      <c r="G5" s="41"/>
      <c r="H5" s="40"/>
    </row>
    <row r="6" spans="1:8" x14ac:dyDescent="0.25">
      <c r="A6" s="40">
        <v>17</v>
      </c>
      <c r="B6" s="40" t="s">
        <v>82</v>
      </c>
      <c r="C6" s="40">
        <f>COUNTA(ALLWCPTS[AllowanceTypeCode])</f>
        <v>10</v>
      </c>
      <c r="D6" s="40"/>
      <c r="E6" s="40" t="b">
        <f t="shared" si="1"/>
        <v>0</v>
      </c>
      <c r="F6" s="40"/>
      <c r="G6" s="41"/>
      <c r="H6" s="40"/>
    </row>
    <row r="7" spans="1:8" x14ac:dyDescent="0.25">
      <c r="A7" s="40">
        <v>18</v>
      </c>
      <c r="B7" s="40" t="s">
        <v>83</v>
      </c>
      <c r="C7" s="40">
        <f>COUNTA(AL_INCPERC[AllowanceTypeCode])</f>
        <v>2</v>
      </c>
      <c r="D7" s="40"/>
      <c r="E7" s="40" t="b">
        <f t="shared" si="1"/>
        <v>0</v>
      </c>
      <c r="F7" s="40"/>
      <c r="G7" s="41"/>
      <c r="H7" s="40"/>
    </row>
    <row r="8" spans="1:8" x14ac:dyDescent="0.25">
      <c r="A8" s="40">
        <v>19</v>
      </c>
      <c r="B8" s="42" t="s">
        <v>84</v>
      </c>
      <c r="C8" s="40">
        <f>COUNTA(PAYSCALES[PayScaleEnabled])</f>
        <v>22</v>
      </c>
      <c r="D8" s="40"/>
      <c r="E8" s="40" t="b">
        <f t="shared" si="1"/>
        <v>0</v>
      </c>
      <c r="F8" s="40"/>
      <c r="G8" s="41"/>
      <c r="H8" s="40"/>
    </row>
    <row r="9" spans="1:8" x14ac:dyDescent="0.25">
      <c r="A9" s="40">
        <v>20</v>
      </c>
      <c r="B9" s="42" t="s">
        <v>85</v>
      </c>
      <c r="C9" s="40">
        <f>COUNTIF(PSPOINTS[PayScalePointEnabled],TRUE)</f>
        <v>492</v>
      </c>
      <c r="D9" s="40"/>
      <c r="E9" s="40" t="b">
        <f t="shared" si="1"/>
        <v>0</v>
      </c>
      <c r="F9" s="40"/>
      <c r="G9" s="41"/>
      <c r="H9" s="40"/>
    </row>
    <row r="10" spans="1:8" x14ac:dyDescent="0.25">
      <c r="A10" s="40">
        <v>21</v>
      </c>
      <c r="B10" s="40" t="s">
        <v>86</v>
      </c>
      <c r="C10" s="40">
        <f>COUNTA(PS_INCPERC[IncreasePercentage])</f>
        <v>19</v>
      </c>
      <c r="D10" s="40"/>
      <c r="E10" s="40" t="b">
        <f>IF(C10=D10,TRUE,FALSE)</f>
        <v>0</v>
      </c>
      <c r="F10" s="40"/>
      <c r="G10" s="41"/>
      <c r="H10" s="40"/>
    </row>
    <row r="11" spans="1:8" x14ac:dyDescent="0.25">
      <c r="A11" s="40">
        <v>22</v>
      </c>
      <c r="B11" s="40" t="s">
        <v>87</v>
      </c>
      <c r="C11" s="40">
        <f>COUNTA(GRADES[PayScaleGradeEnabled])</f>
        <v>33</v>
      </c>
      <c r="D11" s="40"/>
      <c r="E11" s="40" t="b">
        <f t="shared" si="1"/>
        <v>0</v>
      </c>
      <c r="F11" s="40"/>
      <c r="G11" s="41"/>
      <c r="H11" s="40"/>
    </row>
    <row r="12" spans="1:8" x14ac:dyDescent="0.25">
      <c r="A12" s="40">
        <v>23</v>
      </c>
      <c r="B12" s="40" t="s">
        <v>88</v>
      </c>
      <c r="C12" s="40">
        <f>COUNTA(EQW[EquatedWeekPatternEnabled])</f>
        <v>1</v>
      </c>
      <c r="D12" s="40"/>
      <c r="E12" s="40" t="b">
        <f t="shared" si="1"/>
        <v>0</v>
      </c>
      <c r="F12" s="40"/>
      <c r="G12" s="41"/>
      <c r="H12" s="40"/>
    </row>
    <row r="13" spans="1:8" x14ac:dyDescent="0.25">
      <c r="A13" s="40">
        <v>24</v>
      </c>
      <c r="B13" s="40" t="s">
        <v>89</v>
      </c>
      <c r="C13" s="40">
        <f>COUNTA(PENS[PensionEnabled])</f>
        <v>3</v>
      </c>
      <c r="D13" s="40"/>
      <c r="E13" s="40" t="b">
        <f t="shared" si="1"/>
        <v>0</v>
      </c>
      <c r="F13" s="40"/>
      <c r="G13" s="41"/>
      <c r="H13" s="40"/>
    </row>
    <row r="14" spans="1:8" x14ac:dyDescent="0.25">
      <c r="A14" s="40">
        <v>25</v>
      </c>
      <c r="B14" s="40" t="s">
        <v>90</v>
      </c>
      <c r="C14" s="40">
        <f>COUNTA(MEMBERS[StaffMemberEnabled])</f>
        <v>1</v>
      </c>
      <c r="D14" s="40"/>
      <c r="E14" s="40" t="b">
        <f t="shared" si="1"/>
        <v>0</v>
      </c>
      <c r="F14" s="40"/>
      <c r="G14" s="41"/>
      <c r="H14" s="40"/>
    </row>
    <row r="15" spans="1:8" x14ac:dyDescent="0.25">
      <c r="A15" s="40">
        <v>26</v>
      </c>
      <c r="B15" s="40" t="s">
        <v>91</v>
      </c>
      <c r="C15" s="40">
        <f>COUNTA(SRG[StaffRoleGroupEnabled])</f>
        <v>17</v>
      </c>
      <c r="D15" s="40"/>
      <c r="E15" s="40" t="b">
        <f t="shared" si="1"/>
        <v>0</v>
      </c>
      <c r="F15" s="40"/>
      <c r="G15" s="41"/>
      <c r="H15" s="40"/>
    </row>
    <row r="16" spans="1:8" x14ac:dyDescent="0.25">
      <c r="A16" s="40">
        <v>27</v>
      </c>
      <c r="B16" s="40" t="s">
        <v>92</v>
      </c>
      <c r="C16" s="40">
        <f>COUNTA(ROLES[StaffRoleEnabled])</f>
        <v>34</v>
      </c>
      <c r="D16" s="40"/>
      <c r="E16" s="40" t="b">
        <f t="shared" si="1"/>
        <v>0</v>
      </c>
      <c r="F16" s="40"/>
      <c r="G16" s="41"/>
      <c r="H16" s="40"/>
    </row>
    <row r="17" spans="1:9" x14ac:dyDescent="0.25">
      <c r="A17" s="40">
        <v>28</v>
      </c>
      <c r="B17" s="40" t="s">
        <v>93</v>
      </c>
      <c r="C17" s="40">
        <f>COUNTA(CONT_TEA[StaffMemberCode])</f>
        <v>1</v>
      </c>
      <c r="D17" s="40"/>
      <c r="E17" s="40" t="b">
        <f t="shared" si="1"/>
        <v>0</v>
      </c>
      <c r="F17" s="41" t="s">
        <v>94</v>
      </c>
      <c r="G17" s="41"/>
      <c r="H17" s="40"/>
    </row>
    <row r="18" spans="1:9" x14ac:dyDescent="0.25">
      <c r="A18" s="40">
        <v>29</v>
      </c>
      <c r="B18" s="40" t="s">
        <v>95</v>
      </c>
      <c r="C18" s="40">
        <f>COUNTA(CONT_SUP[StaffMemberCode])</f>
        <v>1</v>
      </c>
      <c r="D18" s="40"/>
      <c r="E18" s="40" t="b">
        <f t="shared" si="1"/>
        <v>0</v>
      </c>
      <c r="F18" s="40"/>
      <c r="G18" s="41"/>
      <c r="H18" s="40"/>
    </row>
    <row r="19" spans="1:9" x14ac:dyDescent="0.25">
      <c r="A19" s="40">
        <v>30</v>
      </c>
      <c r="B19" s="40" t="s">
        <v>96</v>
      </c>
      <c r="C19" s="40">
        <f>COUNTA(LEAVES[LeaveTypeEnabled])</f>
        <v>33</v>
      </c>
      <c r="D19" s="40"/>
      <c r="E19" s="40" t="b">
        <f t="shared" si="1"/>
        <v>0</v>
      </c>
      <c r="F19" s="40"/>
      <c r="G19" s="41"/>
      <c r="H19" s="40"/>
    </row>
    <row r="20" spans="1:9" x14ac:dyDescent="0.25">
      <c r="A20" s="40">
        <v>31</v>
      </c>
      <c r="B20" s="40" t="s">
        <v>97</v>
      </c>
      <c r="C20" s="40">
        <f>COUNTA(ADJTYPE[AdjustmentTypeCode])</f>
        <v>2</v>
      </c>
      <c r="D20" s="40"/>
      <c r="E20" s="40" t="b">
        <f t="shared" si="1"/>
        <v>0</v>
      </c>
      <c r="F20" s="40"/>
      <c r="G20" s="41"/>
      <c r="H20" s="40"/>
    </row>
    <row r="21" spans="1:9" ht="45" x14ac:dyDescent="0.25">
      <c r="A21" s="40">
        <v>32</v>
      </c>
      <c r="B21" s="40" t="s">
        <v>98</v>
      </c>
      <c r="C21" s="40">
        <f>COUNTA(SM_LEAVES[StaffMemberCode])</f>
        <v>0</v>
      </c>
      <c r="D21" s="40"/>
      <c r="E21" s="40" t="b">
        <f t="shared" si="1"/>
        <v>1</v>
      </c>
      <c r="F21" s="41" t="s">
        <v>99</v>
      </c>
      <c r="G21" s="41"/>
      <c r="H21" s="40"/>
      <c r="I21" s="29"/>
    </row>
    <row r="22" spans="1:9" x14ac:dyDescent="0.25">
      <c r="A22" s="40">
        <v>33</v>
      </c>
      <c r="B22" s="40" t="s">
        <v>100</v>
      </c>
      <c r="C22" s="40">
        <f>COUNTA(CONTADJ[SchoolCode])</f>
        <v>1</v>
      </c>
      <c r="D22" s="40"/>
      <c r="E22" s="40" t="b">
        <f t="shared" si="1"/>
        <v>0</v>
      </c>
      <c r="F22" s="40"/>
      <c r="G22" s="41"/>
      <c r="H22" s="40"/>
    </row>
    <row r="23" spans="1:9" x14ac:dyDescent="0.25">
      <c r="A23" s="172">
        <v>34</v>
      </c>
      <c r="B23" s="172" t="s">
        <v>101</v>
      </c>
      <c r="C23" s="172">
        <f>COUNTA(CONTAL[StaffMemberCode])</f>
        <v>1</v>
      </c>
      <c r="D23" s="172"/>
      <c r="E23" s="172" t="b">
        <f t="shared" ref="E23" si="2">IF(C23=D23,TRUE,FALSE)</f>
        <v>0</v>
      </c>
      <c r="F23" s="172"/>
      <c r="G23" s="173"/>
      <c r="H23" s="172"/>
    </row>
  </sheetData>
  <mergeCells count="1">
    <mergeCell ref="B1:H1"/>
  </mergeCells>
  <conditionalFormatting sqref="F4:H23">
    <cfRule type="cellIs" dxfId="31" priority="1" operator="notEqual">
      <formula>0</formula>
    </cfRule>
  </conditionalFormatting>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1700E-2205-41D7-B1D6-AE5D068982D0}">
  <sheetPr>
    <tabColor theme="0" tint="-0.499984740745262"/>
  </sheetPr>
  <dimension ref="A1:C481"/>
  <sheetViews>
    <sheetView topLeftCell="A454" workbookViewId="0">
      <selection activeCell="A477" sqref="A477:C480"/>
    </sheetView>
  </sheetViews>
  <sheetFormatPr defaultRowHeight="15" x14ac:dyDescent="0.25"/>
  <cols>
    <col min="1" max="1" width="20.5703125" bestFit="1" customWidth="1"/>
    <col min="2" max="2" width="81" bestFit="1" customWidth="1"/>
    <col min="3" max="3" width="25" bestFit="1" customWidth="1"/>
  </cols>
  <sheetData>
    <row r="1" spans="1:3" x14ac:dyDescent="0.25">
      <c r="A1" t="s">
        <v>102</v>
      </c>
      <c r="B1" t="s">
        <v>103</v>
      </c>
      <c r="C1" t="s">
        <v>104</v>
      </c>
    </row>
    <row r="2" spans="1:3" x14ac:dyDescent="0.25">
      <c r="A2" t="s">
        <v>105</v>
      </c>
      <c r="B2" t="s">
        <v>106</v>
      </c>
      <c r="C2" t="s">
        <v>107</v>
      </c>
    </row>
    <row r="3" spans="1:3" x14ac:dyDescent="0.25">
      <c r="A3" t="s">
        <v>108</v>
      </c>
      <c r="B3" t="s">
        <v>109</v>
      </c>
      <c r="C3" t="s">
        <v>107</v>
      </c>
    </row>
    <row r="4" spans="1:3" x14ac:dyDescent="0.25">
      <c r="A4" t="s">
        <v>110</v>
      </c>
      <c r="B4" t="s">
        <v>111</v>
      </c>
      <c r="C4" t="s">
        <v>107</v>
      </c>
    </row>
    <row r="5" spans="1:3" x14ac:dyDescent="0.25">
      <c r="A5" t="s">
        <v>112</v>
      </c>
      <c r="B5" t="s">
        <v>113</v>
      </c>
      <c r="C5" t="s">
        <v>107</v>
      </c>
    </row>
    <row r="6" spans="1:3" x14ac:dyDescent="0.25">
      <c r="A6" t="s">
        <v>114</v>
      </c>
      <c r="B6" t="s">
        <v>115</v>
      </c>
      <c r="C6" t="s">
        <v>107</v>
      </c>
    </row>
    <row r="7" spans="1:3" x14ac:dyDescent="0.25">
      <c r="A7" t="s">
        <v>116</v>
      </c>
      <c r="B7" t="s">
        <v>117</v>
      </c>
      <c r="C7" t="s">
        <v>107</v>
      </c>
    </row>
    <row r="8" spans="1:3" x14ac:dyDescent="0.25">
      <c r="A8" t="s">
        <v>118</v>
      </c>
      <c r="B8" t="s">
        <v>119</v>
      </c>
      <c r="C8" t="s">
        <v>107</v>
      </c>
    </row>
    <row r="9" spans="1:3" x14ac:dyDescent="0.25">
      <c r="A9" t="s">
        <v>120</v>
      </c>
      <c r="B9" t="s">
        <v>121</v>
      </c>
      <c r="C9" t="s">
        <v>107</v>
      </c>
    </row>
    <row r="10" spans="1:3" x14ac:dyDescent="0.25">
      <c r="A10" t="s">
        <v>122</v>
      </c>
      <c r="B10" t="s">
        <v>123</v>
      </c>
      <c r="C10" t="s">
        <v>107</v>
      </c>
    </row>
    <row r="11" spans="1:3" x14ac:dyDescent="0.25">
      <c r="A11" t="s">
        <v>124</v>
      </c>
      <c r="B11" t="s">
        <v>125</v>
      </c>
      <c r="C11" t="s">
        <v>107</v>
      </c>
    </row>
    <row r="12" spans="1:3" x14ac:dyDescent="0.25">
      <c r="A12" t="s">
        <v>126</v>
      </c>
      <c r="B12" t="s">
        <v>127</v>
      </c>
      <c r="C12" t="s">
        <v>107</v>
      </c>
    </row>
    <row r="13" spans="1:3" x14ac:dyDescent="0.25">
      <c r="A13" t="s">
        <v>128</v>
      </c>
      <c r="B13" t="s">
        <v>129</v>
      </c>
      <c r="C13" t="s">
        <v>107</v>
      </c>
    </row>
    <row r="14" spans="1:3" x14ac:dyDescent="0.25">
      <c r="A14" t="s">
        <v>130</v>
      </c>
      <c r="B14" t="s">
        <v>131</v>
      </c>
      <c r="C14" t="s">
        <v>107</v>
      </c>
    </row>
    <row r="15" spans="1:3" x14ac:dyDescent="0.25">
      <c r="A15" t="s">
        <v>132</v>
      </c>
      <c r="B15" t="s">
        <v>133</v>
      </c>
      <c r="C15" t="s">
        <v>107</v>
      </c>
    </row>
    <row r="16" spans="1:3" x14ac:dyDescent="0.25">
      <c r="A16" t="s">
        <v>134</v>
      </c>
      <c r="B16" t="s">
        <v>135</v>
      </c>
      <c r="C16" t="s">
        <v>107</v>
      </c>
    </row>
    <row r="17" spans="1:3" x14ac:dyDescent="0.25">
      <c r="A17" t="s">
        <v>136</v>
      </c>
      <c r="B17" t="s">
        <v>137</v>
      </c>
      <c r="C17" t="s">
        <v>107</v>
      </c>
    </row>
    <row r="18" spans="1:3" x14ac:dyDescent="0.25">
      <c r="A18" t="s">
        <v>138</v>
      </c>
      <c r="B18" t="s">
        <v>139</v>
      </c>
      <c r="C18" t="s">
        <v>107</v>
      </c>
    </row>
    <row r="19" spans="1:3" x14ac:dyDescent="0.25">
      <c r="A19" t="s">
        <v>140</v>
      </c>
      <c r="B19" t="s">
        <v>141</v>
      </c>
      <c r="C19" t="s">
        <v>107</v>
      </c>
    </row>
    <row r="20" spans="1:3" x14ac:dyDescent="0.25">
      <c r="A20" t="s">
        <v>142</v>
      </c>
      <c r="B20" t="s">
        <v>143</v>
      </c>
      <c r="C20" t="s">
        <v>107</v>
      </c>
    </row>
    <row r="21" spans="1:3" x14ac:dyDescent="0.25">
      <c r="A21" t="s">
        <v>144</v>
      </c>
      <c r="B21" t="s">
        <v>145</v>
      </c>
      <c r="C21" t="s">
        <v>107</v>
      </c>
    </row>
    <row r="22" spans="1:3" x14ac:dyDescent="0.25">
      <c r="A22" t="s">
        <v>146</v>
      </c>
      <c r="B22" t="s">
        <v>147</v>
      </c>
      <c r="C22" t="s">
        <v>107</v>
      </c>
    </row>
    <row r="23" spans="1:3" x14ac:dyDescent="0.25">
      <c r="A23" t="s">
        <v>148</v>
      </c>
      <c r="B23" t="s">
        <v>149</v>
      </c>
      <c r="C23" t="s">
        <v>107</v>
      </c>
    </row>
    <row r="24" spans="1:3" x14ac:dyDescent="0.25">
      <c r="A24" t="s">
        <v>150</v>
      </c>
      <c r="B24" t="s">
        <v>151</v>
      </c>
      <c r="C24" t="s">
        <v>107</v>
      </c>
    </row>
    <row r="25" spans="1:3" x14ac:dyDescent="0.25">
      <c r="A25" t="s">
        <v>152</v>
      </c>
      <c r="B25" t="s">
        <v>153</v>
      </c>
      <c r="C25" t="s">
        <v>107</v>
      </c>
    </row>
    <row r="26" spans="1:3" x14ac:dyDescent="0.25">
      <c r="A26" t="s">
        <v>154</v>
      </c>
      <c r="B26" t="s">
        <v>155</v>
      </c>
      <c r="C26" t="s">
        <v>107</v>
      </c>
    </row>
    <row r="27" spans="1:3" x14ac:dyDescent="0.25">
      <c r="A27" t="s">
        <v>156</v>
      </c>
      <c r="B27" t="s">
        <v>157</v>
      </c>
      <c r="C27" t="s">
        <v>107</v>
      </c>
    </row>
    <row r="28" spans="1:3" x14ac:dyDescent="0.25">
      <c r="A28" t="s">
        <v>158</v>
      </c>
      <c r="B28" t="s">
        <v>159</v>
      </c>
      <c r="C28" t="s">
        <v>107</v>
      </c>
    </row>
    <row r="29" spans="1:3" x14ac:dyDescent="0.25">
      <c r="A29" t="s">
        <v>160</v>
      </c>
      <c r="B29" t="s">
        <v>161</v>
      </c>
      <c r="C29" t="s">
        <v>107</v>
      </c>
    </row>
    <row r="30" spans="1:3" x14ac:dyDescent="0.25">
      <c r="A30" t="s">
        <v>162</v>
      </c>
      <c r="B30" t="s">
        <v>163</v>
      </c>
      <c r="C30" t="s">
        <v>107</v>
      </c>
    </row>
    <row r="31" spans="1:3" x14ac:dyDescent="0.25">
      <c r="A31" t="s">
        <v>164</v>
      </c>
      <c r="B31" t="s">
        <v>165</v>
      </c>
      <c r="C31" t="s">
        <v>107</v>
      </c>
    </row>
    <row r="32" spans="1:3" x14ac:dyDescent="0.25">
      <c r="A32" t="s">
        <v>166</v>
      </c>
      <c r="B32" t="s">
        <v>167</v>
      </c>
      <c r="C32" t="s">
        <v>107</v>
      </c>
    </row>
    <row r="33" spans="1:3" x14ac:dyDescent="0.25">
      <c r="A33" t="s">
        <v>168</v>
      </c>
      <c r="B33" t="s">
        <v>169</v>
      </c>
      <c r="C33" t="s">
        <v>107</v>
      </c>
    </row>
    <row r="34" spans="1:3" x14ac:dyDescent="0.25">
      <c r="A34" t="s">
        <v>170</v>
      </c>
      <c r="B34" t="s">
        <v>171</v>
      </c>
      <c r="C34" t="s">
        <v>107</v>
      </c>
    </row>
    <row r="35" spans="1:3" x14ac:dyDescent="0.25">
      <c r="A35" t="s">
        <v>172</v>
      </c>
      <c r="B35" t="s">
        <v>173</v>
      </c>
      <c r="C35" t="s">
        <v>107</v>
      </c>
    </row>
    <row r="36" spans="1:3" x14ac:dyDescent="0.25">
      <c r="A36" t="s">
        <v>174</v>
      </c>
      <c r="B36" t="s">
        <v>175</v>
      </c>
      <c r="C36" t="s">
        <v>107</v>
      </c>
    </row>
    <row r="37" spans="1:3" x14ac:dyDescent="0.25">
      <c r="A37" t="s">
        <v>176</v>
      </c>
      <c r="B37" t="s">
        <v>177</v>
      </c>
      <c r="C37" t="s">
        <v>107</v>
      </c>
    </row>
    <row r="38" spans="1:3" x14ac:dyDescent="0.25">
      <c r="A38" t="s">
        <v>178</v>
      </c>
      <c r="B38" t="s">
        <v>179</v>
      </c>
      <c r="C38" t="s">
        <v>107</v>
      </c>
    </row>
    <row r="39" spans="1:3" x14ac:dyDescent="0.25">
      <c r="A39" t="s">
        <v>180</v>
      </c>
      <c r="B39" t="s">
        <v>181</v>
      </c>
      <c r="C39" t="s">
        <v>107</v>
      </c>
    </row>
    <row r="40" spans="1:3" x14ac:dyDescent="0.25">
      <c r="A40" t="s">
        <v>182</v>
      </c>
      <c r="B40" t="s">
        <v>183</v>
      </c>
      <c r="C40" t="s">
        <v>107</v>
      </c>
    </row>
    <row r="41" spans="1:3" x14ac:dyDescent="0.25">
      <c r="A41" t="s">
        <v>184</v>
      </c>
      <c r="B41" t="s">
        <v>185</v>
      </c>
      <c r="C41" t="s">
        <v>107</v>
      </c>
    </row>
    <row r="42" spans="1:3" x14ac:dyDescent="0.25">
      <c r="A42" t="s">
        <v>186</v>
      </c>
      <c r="B42" t="s">
        <v>187</v>
      </c>
      <c r="C42" t="s">
        <v>107</v>
      </c>
    </row>
    <row r="43" spans="1:3" x14ac:dyDescent="0.25">
      <c r="A43" t="s">
        <v>188</v>
      </c>
      <c r="B43" t="s">
        <v>189</v>
      </c>
      <c r="C43" t="s">
        <v>107</v>
      </c>
    </row>
    <row r="44" spans="1:3" x14ac:dyDescent="0.25">
      <c r="A44" t="s">
        <v>190</v>
      </c>
      <c r="B44" t="s">
        <v>191</v>
      </c>
      <c r="C44" t="s">
        <v>107</v>
      </c>
    </row>
    <row r="45" spans="1:3" x14ac:dyDescent="0.25">
      <c r="A45" t="s">
        <v>192</v>
      </c>
      <c r="B45" t="s">
        <v>193</v>
      </c>
      <c r="C45" t="s">
        <v>107</v>
      </c>
    </row>
    <row r="46" spans="1:3" x14ac:dyDescent="0.25">
      <c r="A46" t="s">
        <v>194</v>
      </c>
      <c r="B46" t="s">
        <v>195</v>
      </c>
      <c r="C46" t="s">
        <v>107</v>
      </c>
    </row>
    <row r="47" spans="1:3" x14ac:dyDescent="0.25">
      <c r="A47" t="s">
        <v>196</v>
      </c>
      <c r="B47" t="s">
        <v>197</v>
      </c>
      <c r="C47" t="s">
        <v>107</v>
      </c>
    </row>
    <row r="48" spans="1:3" x14ac:dyDescent="0.25">
      <c r="A48" t="s">
        <v>198</v>
      </c>
      <c r="B48" t="s">
        <v>199</v>
      </c>
      <c r="C48" t="s">
        <v>107</v>
      </c>
    </row>
    <row r="49" spans="1:3" x14ac:dyDescent="0.25">
      <c r="A49" t="s">
        <v>200</v>
      </c>
      <c r="B49" t="s">
        <v>201</v>
      </c>
      <c r="C49" t="s">
        <v>107</v>
      </c>
    </row>
    <row r="50" spans="1:3" x14ac:dyDescent="0.25">
      <c r="A50" t="s">
        <v>202</v>
      </c>
      <c r="B50" t="s">
        <v>203</v>
      </c>
      <c r="C50" t="s">
        <v>107</v>
      </c>
    </row>
    <row r="51" spans="1:3" x14ac:dyDescent="0.25">
      <c r="A51" t="s">
        <v>204</v>
      </c>
      <c r="B51" t="s">
        <v>205</v>
      </c>
      <c r="C51" t="s">
        <v>107</v>
      </c>
    </row>
    <row r="52" spans="1:3" x14ac:dyDescent="0.25">
      <c r="A52" t="s">
        <v>206</v>
      </c>
      <c r="B52" t="s">
        <v>207</v>
      </c>
      <c r="C52" t="s">
        <v>107</v>
      </c>
    </row>
    <row r="53" spans="1:3" x14ac:dyDescent="0.25">
      <c r="A53" t="s">
        <v>208</v>
      </c>
      <c r="B53" t="s">
        <v>209</v>
      </c>
      <c r="C53" t="s">
        <v>107</v>
      </c>
    </row>
    <row r="54" spans="1:3" x14ac:dyDescent="0.25">
      <c r="A54" t="s">
        <v>210</v>
      </c>
      <c r="B54" t="s">
        <v>211</v>
      </c>
      <c r="C54" t="s">
        <v>107</v>
      </c>
    </row>
    <row r="55" spans="1:3" x14ac:dyDescent="0.25">
      <c r="A55" t="s">
        <v>212</v>
      </c>
      <c r="B55" t="s">
        <v>213</v>
      </c>
      <c r="C55" t="s">
        <v>107</v>
      </c>
    </row>
    <row r="56" spans="1:3" x14ac:dyDescent="0.25">
      <c r="A56" t="s">
        <v>214</v>
      </c>
      <c r="B56" t="s">
        <v>215</v>
      </c>
      <c r="C56" t="s">
        <v>216</v>
      </c>
    </row>
    <row r="57" spans="1:3" x14ac:dyDescent="0.25">
      <c r="A57" t="s">
        <v>217</v>
      </c>
      <c r="B57" t="s">
        <v>218</v>
      </c>
      <c r="C57" t="s">
        <v>216</v>
      </c>
    </row>
    <row r="58" spans="1:3" x14ac:dyDescent="0.25">
      <c r="A58" t="s">
        <v>219</v>
      </c>
      <c r="B58" t="s">
        <v>220</v>
      </c>
      <c r="C58" t="s">
        <v>216</v>
      </c>
    </row>
    <row r="59" spans="1:3" x14ac:dyDescent="0.25">
      <c r="A59" t="s">
        <v>221</v>
      </c>
      <c r="B59" t="s">
        <v>222</v>
      </c>
      <c r="C59" t="s">
        <v>216</v>
      </c>
    </row>
    <row r="60" spans="1:3" x14ac:dyDescent="0.25">
      <c r="A60" t="s">
        <v>223</v>
      </c>
      <c r="B60" t="s">
        <v>224</v>
      </c>
      <c r="C60" t="s">
        <v>216</v>
      </c>
    </row>
    <row r="61" spans="1:3" x14ac:dyDescent="0.25">
      <c r="A61" t="s">
        <v>225</v>
      </c>
      <c r="B61" t="s">
        <v>226</v>
      </c>
      <c r="C61" t="s">
        <v>216</v>
      </c>
    </row>
    <row r="62" spans="1:3" x14ac:dyDescent="0.25">
      <c r="A62" t="s">
        <v>227</v>
      </c>
      <c r="B62" t="s">
        <v>228</v>
      </c>
      <c r="C62" t="s">
        <v>216</v>
      </c>
    </row>
    <row r="63" spans="1:3" x14ac:dyDescent="0.25">
      <c r="A63" t="s">
        <v>229</v>
      </c>
      <c r="B63" t="s">
        <v>230</v>
      </c>
      <c r="C63" t="s">
        <v>216</v>
      </c>
    </row>
    <row r="64" spans="1:3" x14ac:dyDescent="0.25">
      <c r="A64" t="s">
        <v>231</v>
      </c>
      <c r="B64" t="s">
        <v>232</v>
      </c>
      <c r="C64" t="s">
        <v>216</v>
      </c>
    </row>
    <row r="65" spans="1:3" x14ac:dyDescent="0.25">
      <c r="A65" t="s">
        <v>233</v>
      </c>
      <c r="B65" t="s">
        <v>234</v>
      </c>
      <c r="C65" t="s">
        <v>216</v>
      </c>
    </row>
    <row r="66" spans="1:3" x14ac:dyDescent="0.25">
      <c r="A66" t="s">
        <v>235</v>
      </c>
      <c r="B66" t="s">
        <v>236</v>
      </c>
      <c r="C66" t="s">
        <v>216</v>
      </c>
    </row>
    <row r="67" spans="1:3" x14ac:dyDescent="0.25">
      <c r="A67" t="s">
        <v>237</v>
      </c>
      <c r="B67" t="s">
        <v>238</v>
      </c>
      <c r="C67" t="s">
        <v>216</v>
      </c>
    </row>
    <row r="68" spans="1:3" x14ac:dyDescent="0.25">
      <c r="A68" t="s">
        <v>239</v>
      </c>
      <c r="B68" t="s">
        <v>240</v>
      </c>
      <c r="C68" t="s">
        <v>216</v>
      </c>
    </row>
    <row r="69" spans="1:3" x14ac:dyDescent="0.25">
      <c r="A69" t="s">
        <v>241</v>
      </c>
      <c r="B69" t="s">
        <v>242</v>
      </c>
      <c r="C69" t="s">
        <v>216</v>
      </c>
    </row>
    <row r="70" spans="1:3" x14ac:dyDescent="0.25">
      <c r="A70" t="s">
        <v>243</v>
      </c>
      <c r="B70" t="s">
        <v>244</v>
      </c>
      <c r="C70" t="s">
        <v>216</v>
      </c>
    </row>
    <row r="71" spans="1:3" x14ac:dyDescent="0.25">
      <c r="A71" t="s">
        <v>245</v>
      </c>
      <c r="B71" t="s">
        <v>246</v>
      </c>
      <c r="C71" t="s">
        <v>216</v>
      </c>
    </row>
    <row r="72" spans="1:3" x14ac:dyDescent="0.25">
      <c r="A72" t="s">
        <v>247</v>
      </c>
      <c r="B72" t="s">
        <v>248</v>
      </c>
      <c r="C72" t="s">
        <v>216</v>
      </c>
    </row>
    <row r="73" spans="1:3" x14ac:dyDescent="0.25">
      <c r="A73" t="s">
        <v>249</v>
      </c>
      <c r="B73" t="s">
        <v>250</v>
      </c>
      <c r="C73" t="s">
        <v>216</v>
      </c>
    </row>
    <row r="74" spans="1:3" x14ac:dyDescent="0.25">
      <c r="A74" t="s">
        <v>251</v>
      </c>
      <c r="B74" t="s">
        <v>252</v>
      </c>
      <c r="C74" t="s">
        <v>216</v>
      </c>
    </row>
    <row r="75" spans="1:3" x14ac:dyDescent="0.25">
      <c r="A75" t="s">
        <v>253</v>
      </c>
      <c r="B75" t="s">
        <v>254</v>
      </c>
      <c r="C75" t="s">
        <v>216</v>
      </c>
    </row>
    <row r="76" spans="1:3" x14ac:dyDescent="0.25">
      <c r="A76" t="s">
        <v>255</v>
      </c>
      <c r="B76" t="s">
        <v>256</v>
      </c>
      <c r="C76" t="s">
        <v>107</v>
      </c>
    </row>
    <row r="77" spans="1:3" x14ac:dyDescent="0.25">
      <c r="A77" t="s">
        <v>257</v>
      </c>
      <c r="B77" t="s">
        <v>258</v>
      </c>
      <c r="C77" t="s">
        <v>107</v>
      </c>
    </row>
    <row r="78" spans="1:3" x14ac:dyDescent="0.25">
      <c r="A78" t="s">
        <v>259</v>
      </c>
      <c r="B78" t="s">
        <v>260</v>
      </c>
      <c r="C78" t="s">
        <v>107</v>
      </c>
    </row>
    <row r="79" spans="1:3" x14ac:dyDescent="0.25">
      <c r="A79" t="s">
        <v>261</v>
      </c>
      <c r="B79" t="s">
        <v>262</v>
      </c>
      <c r="C79" t="s">
        <v>107</v>
      </c>
    </row>
    <row r="80" spans="1:3" x14ac:dyDescent="0.25">
      <c r="A80" t="s">
        <v>263</v>
      </c>
      <c r="B80" t="s">
        <v>264</v>
      </c>
      <c r="C80" t="s">
        <v>107</v>
      </c>
    </row>
    <row r="81" spans="1:3" x14ac:dyDescent="0.25">
      <c r="A81" t="s">
        <v>265</v>
      </c>
      <c r="B81" t="s">
        <v>266</v>
      </c>
      <c r="C81" t="s">
        <v>107</v>
      </c>
    </row>
    <row r="82" spans="1:3" x14ac:dyDescent="0.25">
      <c r="A82" t="s">
        <v>267</v>
      </c>
      <c r="B82" t="s">
        <v>268</v>
      </c>
      <c r="C82" t="s">
        <v>107</v>
      </c>
    </row>
    <row r="83" spans="1:3" x14ac:dyDescent="0.25">
      <c r="A83" t="s">
        <v>269</v>
      </c>
      <c r="B83" t="s">
        <v>270</v>
      </c>
      <c r="C83" t="s">
        <v>107</v>
      </c>
    </row>
    <row r="84" spans="1:3" x14ac:dyDescent="0.25">
      <c r="A84" t="s">
        <v>271</v>
      </c>
      <c r="B84" t="s">
        <v>272</v>
      </c>
      <c r="C84" t="s">
        <v>107</v>
      </c>
    </row>
    <row r="85" spans="1:3" x14ac:dyDescent="0.25">
      <c r="A85" t="s">
        <v>273</v>
      </c>
      <c r="B85" t="s">
        <v>274</v>
      </c>
      <c r="C85" t="s">
        <v>107</v>
      </c>
    </row>
    <row r="86" spans="1:3" x14ac:dyDescent="0.25">
      <c r="A86" t="s">
        <v>275</v>
      </c>
      <c r="B86" t="s">
        <v>276</v>
      </c>
      <c r="C86" t="s">
        <v>216</v>
      </c>
    </row>
    <row r="87" spans="1:3" x14ac:dyDescent="0.25">
      <c r="A87" t="s">
        <v>277</v>
      </c>
      <c r="B87" t="s">
        <v>278</v>
      </c>
      <c r="C87" t="s">
        <v>107</v>
      </c>
    </row>
    <row r="88" spans="1:3" x14ac:dyDescent="0.25">
      <c r="A88" t="s">
        <v>279</v>
      </c>
      <c r="B88" t="s">
        <v>280</v>
      </c>
      <c r="C88" t="s">
        <v>107</v>
      </c>
    </row>
    <row r="89" spans="1:3" x14ac:dyDescent="0.25">
      <c r="A89" t="s">
        <v>281</v>
      </c>
      <c r="B89" t="s">
        <v>282</v>
      </c>
      <c r="C89" t="s">
        <v>107</v>
      </c>
    </row>
    <row r="90" spans="1:3" x14ac:dyDescent="0.25">
      <c r="A90" t="s">
        <v>283</v>
      </c>
      <c r="B90" t="s">
        <v>284</v>
      </c>
      <c r="C90" t="s">
        <v>107</v>
      </c>
    </row>
    <row r="91" spans="1:3" x14ac:dyDescent="0.25">
      <c r="A91" t="s">
        <v>285</v>
      </c>
      <c r="B91" t="s">
        <v>286</v>
      </c>
      <c r="C91" t="s">
        <v>107</v>
      </c>
    </row>
    <row r="92" spans="1:3" x14ac:dyDescent="0.25">
      <c r="A92" t="s">
        <v>287</v>
      </c>
      <c r="B92" t="s">
        <v>288</v>
      </c>
      <c r="C92" t="s">
        <v>107</v>
      </c>
    </row>
    <row r="93" spans="1:3" x14ac:dyDescent="0.25">
      <c r="A93" t="s">
        <v>289</v>
      </c>
      <c r="B93" t="s">
        <v>290</v>
      </c>
      <c r="C93" t="s">
        <v>107</v>
      </c>
    </row>
    <row r="94" spans="1:3" x14ac:dyDescent="0.25">
      <c r="A94" t="s">
        <v>291</v>
      </c>
      <c r="B94" t="s">
        <v>292</v>
      </c>
      <c r="C94" t="s">
        <v>107</v>
      </c>
    </row>
    <row r="95" spans="1:3" x14ac:dyDescent="0.25">
      <c r="A95" t="s">
        <v>293</v>
      </c>
      <c r="B95" t="s">
        <v>294</v>
      </c>
      <c r="C95" t="s">
        <v>107</v>
      </c>
    </row>
    <row r="96" spans="1:3" x14ac:dyDescent="0.25">
      <c r="A96" t="s">
        <v>295</v>
      </c>
      <c r="B96" t="s">
        <v>296</v>
      </c>
      <c r="C96" t="s">
        <v>107</v>
      </c>
    </row>
    <row r="97" spans="1:3" x14ac:dyDescent="0.25">
      <c r="A97" t="s">
        <v>297</v>
      </c>
      <c r="B97" t="s">
        <v>298</v>
      </c>
      <c r="C97" t="s">
        <v>107</v>
      </c>
    </row>
    <row r="98" spans="1:3" x14ac:dyDescent="0.25">
      <c r="A98" t="s">
        <v>299</v>
      </c>
      <c r="B98" t="s">
        <v>300</v>
      </c>
      <c r="C98" t="s">
        <v>107</v>
      </c>
    </row>
    <row r="99" spans="1:3" x14ac:dyDescent="0.25">
      <c r="A99" t="s">
        <v>301</v>
      </c>
      <c r="B99" t="s">
        <v>302</v>
      </c>
      <c r="C99" t="s">
        <v>303</v>
      </c>
    </row>
    <row r="100" spans="1:3" x14ac:dyDescent="0.25">
      <c r="A100" t="s">
        <v>304</v>
      </c>
      <c r="B100" t="s">
        <v>305</v>
      </c>
      <c r="C100" t="s">
        <v>303</v>
      </c>
    </row>
    <row r="101" spans="1:3" x14ac:dyDescent="0.25">
      <c r="A101" t="s">
        <v>306</v>
      </c>
      <c r="B101" t="s">
        <v>307</v>
      </c>
      <c r="C101" t="s">
        <v>303</v>
      </c>
    </row>
    <row r="102" spans="1:3" x14ac:dyDescent="0.25">
      <c r="A102" t="s">
        <v>308</v>
      </c>
      <c r="B102" t="s">
        <v>309</v>
      </c>
      <c r="C102" t="s">
        <v>303</v>
      </c>
    </row>
    <row r="103" spans="1:3" x14ac:dyDescent="0.25">
      <c r="A103" t="s">
        <v>310</v>
      </c>
      <c r="B103" t="s">
        <v>311</v>
      </c>
      <c r="C103" t="s">
        <v>303</v>
      </c>
    </row>
    <row r="104" spans="1:3" x14ac:dyDescent="0.25">
      <c r="A104" t="s">
        <v>312</v>
      </c>
      <c r="B104" t="s">
        <v>313</v>
      </c>
      <c r="C104" t="s">
        <v>303</v>
      </c>
    </row>
    <row r="105" spans="1:3" x14ac:dyDescent="0.25">
      <c r="A105" t="s">
        <v>314</v>
      </c>
      <c r="B105" t="s">
        <v>315</v>
      </c>
      <c r="C105" t="s">
        <v>303</v>
      </c>
    </row>
    <row r="106" spans="1:3" x14ac:dyDescent="0.25">
      <c r="A106" t="s">
        <v>316</v>
      </c>
      <c r="B106" t="s">
        <v>317</v>
      </c>
      <c r="C106" t="s">
        <v>303</v>
      </c>
    </row>
    <row r="107" spans="1:3" x14ac:dyDescent="0.25">
      <c r="A107" t="s">
        <v>318</v>
      </c>
      <c r="B107" t="s">
        <v>319</v>
      </c>
      <c r="C107" t="s">
        <v>303</v>
      </c>
    </row>
    <row r="108" spans="1:3" x14ac:dyDescent="0.25">
      <c r="A108" t="s">
        <v>320</v>
      </c>
      <c r="B108" t="s">
        <v>321</v>
      </c>
      <c r="C108" t="s">
        <v>303</v>
      </c>
    </row>
    <row r="109" spans="1:3" x14ac:dyDescent="0.25">
      <c r="A109" t="s">
        <v>322</v>
      </c>
      <c r="B109" t="s">
        <v>323</v>
      </c>
      <c r="C109" t="s">
        <v>303</v>
      </c>
    </row>
    <row r="110" spans="1:3" x14ac:dyDescent="0.25">
      <c r="A110" t="s">
        <v>324</v>
      </c>
      <c r="B110" t="s">
        <v>325</v>
      </c>
      <c r="C110" t="s">
        <v>303</v>
      </c>
    </row>
    <row r="111" spans="1:3" x14ac:dyDescent="0.25">
      <c r="A111" t="s">
        <v>326</v>
      </c>
      <c r="B111" t="s">
        <v>327</v>
      </c>
      <c r="C111" t="s">
        <v>303</v>
      </c>
    </row>
    <row r="112" spans="1:3" x14ac:dyDescent="0.25">
      <c r="A112" t="s">
        <v>328</v>
      </c>
      <c r="B112" t="s">
        <v>329</v>
      </c>
      <c r="C112" t="s">
        <v>303</v>
      </c>
    </row>
    <row r="113" spans="1:3" x14ac:dyDescent="0.25">
      <c r="A113" t="s">
        <v>330</v>
      </c>
      <c r="B113" t="s">
        <v>331</v>
      </c>
      <c r="C113" t="s">
        <v>303</v>
      </c>
    </row>
    <row r="114" spans="1:3" x14ac:dyDescent="0.25">
      <c r="A114" t="s">
        <v>332</v>
      </c>
      <c r="B114" t="s">
        <v>333</v>
      </c>
      <c r="C114" t="s">
        <v>303</v>
      </c>
    </row>
    <row r="115" spans="1:3" x14ac:dyDescent="0.25">
      <c r="A115" t="s">
        <v>334</v>
      </c>
      <c r="B115" t="s">
        <v>335</v>
      </c>
      <c r="C115" t="s">
        <v>303</v>
      </c>
    </row>
    <row r="116" spans="1:3" x14ac:dyDescent="0.25">
      <c r="A116" t="s">
        <v>336</v>
      </c>
      <c r="B116" t="s">
        <v>337</v>
      </c>
      <c r="C116" t="s">
        <v>303</v>
      </c>
    </row>
    <row r="117" spans="1:3" x14ac:dyDescent="0.25">
      <c r="A117" t="s">
        <v>338</v>
      </c>
      <c r="B117" t="s">
        <v>339</v>
      </c>
      <c r="C117" t="s">
        <v>303</v>
      </c>
    </row>
    <row r="118" spans="1:3" x14ac:dyDescent="0.25">
      <c r="A118" t="s">
        <v>340</v>
      </c>
      <c r="B118" t="s">
        <v>341</v>
      </c>
      <c r="C118" t="s">
        <v>303</v>
      </c>
    </row>
    <row r="119" spans="1:3" x14ac:dyDescent="0.25">
      <c r="A119" t="s">
        <v>342</v>
      </c>
      <c r="B119" t="s">
        <v>343</v>
      </c>
      <c r="C119" t="s">
        <v>303</v>
      </c>
    </row>
    <row r="120" spans="1:3" x14ac:dyDescent="0.25">
      <c r="A120" t="s">
        <v>344</v>
      </c>
      <c r="B120" t="s">
        <v>345</v>
      </c>
      <c r="C120" t="s">
        <v>303</v>
      </c>
    </row>
    <row r="121" spans="1:3" x14ac:dyDescent="0.25">
      <c r="A121" t="s">
        <v>346</v>
      </c>
      <c r="B121" t="s">
        <v>347</v>
      </c>
      <c r="C121" t="s">
        <v>303</v>
      </c>
    </row>
    <row r="122" spans="1:3" x14ac:dyDescent="0.25">
      <c r="A122" t="s">
        <v>348</v>
      </c>
      <c r="B122" t="s">
        <v>349</v>
      </c>
      <c r="C122" t="s">
        <v>303</v>
      </c>
    </row>
    <row r="123" spans="1:3" x14ac:dyDescent="0.25">
      <c r="A123" t="s">
        <v>350</v>
      </c>
      <c r="B123" t="s">
        <v>351</v>
      </c>
      <c r="C123" t="s">
        <v>303</v>
      </c>
    </row>
    <row r="124" spans="1:3" x14ac:dyDescent="0.25">
      <c r="A124" t="s">
        <v>352</v>
      </c>
      <c r="B124" t="s">
        <v>353</v>
      </c>
      <c r="C124" t="s">
        <v>303</v>
      </c>
    </row>
    <row r="125" spans="1:3" x14ac:dyDescent="0.25">
      <c r="A125" t="s">
        <v>354</v>
      </c>
      <c r="B125" t="s">
        <v>355</v>
      </c>
      <c r="C125" t="s">
        <v>303</v>
      </c>
    </row>
    <row r="126" spans="1:3" x14ac:dyDescent="0.25">
      <c r="A126" t="s">
        <v>356</v>
      </c>
      <c r="B126" t="s">
        <v>357</v>
      </c>
      <c r="C126" t="s">
        <v>303</v>
      </c>
    </row>
    <row r="127" spans="1:3" x14ac:dyDescent="0.25">
      <c r="A127" t="s">
        <v>358</v>
      </c>
      <c r="B127" t="s">
        <v>359</v>
      </c>
      <c r="C127" t="s">
        <v>303</v>
      </c>
    </row>
    <row r="128" spans="1:3" x14ac:dyDescent="0.25">
      <c r="A128" t="s">
        <v>360</v>
      </c>
      <c r="B128" t="s">
        <v>361</v>
      </c>
      <c r="C128" t="s">
        <v>303</v>
      </c>
    </row>
    <row r="129" spans="1:3" x14ac:dyDescent="0.25">
      <c r="A129" t="s">
        <v>362</v>
      </c>
      <c r="B129" t="s">
        <v>363</v>
      </c>
      <c r="C129" t="s">
        <v>303</v>
      </c>
    </row>
    <row r="130" spans="1:3" x14ac:dyDescent="0.25">
      <c r="A130" t="s">
        <v>364</v>
      </c>
      <c r="B130" t="s">
        <v>365</v>
      </c>
      <c r="C130" t="s">
        <v>303</v>
      </c>
    </row>
    <row r="131" spans="1:3" x14ac:dyDescent="0.25">
      <c r="A131" t="s">
        <v>366</v>
      </c>
      <c r="B131" t="s">
        <v>367</v>
      </c>
      <c r="C131" t="s">
        <v>303</v>
      </c>
    </row>
    <row r="132" spans="1:3" x14ac:dyDescent="0.25">
      <c r="A132" t="s">
        <v>368</v>
      </c>
      <c r="B132" t="s">
        <v>369</v>
      </c>
      <c r="C132" t="s">
        <v>303</v>
      </c>
    </row>
    <row r="133" spans="1:3" x14ac:dyDescent="0.25">
      <c r="A133" t="s">
        <v>370</v>
      </c>
      <c r="B133" t="s">
        <v>371</v>
      </c>
      <c r="C133" t="s">
        <v>303</v>
      </c>
    </row>
    <row r="134" spans="1:3" x14ac:dyDescent="0.25">
      <c r="A134" t="s">
        <v>372</v>
      </c>
      <c r="B134" t="s">
        <v>373</v>
      </c>
      <c r="C134" t="s">
        <v>303</v>
      </c>
    </row>
    <row r="135" spans="1:3" x14ac:dyDescent="0.25">
      <c r="A135" t="s">
        <v>374</v>
      </c>
      <c r="B135" t="s">
        <v>375</v>
      </c>
      <c r="C135" t="s">
        <v>303</v>
      </c>
    </row>
    <row r="136" spans="1:3" x14ac:dyDescent="0.25">
      <c r="A136" t="s">
        <v>376</v>
      </c>
      <c r="B136" t="s">
        <v>377</v>
      </c>
      <c r="C136" t="s">
        <v>303</v>
      </c>
    </row>
    <row r="137" spans="1:3" x14ac:dyDescent="0.25">
      <c r="A137" t="s">
        <v>378</v>
      </c>
      <c r="B137" t="s">
        <v>379</v>
      </c>
      <c r="C137" t="s">
        <v>303</v>
      </c>
    </row>
    <row r="138" spans="1:3" x14ac:dyDescent="0.25">
      <c r="A138" t="s">
        <v>380</v>
      </c>
      <c r="B138" t="s">
        <v>381</v>
      </c>
      <c r="C138" t="s">
        <v>303</v>
      </c>
    </row>
    <row r="139" spans="1:3" x14ac:dyDescent="0.25">
      <c r="A139" t="s">
        <v>382</v>
      </c>
      <c r="B139" t="s">
        <v>383</v>
      </c>
      <c r="C139" t="s">
        <v>303</v>
      </c>
    </row>
    <row r="140" spans="1:3" x14ac:dyDescent="0.25">
      <c r="A140" t="s">
        <v>384</v>
      </c>
      <c r="B140" t="s">
        <v>385</v>
      </c>
      <c r="C140" t="s">
        <v>303</v>
      </c>
    </row>
    <row r="141" spans="1:3" x14ac:dyDescent="0.25">
      <c r="A141" t="s">
        <v>386</v>
      </c>
      <c r="B141" t="s">
        <v>387</v>
      </c>
      <c r="C141" t="s">
        <v>303</v>
      </c>
    </row>
    <row r="142" spans="1:3" x14ac:dyDescent="0.25">
      <c r="A142" t="s">
        <v>388</v>
      </c>
      <c r="B142" t="s">
        <v>389</v>
      </c>
      <c r="C142" t="s">
        <v>303</v>
      </c>
    </row>
    <row r="143" spans="1:3" x14ac:dyDescent="0.25">
      <c r="A143" t="s">
        <v>390</v>
      </c>
      <c r="B143" t="s">
        <v>391</v>
      </c>
      <c r="C143" t="s">
        <v>303</v>
      </c>
    </row>
    <row r="144" spans="1:3" x14ac:dyDescent="0.25">
      <c r="A144" t="s">
        <v>392</v>
      </c>
      <c r="B144" t="s">
        <v>393</v>
      </c>
      <c r="C144" t="s">
        <v>303</v>
      </c>
    </row>
    <row r="145" spans="1:3" x14ac:dyDescent="0.25">
      <c r="A145" t="s">
        <v>394</v>
      </c>
      <c r="B145" t="s">
        <v>395</v>
      </c>
      <c r="C145" t="s">
        <v>303</v>
      </c>
    </row>
    <row r="146" spans="1:3" x14ac:dyDescent="0.25">
      <c r="A146" t="s">
        <v>396</v>
      </c>
      <c r="B146" t="s">
        <v>397</v>
      </c>
      <c r="C146" t="s">
        <v>303</v>
      </c>
    </row>
    <row r="147" spans="1:3" x14ac:dyDescent="0.25">
      <c r="A147" t="s">
        <v>398</v>
      </c>
      <c r="B147" t="s">
        <v>399</v>
      </c>
      <c r="C147" t="s">
        <v>303</v>
      </c>
    </row>
    <row r="148" spans="1:3" x14ac:dyDescent="0.25">
      <c r="A148" t="s">
        <v>400</v>
      </c>
      <c r="B148" t="s">
        <v>401</v>
      </c>
      <c r="C148" t="s">
        <v>303</v>
      </c>
    </row>
    <row r="149" spans="1:3" x14ac:dyDescent="0.25">
      <c r="A149" t="s">
        <v>402</v>
      </c>
      <c r="B149" t="s">
        <v>403</v>
      </c>
      <c r="C149" t="s">
        <v>303</v>
      </c>
    </row>
    <row r="150" spans="1:3" x14ac:dyDescent="0.25">
      <c r="A150" t="s">
        <v>404</v>
      </c>
      <c r="B150" t="s">
        <v>405</v>
      </c>
      <c r="C150" t="s">
        <v>303</v>
      </c>
    </row>
    <row r="151" spans="1:3" x14ac:dyDescent="0.25">
      <c r="A151" t="s">
        <v>406</v>
      </c>
      <c r="B151" t="s">
        <v>407</v>
      </c>
      <c r="C151" t="s">
        <v>303</v>
      </c>
    </row>
    <row r="152" spans="1:3" x14ac:dyDescent="0.25">
      <c r="A152" t="s">
        <v>408</v>
      </c>
      <c r="B152" t="s">
        <v>409</v>
      </c>
      <c r="C152" t="s">
        <v>303</v>
      </c>
    </row>
    <row r="153" spans="1:3" x14ac:dyDescent="0.25">
      <c r="A153" t="s">
        <v>410</v>
      </c>
      <c r="B153" t="s">
        <v>411</v>
      </c>
      <c r="C153" t="s">
        <v>303</v>
      </c>
    </row>
    <row r="154" spans="1:3" x14ac:dyDescent="0.25">
      <c r="A154" t="s">
        <v>412</v>
      </c>
      <c r="B154" t="s">
        <v>413</v>
      </c>
      <c r="C154" t="s">
        <v>303</v>
      </c>
    </row>
    <row r="155" spans="1:3" x14ac:dyDescent="0.25">
      <c r="A155" t="s">
        <v>414</v>
      </c>
      <c r="B155" t="s">
        <v>415</v>
      </c>
      <c r="C155" t="s">
        <v>303</v>
      </c>
    </row>
    <row r="156" spans="1:3" x14ac:dyDescent="0.25">
      <c r="A156" t="s">
        <v>416</v>
      </c>
      <c r="B156" t="s">
        <v>417</v>
      </c>
      <c r="C156" t="s">
        <v>303</v>
      </c>
    </row>
    <row r="157" spans="1:3" x14ac:dyDescent="0.25">
      <c r="A157" t="s">
        <v>418</v>
      </c>
      <c r="B157" t="s">
        <v>419</v>
      </c>
      <c r="C157" t="s">
        <v>303</v>
      </c>
    </row>
    <row r="158" spans="1:3" x14ac:dyDescent="0.25">
      <c r="A158" t="s">
        <v>420</v>
      </c>
      <c r="B158" t="s">
        <v>421</v>
      </c>
      <c r="C158" t="s">
        <v>303</v>
      </c>
    </row>
    <row r="159" spans="1:3" x14ac:dyDescent="0.25">
      <c r="A159" t="s">
        <v>422</v>
      </c>
      <c r="B159" t="s">
        <v>423</v>
      </c>
      <c r="C159" t="s">
        <v>303</v>
      </c>
    </row>
    <row r="160" spans="1:3" x14ac:dyDescent="0.25">
      <c r="A160" t="s">
        <v>424</v>
      </c>
      <c r="B160" t="s">
        <v>425</v>
      </c>
      <c r="C160" t="s">
        <v>303</v>
      </c>
    </row>
    <row r="161" spans="1:3" x14ac:dyDescent="0.25">
      <c r="A161" t="s">
        <v>426</v>
      </c>
      <c r="B161" t="s">
        <v>427</v>
      </c>
      <c r="C161" t="s">
        <v>303</v>
      </c>
    </row>
    <row r="162" spans="1:3" x14ac:dyDescent="0.25">
      <c r="A162" t="s">
        <v>428</v>
      </c>
      <c r="B162" t="s">
        <v>429</v>
      </c>
      <c r="C162" t="s">
        <v>303</v>
      </c>
    </row>
    <row r="163" spans="1:3" x14ac:dyDescent="0.25">
      <c r="A163" t="s">
        <v>430</v>
      </c>
      <c r="B163" t="s">
        <v>431</v>
      </c>
      <c r="C163" t="s">
        <v>303</v>
      </c>
    </row>
    <row r="164" spans="1:3" x14ac:dyDescent="0.25">
      <c r="A164" t="s">
        <v>432</v>
      </c>
      <c r="B164" t="s">
        <v>433</v>
      </c>
      <c r="C164" t="s">
        <v>303</v>
      </c>
    </row>
    <row r="165" spans="1:3" x14ac:dyDescent="0.25">
      <c r="A165" t="s">
        <v>434</v>
      </c>
      <c r="B165" t="s">
        <v>435</v>
      </c>
      <c r="C165" t="s">
        <v>303</v>
      </c>
    </row>
    <row r="166" spans="1:3" x14ac:dyDescent="0.25">
      <c r="A166" t="s">
        <v>436</v>
      </c>
      <c r="B166" t="s">
        <v>437</v>
      </c>
      <c r="C166" t="s">
        <v>303</v>
      </c>
    </row>
    <row r="167" spans="1:3" x14ac:dyDescent="0.25">
      <c r="A167" t="s">
        <v>438</v>
      </c>
      <c r="B167" t="s">
        <v>439</v>
      </c>
      <c r="C167" t="s">
        <v>303</v>
      </c>
    </row>
    <row r="168" spans="1:3" x14ac:dyDescent="0.25">
      <c r="A168" t="s">
        <v>440</v>
      </c>
      <c r="B168" t="s">
        <v>441</v>
      </c>
      <c r="C168" t="s">
        <v>303</v>
      </c>
    </row>
    <row r="169" spans="1:3" x14ac:dyDescent="0.25">
      <c r="A169" t="s">
        <v>442</v>
      </c>
      <c r="B169" t="s">
        <v>443</v>
      </c>
      <c r="C169" t="s">
        <v>303</v>
      </c>
    </row>
    <row r="170" spans="1:3" x14ac:dyDescent="0.25">
      <c r="A170" t="s">
        <v>444</v>
      </c>
      <c r="B170" t="s">
        <v>445</v>
      </c>
      <c r="C170" t="s">
        <v>303</v>
      </c>
    </row>
    <row r="171" spans="1:3" x14ac:dyDescent="0.25">
      <c r="A171" t="s">
        <v>446</v>
      </c>
      <c r="B171" t="s">
        <v>447</v>
      </c>
      <c r="C171" t="s">
        <v>303</v>
      </c>
    </row>
    <row r="172" spans="1:3" x14ac:dyDescent="0.25">
      <c r="A172" t="s">
        <v>448</v>
      </c>
      <c r="B172" t="s">
        <v>449</v>
      </c>
      <c r="C172" t="s">
        <v>303</v>
      </c>
    </row>
    <row r="173" spans="1:3" x14ac:dyDescent="0.25">
      <c r="A173" t="s">
        <v>450</v>
      </c>
      <c r="B173" t="s">
        <v>451</v>
      </c>
      <c r="C173" t="s">
        <v>303</v>
      </c>
    </row>
    <row r="174" spans="1:3" x14ac:dyDescent="0.25">
      <c r="A174" t="s">
        <v>452</v>
      </c>
      <c r="B174" t="s">
        <v>453</v>
      </c>
      <c r="C174" t="s">
        <v>303</v>
      </c>
    </row>
    <row r="175" spans="1:3" x14ac:dyDescent="0.25">
      <c r="A175" t="s">
        <v>454</v>
      </c>
      <c r="B175" t="s">
        <v>455</v>
      </c>
      <c r="C175" t="s">
        <v>303</v>
      </c>
    </row>
    <row r="176" spans="1:3" x14ac:dyDescent="0.25">
      <c r="A176" t="s">
        <v>456</v>
      </c>
      <c r="B176" t="s">
        <v>457</v>
      </c>
      <c r="C176" t="s">
        <v>303</v>
      </c>
    </row>
    <row r="177" spans="1:3" x14ac:dyDescent="0.25">
      <c r="A177" t="s">
        <v>458</v>
      </c>
      <c r="B177" t="s">
        <v>459</v>
      </c>
      <c r="C177" t="s">
        <v>303</v>
      </c>
    </row>
    <row r="178" spans="1:3" x14ac:dyDescent="0.25">
      <c r="A178" t="s">
        <v>460</v>
      </c>
      <c r="B178" t="s">
        <v>461</v>
      </c>
      <c r="C178" t="s">
        <v>303</v>
      </c>
    </row>
    <row r="179" spans="1:3" x14ac:dyDescent="0.25">
      <c r="A179" t="s">
        <v>462</v>
      </c>
      <c r="B179" t="s">
        <v>463</v>
      </c>
      <c r="C179" t="s">
        <v>303</v>
      </c>
    </row>
    <row r="180" spans="1:3" x14ac:dyDescent="0.25">
      <c r="A180" t="s">
        <v>464</v>
      </c>
      <c r="B180" t="s">
        <v>465</v>
      </c>
      <c r="C180" t="s">
        <v>303</v>
      </c>
    </row>
    <row r="181" spans="1:3" x14ac:dyDescent="0.25">
      <c r="A181" t="s">
        <v>466</v>
      </c>
      <c r="B181" t="s">
        <v>467</v>
      </c>
      <c r="C181" t="s">
        <v>303</v>
      </c>
    </row>
    <row r="182" spans="1:3" x14ac:dyDescent="0.25">
      <c r="A182" t="s">
        <v>468</v>
      </c>
      <c r="B182" t="s">
        <v>469</v>
      </c>
      <c r="C182" t="s">
        <v>303</v>
      </c>
    </row>
    <row r="183" spans="1:3" x14ac:dyDescent="0.25">
      <c r="A183" t="s">
        <v>470</v>
      </c>
      <c r="B183" t="s">
        <v>471</v>
      </c>
      <c r="C183" t="s">
        <v>303</v>
      </c>
    </row>
    <row r="184" spans="1:3" x14ac:dyDescent="0.25">
      <c r="A184" t="s">
        <v>472</v>
      </c>
      <c r="B184" t="s">
        <v>473</v>
      </c>
      <c r="C184" t="s">
        <v>303</v>
      </c>
    </row>
    <row r="185" spans="1:3" x14ac:dyDescent="0.25">
      <c r="A185" t="s">
        <v>474</v>
      </c>
      <c r="B185" t="s">
        <v>475</v>
      </c>
      <c r="C185" t="s">
        <v>303</v>
      </c>
    </row>
    <row r="186" spans="1:3" x14ac:dyDescent="0.25">
      <c r="A186" t="s">
        <v>476</v>
      </c>
      <c r="B186" t="s">
        <v>477</v>
      </c>
      <c r="C186" t="s">
        <v>303</v>
      </c>
    </row>
    <row r="187" spans="1:3" x14ac:dyDescent="0.25">
      <c r="A187" t="s">
        <v>478</v>
      </c>
      <c r="B187" t="s">
        <v>479</v>
      </c>
      <c r="C187" t="s">
        <v>303</v>
      </c>
    </row>
    <row r="188" spans="1:3" x14ac:dyDescent="0.25">
      <c r="A188" t="s">
        <v>480</v>
      </c>
      <c r="B188" t="s">
        <v>481</v>
      </c>
      <c r="C188" t="s">
        <v>303</v>
      </c>
    </row>
    <row r="189" spans="1:3" x14ac:dyDescent="0.25">
      <c r="A189" t="s">
        <v>482</v>
      </c>
      <c r="B189" t="s">
        <v>483</v>
      </c>
      <c r="C189" t="s">
        <v>303</v>
      </c>
    </row>
    <row r="190" spans="1:3" x14ac:dyDescent="0.25">
      <c r="A190" t="s">
        <v>484</v>
      </c>
      <c r="B190" t="s">
        <v>485</v>
      </c>
      <c r="C190" t="s">
        <v>303</v>
      </c>
    </row>
    <row r="191" spans="1:3" x14ac:dyDescent="0.25">
      <c r="A191" t="s">
        <v>486</v>
      </c>
      <c r="B191" t="s">
        <v>487</v>
      </c>
      <c r="C191" t="s">
        <v>303</v>
      </c>
    </row>
    <row r="192" spans="1:3" x14ac:dyDescent="0.25">
      <c r="A192" t="s">
        <v>488</v>
      </c>
      <c r="B192" t="s">
        <v>489</v>
      </c>
      <c r="C192" t="s">
        <v>303</v>
      </c>
    </row>
    <row r="193" spans="1:3" x14ac:dyDescent="0.25">
      <c r="A193" t="s">
        <v>490</v>
      </c>
      <c r="B193" t="s">
        <v>491</v>
      </c>
      <c r="C193" t="s">
        <v>303</v>
      </c>
    </row>
    <row r="194" spans="1:3" x14ac:dyDescent="0.25">
      <c r="A194" t="s">
        <v>492</v>
      </c>
      <c r="B194" t="s">
        <v>493</v>
      </c>
      <c r="C194" t="s">
        <v>303</v>
      </c>
    </row>
    <row r="195" spans="1:3" x14ac:dyDescent="0.25">
      <c r="A195" t="s">
        <v>494</v>
      </c>
      <c r="B195" t="s">
        <v>495</v>
      </c>
      <c r="C195" t="s">
        <v>303</v>
      </c>
    </row>
    <row r="196" spans="1:3" x14ac:dyDescent="0.25">
      <c r="A196" t="s">
        <v>496</v>
      </c>
      <c r="B196" t="s">
        <v>497</v>
      </c>
      <c r="C196" t="s">
        <v>303</v>
      </c>
    </row>
    <row r="197" spans="1:3" x14ac:dyDescent="0.25">
      <c r="A197" t="s">
        <v>498</v>
      </c>
      <c r="B197" t="s">
        <v>499</v>
      </c>
      <c r="C197" t="s">
        <v>303</v>
      </c>
    </row>
    <row r="198" spans="1:3" x14ac:dyDescent="0.25">
      <c r="A198" t="s">
        <v>500</v>
      </c>
      <c r="B198" t="s">
        <v>501</v>
      </c>
      <c r="C198" t="s">
        <v>303</v>
      </c>
    </row>
    <row r="199" spans="1:3" x14ac:dyDescent="0.25">
      <c r="A199" t="s">
        <v>502</v>
      </c>
      <c r="B199" t="s">
        <v>503</v>
      </c>
      <c r="C199" t="s">
        <v>303</v>
      </c>
    </row>
    <row r="200" spans="1:3" x14ac:dyDescent="0.25">
      <c r="A200" t="s">
        <v>504</v>
      </c>
      <c r="B200" t="s">
        <v>505</v>
      </c>
      <c r="C200" t="s">
        <v>303</v>
      </c>
    </row>
    <row r="201" spans="1:3" x14ac:dyDescent="0.25">
      <c r="A201" t="s">
        <v>506</v>
      </c>
      <c r="B201" t="s">
        <v>507</v>
      </c>
      <c r="C201" t="s">
        <v>303</v>
      </c>
    </row>
    <row r="202" spans="1:3" x14ac:dyDescent="0.25">
      <c r="A202" t="s">
        <v>508</v>
      </c>
      <c r="B202" t="s">
        <v>509</v>
      </c>
      <c r="C202" t="s">
        <v>303</v>
      </c>
    </row>
    <row r="203" spans="1:3" x14ac:dyDescent="0.25">
      <c r="A203" t="s">
        <v>510</v>
      </c>
      <c r="B203" t="s">
        <v>511</v>
      </c>
      <c r="C203" t="s">
        <v>303</v>
      </c>
    </row>
    <row r="204" spans="1:3" x14ac:dyDescent="0.25">
      <c r="A204" t="s">
        <v>512</v>
      </c>
      <c r="B204" t="s">
        <v>513</v>
      </c>
      <c r="C204" t="s">
        <v>303</v>
      </c>
    </row>
    <row r="205" spans="1:3" x14ac:dyDescent="0.25">
      <c r="A205" t="s">
        <v>514</v>
      </c>
      <c r="B205" t="s">
        <v>515</v>
      </c>
      <c r="C205" t="s">
        <v>303</v>
      </c>
    </row>
    <row r="206" spans="1:3" x14ac:dyDescent="0.25">
      <c r="A206" t="s">
        <v>516</v>
      </c>
      <c r="B206" t="s">
        <v>517</v>
      </c>
      <c r="C206" t="s">
        <v>303</v>
      </c>
    </row>
    <row r="207" spans="1:3" x14ac:dyDescent="0.25">
      <c r="A207" t="s">
        <v>518</v>
      </c>
      <c r="B207" t="s">
        <v>519</v>
      </c>
      <c r="C207" t="s">
        <v>303</v>
      </c>
    </row>
    <row r="208" spans="1:3" x14ac:dyDescent="0.25">
      <c r="A208" t="s">
        <v>520</v>
      </c>
      <c r="B208" t="s">
        <v>521</v>
      </c>
      <c r="C208" t="s">
        <v>303</v>
      </c>
    </row>
    <row r="209" spans="1:3" x14ac:dyDescent="0.25">
      <c r="A209" t="s">
        <v>522</v>
      </c>
      <c r="B209" t="s">
        <v>523</v>
      </c>
      <c r="C209" t="s">
        <v>303</v>
      </c>
    </row>
    <row r="210" spans="1:3" x14ac:dyDescent="0.25">
      <c r="A210" t="s">
        <v>524</v>
      </c>
      <c r="B210" t="s">
        <v>525</v>
      </c>
      <c r="C210" t="s">
        <v>303</v>
      </c>
    </row>
    <row r="211" spans="1:3" x14ac:dyDescent="0.25">
      <c r="A211" t="s">
        <v>526</v>
      </c>
      <c r="B211" t="s">
        <v>527</v>
      </c>
      <c r="C211" t="s">
        <v>303</v>
      </c>
    </row>
    <row r="212" spans="1:3" x14ac:dyDescent="0.25">
      <c r="A212" t="s">
        <v>528</v>
      </c>
      <c r="B212" t="s">
        <v>529</v>
      </c>
      <c r="C212" t="s">
        <v>303</v>
      </c>
    </row>
    <row r="213" spans="1:3" x14ac:dyDescent="0.25">
      <c r="A213" t="s">
        <v>530</v>
      </c>
      <c r="B213" t="s">
        <v>531</v>
      </c>
      <c r="C213" t="s">
        <v>303</v>
      </c>
    </row>
    <row r="214" spans="1:3" x14ac:dyDescent="0.25">
      <c r="A214" t="s">
        <v>532</v>
      </c>
      <c r="B214" t="s">
        <v>533</v>
      </c>
      <c r="C214" t="s">
        <v>303</v>
      </c>
    </row>
    <row r="215" spans="1:3" x14ac:dyDescent="0.25">
      <c r="A215" t="s">
        <v>534</v>
      </c>
      <c r="B215" t="s">
        <v>535</v>
      </c>
      <c r="C215" t="s">
        <v>303</v>
      </c>
    </row>
    <row r="216" spans="1:3" x14ac:dyDescent="0.25">
      <c r="A216" t="s">
        <v>536</v>
      </c>
      <c r="B216" t="s">
        <v>537</v>
      </c>
      <c r="C216" t="s">
        <v>303</v>
      </c>
    </row>
    <row r="217" spans="1:3" x14ac:dyDescent="0.25">
      <c r="A217" t="s">
        <v>538</v>
      </c>
      <c r="B217" t="s">
        <v>539</v>
      </c>
      <c r="C217" t="s">
        <v>303</v>
      </c>
    </row>
    <row r="218" spans="1:3" x14ac:dyDescent="0.25">
      <c r="A218" t="s">
        <v>540</v>
      </c>
      <c r="B218" t="s">
        <v>541</v>
      </c>
      <c r="C218" t="s">
        <v>303</v>
      </c>
    </row>
    <row r="219" spans="1:3" x14ac:dyDescent="0.25">
      <c r="A219" t="s">
        <v>542</v>
      </c>
      <c r="B219" t="s">
        <v>543</v>
      </c>
      <c r="C219" t="s">
        <v>303</v>
      </c>
    </row>
    <row r="220" spans="1:3" x14ac:dyDescent="0.25">
      <c r="A220" t="s">
        <v>544</v>
      </c>
      <c r="B220" t="s">
        <v>545</v>
      </c>
      <c r="C220" t="s">
        <v>303</v>
      </c>
    </row>
    <row r="221" spans="1:3" x14ac:dyDescent="0.25">
      <c r="A221" t="s">
        <v>546</v>
      </c>
      <c r="B221" t="s">
        <v>547</v>
      </c>
      <c r="C221" t="s">
        <v>303</v>
      </c>
    </row>
    <row r="222" spans="1:3" x14ac:dyDescent="0.25">
      <c r="A222" t="s">
        <v>548</v>
      </c>
      <c r="B222" t="s">
        <v>549</v>
      </c>
      <c r="C222" t="s">
        <v>303</v>
      </c>
    </row>
    <row r="223" spans="1:3" x14ac:dyDescent="0.25">
      <c r="A223" t="s">
        <v>550</v>
      </c>
      <c r="B223" t="s">
        <v>551</v>
      </c>
      <c r="C223" t="s">
        <v>303</v>
      </c>
    </row>
    <row r="224" spans="1:3" x14ac:dyDescent="0.25">
      <c r="A224" t="s">
        <v>552</v>
      </c>
      <c r="B224" t="s">
        <v>553</v>
      </c>
      <c r="C224" t="s">
        <v>303</v>
      </c>
    </row>
    <row r="225" spans="1:3" x14ac:dyDescent="0.25">
      <c r="A225" t="s">
        <v>554</v>
      </c>
      <c r="B225" t="s">
        <v>555</v>
      </c>
      <c r="C225" t="s">
        <v>303</v>
      </c>
    </row>
    <row r="226" spans="1:3" x14ac:dyDescent="0.25">
      <c r="A226" t="s">
        <v>556</v>
      </c>
      <c r="B226" t="s">
        <v>557</v>
      </c>
      <c r="C226" t="s">
        <v>303</v>
      </c>
    </row>
    <row r="227" spans="1:3" x14ac:dyDescent="0.25">
      <c r="A227" t="s">
        <v>558</v>
      </c>
      <c r="B227" t="s">
        <v>559</v>
      </c>
      <c r="C227" t="s">
        <v>303</v>
      </c>
    </row>
    <row r="228" spans="1:3" x14ac:dyDescent="0.25">
      <c r="A228" t="s">
        <v>560</v>
      </c>
      <c r="B228" t="s">
        <v>561</v>
      </c>
      <c r="C228" t="s">
        <v>303</v>
      </c>
    </row>
    <row r="229" spans="1:3" x14ac:dyDescent="0.25">
      <c r="A229" t="s">
        <v>562</v>
      </c>
      <c r="B229" t="s">
        <v>563</v>
      </c>
      <c r="C229" t="s">
        <v>303</v>
      </c>
    </row>
    <row r="230" spans="1:3" x14ac:dyDescent="0.25">
      <c r="A230" t="s">
        <v>564</v>
      </c>
      <c r="B230" t="s">
        <v>565</v>
      </c>
      <c r="C230" t="s">
        <v>303</v>
      </c>
    </row>
    <row r="231" spans="1:3" x14ac:dyDescent="0.25">
      <c r="A231" t="s">
        <v>566</v>
      </c>
      <c r="B231" t="s">
        <v>567</v>
      </c>
      <c r="C231" t="s">
        <v>303</v>
      </c>
    </row>
    <row r="232" spans="1:3" x14ac:dyDescent="0.25">
      <c r="A232" t="s">
        <v>568</v>
      </c>
      <c r="B232" t="s">
        <v>569</v>
      </c>
      <c r="C232" t="s">
        <v>303</v>
      </c>
    </row>
    <row r="233" spans="1:3" x14ac:dyDescent="0.25">
      <c r="A233" t="s">
        <v>570</v>
      </c>
      <c r="B233" t="s">
        <v>571</v>
      </c>
      <c r="C233" t="s">
        <v>303</v>
      </c>
    </row>
    <row r="234" spans="1:3" x14ac:dyDescent="0.25">
      <c r="A234" t="s">
        <v>572</v>
      </c>
      <c r="B234" t="s">
        <v>573</v>
      </c>
      <c r="C234" t="s">
        <v>574</v>
      </c>
    </row>
    <row r="235" spans="1:3" x14ac:dyDescent="0.25">
      <c r="A235" t="s">
        <v>575</v>
      </c>
      <c r="B235" t="s">
        <v>576</v>
      </c>
      <c r="C235" t="s">
        <v>574</v>
      </c>
    </row>
    <row r="236" spans="1:3" x14ac:dyDescent="0.25">
      <c r="A236" t="s">
        <v>577</v>
      </c>
      <c r="B236" t="s">
        <v>578</v>
      </c>
      <c r="C236" t="s">
        <v>574</v>
      </c>
    </row>
    <row r="237" spans="1:3" x14ac:dyDescent="0.25">
      <c r="A237" t="s">
        <v>579</v>
      </c>
      <c r="B237" t="s">
        <v>580</v>
      </c>
      <c r="C237" t="s">
        <v>574</v>
      </c>
    </row>
    <row r="238" spans="1:3" x14ac:dyDescent="0.25">
      <c r="A238" t="s">
        <v>581</v>
      </c>
      <c r="B238" t="s">
        <v>582</v>
      </c>
      <c r="C238" t="s">
        <v>574</v>
      </c>
    </row>
    <row r="239" spans="1:3" x14ac:dyDescent="0.25">
      <c r="A239" t="s">
        <v>583</v>
      </c>
      <c r="B239" t="s">
        <v>584</v>
      </c>
      <c r="C239" t="s">
        <v>574</v>
      </c>
    </row>
    <row r="240" spans="1:3" x14ac:dyDescent="0.25">
      <c r="A240" t="s">
        <v>585</v>
      </c>
      <c r="B240" t="s">
        <v>586</v>
      </c>
      <c r="C240" t="s">
        <v>574</v>
      </c>
    </row>
    <row r="241" spans="1:3" x14ac:dyDescent="0.25">
      <c r="A241" t="s">
        <v>587</v>
      </c>
      <c r="B241" t="s">
        <v>588</v>
      </c>
      <c r="C241" t="s">
        <v>574</v>
      </c>
    </row>
    <row r="242" spans="1:3" x14ac:dyDescent="0.25">
      <c r="A242" t="s">
        <v>589</v>
      </c>
      <c r="B242" t="s">
        <v>590</v>
      </c>
      <c r="C242" t="s">
        <v>574</v>
      </c>
    </row>
    <row r="243" spans="1:3" x14ac:dyDescent="0.25">
      <c r="A243" t="s">
        <v>591</v>
      </c>
      <c r="B243" t="s">
        <v>592</v>
      </c>
      <c r="C243" t="s">
        <v>574</v>
      </c>
    </row>
    <row r="244" spans="1:3" x14ac:dyDescent="0.25">
      <c r="A244" t="s">
        <v>593</v>
      </c>
      <c r="B244" t="s">
        <v>594</v>
      </c>
      <c r="C244" t="s">
        <v>574</v>
      </c>
    </row>
    <row r="245" spans="1:3" x14ac:dyDescent="0.25">
      <c r="A245" t="s">
        <v>595</v>
      </c>
      <c r="B245" t="s">
        <v>596</v>
      </c>
      <c r="C245" t="s">
        <v>574</v>
      </c>
    </row>
    <row r="246" spans="1:3" x14ac:dyDescent="0.25">
      <c r="A246" t="s">
        <v>597</v>
      </c>
      <c r="B246" t="s">
        <v>598</v>
      </c>
      <c r="C246" t="s">
        <v>574</v>
      </c>
    </row>
    <row r="247" spans="1:3" x14ac:dyDescent="0.25">
      <c r="A247" t="s">
        <v>599</v>
      </c>
      <c r="B247" t="s">
        <v>600</v>
      </c>
      <c r="C247" t="s">
        <v>574</v>
      </c>
    </row>
    <row r="248" spans="1:3" x14ac:dyDescent="0.25">
      <c r="A248" t="s">
        <v>601</v>
      </c>
      <c r="B248" t="s">
        <v>602</v>
      </c>
      <c r="C248" t="s">
        <v>574</v>
      </c>
    </row>
    <row r="249" spans="1:3" x14ac:dyDescent="0.25">
      <c r="A249" t="s">
        <v>603</v>
      </c>
      <c r="B249" t="s">
        <v>604</v>
      </c>
      <c r="C249" t="s">
        <v>574</v>
      </c>
    </row>
    <row r="250" spans="1:3" x14ac:dyDescent="0.25">
      <c r="A250" t="s">
        <v>605</v>
      </c>
      <c r="B250" t="s">
        <v>606</v>
      </c>
      <c r="C250" t="s">
        <v>574</v>
      </c>
    </row>
    <row r="251" spans="1:3" x14ac:dyDescent="0.25">
      <c r="A251" t="s">
        <v>607</v>
      </c>
      <c r="B251" t="s">
        <v>608</v>
      </c>
      <c r="C251" t="s">
        <v>574</v>
      </c>
    </row>
    <row r="252" spans="1:3" x14ac:dyDescent="0.25">
      <c r="A252" t="s">
        <v>609</v>
      </c>
      <c r="B252" t="s">
        <v>610</v>
      </c>
      <c r="C252" t="s">
        <v>574</v>
      </c>
    </row>
    <row r="253" spans="1:3" x14ac:dyDescent="0.25">
      <c r="A253" t="s">
        <v>611</v>
      </c>
      <c r="B253" t="s">
        <v>612</v>
      </c>
      <c r="C253" t="s">
        <v>574</v>
      </c>
    </row>
    <row r="254" spans="1:3" x14ac:dyDescent="0.25">
      <c r="A254" t="s">
        <v>613</v>
      </c>
      <c r="B254" t="s">
        <v>614</v>
      </c>
      <c r="C254" t="s">
        <v>574</v>
      </c>
    </row>
    <row r="255" spans="1:3" x14ac:dyDescent="0.25">
      <c r="A255" t="s">
        <v>615</v>
      </c>
      <c r="B255" t="s">
        <v>616</v>
      </c>
      <c r="C255" t="s">
        <v>574</v>
      </c>
    </row>
    <row r="256" spans="1:3" x14ac:dyDescent="0.25">
      <c r="A256" t="s">
        <v>617</v>
      </c>
      <c r="B256" t="s">
        <v>618</v>
      </c>
      <c r="C256" t="s">
        <v>574</v>
      </c>
    </row>
    <row r="257" spans="1:3" x14ac:dyDescent="0.25">
      <c r="A257" t="s">
        <v>619</v>
      </c>
      <c r="B257" t="s">
        <v>620</v>
      </c>
      <c r="C257" t="s">
        <v>574</v>
      </c>
    </row>
    <row r="258" spans="1:3" x14ac:dyDescent="0.25">
      <c r="A258" t="s">
        <v>621</v>
      </c>
      <c r="B258" t="s">
        <v>622</v>
      </c>
      <c r="C258" t="s">
        <v>574</v>
      </c>
    </row>
    <row r="259" spans="1:3" x14ac:dyDescent="0.25">
      <c r="A259" t="s">
        <v>623</v>
      </c>
      <c r="B259" t="s">
        <v>624</v>
      </c>
      <c r="C259" t="s">
        <v>574</v>
      </c>
    </row>
    <row r="260" spans="1:3" x14ac:dyDescent="0.25">
      <c r="A260" t="s">
        <v>625</v>
      </c>
      <c r="B260" t="s">
        <v>626</v>
      </c>
      <c r="C260" t="s">
        <v>574</v>
      </c>
    </row>
    <row r="261" spans="1:3" x14ac:dyDescent="0.25">
      <c r="A261" t="s">
        <v>627</v>
      </c>
      <c r="B261" t="s">
        <v>628</v>
      </c>
      <c r="C261" t="s">
        <v>574</v>
      </c>
    </row>
    <row r="262" spans="1:3" x14ac:dyDescent="0.25">
      <c r="A262" t="s">
        <v>629</v>
      </c>
      <c r="B262" t="s">
        <v>630</v>
      </c>
      <c r="C262" t="s">
        <v>574</v>
      </c>
    </row>
    <row r="263" spans="1:3" x14ac:dyDescent="0.25">
      <c r="A263" t="s">
        <v>631</v>
      </c>
      <c r="B263" t="s">
        <v>632</v>
      </c>
      <c r="C263" t="s">
        <v>574</v>
      </c>
    </row>
    <row r="264" spans="1:3" x14ac:dyDescent="0.25">
      <c r="A264" t="s">
        <v>633</v>
      </c>
      <c r="B264" t="s">
        <v>634</v>
      </c>
      <c r="C264" t="s">
        <v>574</v>
      </c>
    </row>
    <row r="265" spans="1:3" x14ac:dyDescent="0.25">
      <c r="A265" t="s">
        <v>635</v>
      </c>
      <c r="B265" t="s">
        <v>636</v>
      </c>
      <c r="C265" t="s">
        <v>574</v>
      </c>
    </row>
    <row r="266" spans="1:3" x14ac:dyDescent="0.25">
      <c r="A266" t="s">
        <v>637</v>
      </c>
      <c r="B266" t="s">
        <v>638</v>
      </c>
      <c r="C266" t="s">
        <v>574</v>
      </c>
    </row>
    <row r="267" spans="1:3" x14ac:dyDescent="0.25">
      <c r="A267" t="s">
        <v>639</v>
      </c>
      <c r="B267" t="s">
        <v>640</v>
      </c>
      <c r="C267" t="s">
        <v>574</v>
      </c>
    </row>
    <row r="268" spans="1:3" x14ac:dyDescent="0.25">
      <c r="A268" t="s">
        <v>641</v>
      </c>
      <c r="B268" t="s">
        <v>642</v>
      </c>
      <c r="C268" t="s">
        <v>574</v>
      </c>
    </row>
    <row r="269" spans="1:3" x14ac:dyDescent="0.25">
      <c r="A269" t="s">
        <v>643</v>
      </c>
      <c r="B269" t="s">
        <v>644</v>
      </c>
      <c r="C269" t="s">
        <v>574</v>
      </c>
    </row>
    <row r="270" spans="1:3" x14ac:dyDescent="0.25">
      <c r="A270" t="s">
        <v>645</v>
      </c>
      <c r="B270" t="s">
        <v>646</v>
      </c>
      <c r="C270" t="s">
        <v>574</v>
      </c>
    </row>
    <row r="271" spans="1:3" x14ac:dyDescent="0.25">
      <c r="A271" t="s">
        <v>647</v>
      </c>
      <c r="B271" t="s">
        <v>648</v>
      </c>
      <c r="C271" t="s">
        <v>574</v>
      </c>
    </row>
    <row r="272" spans="1:3" x14ac:dyDescent="0.25">
      <c r="A272" t="s">
        <v>649</v>
      </c>
      <c r="B272" t="s">
        <v>650</v>
      </c>
      <c r="C272" t="s">
        <v>574</v>
      </c>
    </row>
    <row r="273" spans="1:3" x14ac:dyDescent="0.25">
      <c r="A273" t="s">
        <v>651</v>
      </c>
      <c r="B273" t="s">
        <v>652</v>
      </c>
      <c r="C273" t="s">
        <v>574</v>
      </c>
    </row>
    <row r="274" spans="1:3" x14ac:dyDescent="0.25">
      <c r="A274" t="s">
        <v>653</v>
      </c>
      <c r="B274" t="s">
        <v>654</v>
      </c>
      <c r="C274" t="s">
        <v>574</v>
      </c>
    </row>
    <row r="275" spans="1:3" x14ac:dyDescent="0.25">
      <c r="A275" t="s">
        <v>655</v>
      </c>
      <c r="B275" t="s">
        <v>656</v>
      </c>
      <c r="C275" t="s">
        <v>574</v>
      </c>
    </row>
    <row r="276" spans="1:3" x14ac:dyDescent="0.25">
      <c r="A276" t="s">
        <v>657</v>
      </c>
      <c r="B276" t="s">
        <v>658</v>
      </c>
      <c r="C276" t="s">
        <v>574</v>
      </c>
    </row>
    <row r="277" spans="1:3" x14ac:dyDescent="0.25">
      <c r="A277" t="s">
        <v>659</v>
      </c>
      <c r="B277" t="s">
        <v>660</v>
      </c>
      <c r="C277" t="s">
        <v>574</v>
      </c>
    </row>
    <row r="278" spans="1:3" x14ac:dyDescent="0.25">
      <c r="A278" t="s">
        <v>661</v>
      </c>
      <c r="B278" t="s">
        <v>662</v>
      </c>
      <c r="C278" t="s">
        <v>574</v>
      </c>
    </row>
    <row r="279" spans="1:3" x14ac:dyDescent="0.25">
      <c r="A279" t="s">
        <v>663</v>
      </c>
      <c r="B279" t="s">
        <v>664</v>
      </c>
      <c r="C279" t="s">
        <v>574</v>
      </c>
    </row>
    <row r="280" spans="1:3" x14ac:dyDescent="0.25">
      <c r="A280" t="s">
        <v>665</v>
      </c>
      <c r="B280" t="s">
        <v>666</v>
      </c>
      <c r="C280" t="s">
        <v>574</v>
      </c>
    </row>
    <row r="281" spans="1:3" x14ac:dyDescent="0.25">
      <c r="A281" t="s">
        <v>667</v>
      </c>
      <c r="B281" t="s">
        <v>668</v>
      </c>
      <c r="C281" t="s">
        <v>574</v>
      </c>
    </row>
    <row r="282" spans="1:3" x14ac:dyDescent="0.25">
      <c r="A282" t="s">
        <v>669</v>
      </c>
      <c r="B282" t="s">
        <v>670</v>
      </c>
      <c r="C282" t="s">
        <v>574</v>
      </c>
    </row>
    <row r="283" spans="1:3" x14ac:dyDescent="0.25">
      <c r="A283" t="s">
        <v>671</v>
      </c>
      <c r="B283" t="s">
        <v>672</v>
      </c>
      <c r="C283" t="s">
        <v>574</v>
      </c>
    </row>
    <row r="284" spans="1:3" x14ac:dyDescent="0.25">
      <c r="A284" t="s">
        <v>673</v>
      </c>
      <c r="B284" t="s">
        <v>674</v>
      </c>
      <c r="C284" t="s">
        <v>574</v>
      </c>
    </row>
    <row r="285" spans="1:3" x14ac:dyDescent="0.25">
      <c r="A285" t="s">
        <v>675</v>
      </c>
      <c r="B285" t="s">
        <v>676</v>
      </c>
      <c r="C285" t="s">
        <v>574</v>
      </c>
    </row>
    <row r="286" spans="1:3" x14ac:dyDescent="0.25">
      <c r="A286" t="s">
        <v>677</v>
      </c>
      <c r="B286" t="s">
        <v>678</v>
      </c>
      <c r="C286" t="s">
        <v>574</v>
      </c>
    </row>
    <row r="287" spans="1:3" x14ac:dyDescent="0.25">
      <c r="A287" t="s">
        <v>679</v>
      </c>
      <c r="B287" t="s">
        <v>680</v>
      </c>
      <c r="C287" t="s">
        <v>574</v>
      </c>
    </row>
    <row r="288" spans="1:3" x14ac:dyDescent="0.25">
      <c r="A288" t="s">
        <v>681</v>
      </c>
      <c r="B288" t="s">
        <v>682</v>
      </c>
      <c r="C288" t="s">
        <v>574</v>
      </c>
    </row>
    <row r="289" spans="1:3" x14ac:dyDescent="0.25">
      <c r="A289" t="s">
        <v>683</v>
      </c>
      <c r="B289" t="s">
        <v>684</v>
      </c>
      <c r="C289" t="s">
        <v>574</v>
      </c>
    </row>
    <row r="290" spans="1:3" x14ac:dyDescent="0.25">
      <c r="A290" t="s">
        <v>685</v>
      </c>
      <c r="B290" t="s">
        <v>686</v>
      </c>
      <c r="C290" t="s">
        <v>574</v>
      </c>
    </row>
    <row r="291" spans="1:3" x14ac:dyDescent="0.25">
      <c r="A291" t="s">
        <v>687</v>
      </c>
      <c r="B291" t="s">
        <v>688</v>
      </c>
      <c r="C291" t="s">
        <v>574</v>
      </c>
    </row>
    <row r="292" spans="1:3" x14ac:dyDescent="0.25">
      <c r="A292" t="s">
        <v>689</v>
      </c>
      <c r="B292" t="s">
        <v>690</v>
      </c>
      <c r="C292" t="s">
        <v>574</v>
      </c>
    </row>
    <row r="293" spans="1:3" x14ac:dyDescent="0.25">
      <c r="A293" t="s">
        <v>691</v>
      </c>
      <c r="B293" t="s">
        <v>692</v>
      </c>
      <c r="C293" t="s">
        <v>574</v>
      </c>
    </row>
    <row r="294" spans="1:3" x14ac:dyDescent="0.25">
      <c r="A294" t="s">
        <v>693</v>
      </c>
      <c r="B294" t="s">
        <v>694</v>
      </c>
      <c r="C294" t="s">
        <v>574</v>
      </c>
    </row>
    <row r="295" spans="1:3" x14ac:dyDescent="0.25">
      <c r="A295" t="s">
        <v>695</v>
      </c>
      <c r="B295" t="s">
        <v>696</v>
      </c>
      <c r="C295" t="s">
        <v>574</v>
      </c>
    </row>
    <row r="296" spans="1:3" x14ac:dyDescent="0.25">
      <c r="A296" t="s">
        <v>697</v>
      </c>
      <c r="B296" t="s">
        <v>698</v>
      </c>
      <c r="C296" t="s">
        <v>574</v>
      </c>
    </row>
    <row r="297" spans="1:3" x14ac:dyDescent="0.25">
      <c r="A297" t="s">
        <v>699</v>
      </c>
      <c r="B297" t="s">
        <v>700</v>
      </c>
      <c r="C297" t="s">
        <v>574</v>
      </c>
    </row>
    <row r="298" spans="1:3" x14ac:dyDescent="0.25">
      <c r="A298" t="s">
        <v>701</v>
      </c>
      <c r="B298" t="s">
        <v>702</v>
      </c>
      <c r="C298" t="s">
        <v>574</v>
      </c>
    </row>
    <row r="299" spans="1:3" x14ac:dyDescent="0.25">
      <c r="A299" t="s">
        <v>703</v>
      </c>
      <c r="B299" t="s">
        <v>704</v>
      </c>
      <c r="C299" t="s">
        <v>574</v>
      </c>
    </row>
    <row r="300" spans="1:3" x14ac:dyDescent="0.25">
      <c r="A300" t="s">
        <v>705</v>
      </c>
      <c r="B300" t="s">
        <v>706</v>
      </c>
      <c r="C300" t="s">
        <v>574</v>
      </c>
    </row>
    <row r="301" spans="1:3" x14ac:dyDescent="0.25">
      <c r="A301" t="s">
        <v>707</v>
      </c>
      <c r="B301" t="s">
        <v>708</v>
      </c>
      <c r="C301" t="s">
        <v>574</v>
      </c>
    </row>
    <row r="302" spans="1:3" x14ac:dyDescent="0.25">
      <c r="A302" t="s">
        <v>709</v>
      </c>
      <c r="B302" t="s">
        <v>710</v>
      </c>
      <c r="C302" t="s">
        <v>574</v>
      </c>
    </row>
    <row r="303" spans="1:3" x14ac:dyDescent="0.25">
      <c r="A303" t="s">
        <v>711</v>
      </c>
      <c r="B303" t="s">
        <v>712</v>
      </c>
      <c r="C303" t="s">
        <v>574</v>
      </c>
    </row>
    <row r="304" spans="1:3" x14ac:dyDescent="0.25">
      <c r="A304" t="s">
        <v>713</v>
      </c>
      <c r="B304" t="s">
        <v>714</v>
      </c>
      <c r="C304" t="s">
        <v>574</v>
      </c>
    </row>
    <row r="305" spans="1:3" x14ac:dyDescent="0.25">
      <c r="A305" t="s">
        <v>715</v>
      </c>
      <c r="B305" t="s">
        <v>716</v>
      </c>
      <c r="C305" t="s">
        <v>574</v>
      </c>
    </row>
    <row r="306" spans="1:3" x14ac:dyDescent="0.25">
      <c r="A306" t="s">
        <v>717</v>
      </c>
      <c r="B306" t="s">
        <v>718</v>
      </c>
      <c r="C306" t="s">
        <v>574</v>
      </c>
    </row>
    <row r="307" spans="1:3" x14ac:dyDescent="0.25">
      <c r="A307" t="s">
        <v>719</v>
      </c>
      <c r="B307" t="s">
        <v>720</v>
      </c>
      <c r="C307" t="s">
        <v>574</v>
      </c>
    </row>
    <row r="308" spans="1:3" x14ac:dyDescent="0.25">
      <c r="A308" t="s">
        <v>721</v>
      </c>
      <c r="B308" t="s">
        <v>722</v>
      </c>
      <c r="C308" t="s">
        <v>574</v>
      </c>
    </row>
    <row r="309" spans="1:3" x14ac:dyDescent="0.25">
      <c r="A309" t="s">
        <v>723</v>
      </c>
      <c r="B309" t="s">
        <v>724</v>
      </c>
      <c r="C309" t="s">
        <v>574</v>
      </c>
    </row>
    <row r="310" spans="1:3" x14ac:dyDescent="0.25">
      <c r="A310" t="s">
        <v>725</v>
      </c>
      <c r="B310" t="s">
        <v>726</v>
      </c>
      <c r="C310" t="s">
        <v>574</v>
      </c>
    </row>
    <row r="311" spans="1:3" x14ac:dyDescent="0.25">
      <c r="A311" t="s">
        <v>727</v>
      </c>
      <c r="B311" t="s">
        <v>728</v>
      </c>
      <c r="C311" t="s">
        <v>574</v>
      </c>
    </row>
    <row r="312" spans="1:3" x14ac:dyDescent="0.25">
      <c r="A312" t="s">
        <v>729</v>
      </c>
      <c r="B312" t="s">
        <v>730</v>
      </c>
      <c r="C312" t="s">
        <v>574</v>
      </c>
    </row>
    <row r="313" spans="1:3" x14ac:dyDescent="0.25">
      <c r="A313" t="s">
        <v>731</v>
      </c>
      <c r="B313" t="s">
        <v>732</v>
      </c>
      <c r="C313" t="s">
        <v>574</v>
      </c>
    </row>
    <row r="314" spans="1:3" x14ac:dyDescent="0.25">
      <c r="A314" t="s">
        <v>733</v>
      </c>
      <c r="B314" t="s">
        <v>734</v>
      </c>
      <c r="C314" t="s">
        <v>574</v>
      </c>
    </row>
    <row r="315" spans="1:3" x14ac:dyDescent="0.25">
      <c r="A315" t="s">
        <v>735</v>
      </c>
      <c r="B315" t="s">
        <v>736</v>
      </c>
      <c r="C315" t="s">
        <v>574</v>
      </c>
    </row>
    <row r="316" spans="1:3" x14ac:dyDescent="0.25">
      <c r="A316" t="s">
        <v>737</v>
      </c>
      <c r="B316" t="s">
        <v>738</v>
      </c>
      <c r="C316" t="s">
        <v>574</v>
      </c>
    </row>
    <row r="317" spans="1:3" x14ac:dyDescent="0.25">
      <c r="A317" t="s">
        <v>739</v>
      </c>
      <c r="B317" t="s">
        <v>740</v>
      </c>
      <c r="C317" t="s">
        <v>574</v>
      </c>
    </row>
    <row r="318" spans="1:3" x14ac:dyDescent="0.25">
      <c r="A318" t="s">
        <v>741</v>
      </c>
      <c r="B318" t="s">
        <v>742</v>
      </c>
      <c r="C318" t="s">
        <v>574</v>
      </c>
    </row>
    <row r="319" spans="1:3" x14ac:dyDescent="0.25">
      <c r="A319" t="s">
        <v>743</v>
      </c>
      <c r="B319" t="s">
        <v>744</v>
      </c>
      <c r="C319" t="s">
        <v>574</v>
      </c>
    </row>
    <row r="320" spans="1:3" x14ac:dyDescent="0.25">
      <c r="A320" t="s">
        <v>745</v>
      </c>
      <c r="B320" t="s">
        <v>746</v>
      </c>
      <c r="C320" t="s">
        <v>574</v>
      </c>
    </row>
    <row r="321" spans="1:3" x14ac:dyDescent="0.25">
      <c r="A321" t="s">
        <v>747</v>
      </c>
      <c r="B321" t="s">
        <v>748</v>
      </c>
      <c r="C321" t="s">
        <v>574</v>
      </c>
    </row>
    <row r="322" spans="1:3" x14ac:dyDescent="0.25">
      <c r="A322" t="s">
        <v>749</v>
      </c>
      <c r="B322" t="s">
        <v>750</v>
      </c>
      <c r="C322" t="s">
        <v>574</v>
      </c>
    </row>
    <row r="323" spans="1:3" x14ac:dyDescent="0.25">
      <c r="A323" t="s">
        <v>751</v>
      </c>
      <c r="B323" t="s">
        <v>752</v>
      </c>
      <c r="C323" t="s">
        <v>574</v>
      </c>
    </row>
    <row r="324" spans="1:3" x14ac:dyDescent="0.25">
      <c r="A324" t="s">
        <v>753</v>
      </c>
      <c r="B324" t="s">
        <v>754</v>
      </c>
      <c r="C324" t="s">
        <v>574</v>
      </c>
    </row>
    <row r="325" spans="1:3" x14ac:dyDescent="0.25">
      <c r="A325" t="s">
        <v>755</v>
      </c>
      <c r="B325" t="s">
        <v>756</v>
      </c>
      <c r="C325" t="s">
        <v>574</v>
      </c>
    </row>
    <row r="326" spans="1:3" x14ac:dyDescent="0.25">
      <c r="A326" t="s">
        <v>757</v>
      </c>
      <c r="B326" t="s">
        <v>758</v>
      </c>
      <c r="C326" t="s">
        <v>574</v>
      </c>
    </row>
    <row r="327" spans="1:3" x14ac:dyDescent="0.25">
      <c r="A327" t="s">
        <v>759</v>
      </c>
      <c r="B327" t="s">
        <v>760</v>
      </c>
      <c r="C327" t="s">
        <v>574</v>
      </c>
    </row>
    <row r="328" spans="1:3" x14ac:dyDescent="0.25">
      <c r="A328" t="s">
        <v>761</v>
      </c>
      <c r="B328" t="s">
        <v>762</v>
      </c>
      <c r="C328" t="s">
        <v>574</v>
      </c>
    </row>
    <row r="329" spans="1:3" x14ac:dyDescent="0.25">
      <c r="A329" t="s">
        <v>763</v>
      </c>
      <c r="B329" t="s">
        <v>764</v>
      </c>
      <c r="C329" t="s">
        <v>574</v>
      </c>
    </row>
    <row r="330" spans="1:3" x14ac:dyDescent="0.25">
      <c r="A330" t="s">
        <v>765</v>
      </c>
      <c r="B330" t="s">
        <v>766</v>
      </c>
      <c r="C330" t="s">
        <v>574</v>
      </c>
    </row>
    <row r="331" spans="1:3" x14ac:dyDescent="0.25">
      <c r="A331" t="s">
        <v>767</v>
      </c>
      <c r="B331" t="s">
        <v>768</v>
      </c>
      <c r="C331" t="s">
        <v>574</v>
      </c>
    </row>
    <row r="332" spans="1:3" x14ac:dyDescent="0.25">
      <c r="A332" t="s">
        <v>769</v>
      </c>
      <c r="B332" t="s">
        <v>770</v>
      </c>
      <c r="C332" t="s">
        <v>574</v>
      </c>
    </row>
    <row r="333" spans="1:3" x14ac:dyDescent="0.25">
      <c r="A333" t="s">
        <v>771</v>
      </c>
      <c r="B333" t="s">
        <v>772</v>
      </c>
      <c r="C333" t="s">
        <v>574</v>
      </c>
    </row>
    <row r="334" spans="1:3" x14ac:dyDescent="0.25">
      <c r="A334" t="s">
        <v>773</v>
      </c>
      <c r="B334" t="s">
        <v>774</v>
      </c>
      <c r="C334" t="s">
        <v>574</v>
      </c>
    </row>
    <row r="335" spans="1:3" x14ac:dyDescent="0.25">
      <c r="A335" t="s">
        <v>775</v>
      </c>
      <c r="B335" t="s">
        <v>776</v>
      </c>
      <c r="C335" t="s">
        <v>574</v>
      </c>
    </row>
    <row r="336" spans="1:3" x14ac:dyDescent="0.25">
      <c r="A336" t="s">
        <v>777</v>
      </c>
      <c r="B336" t="s">
        <v>778</v>
      </c>
      <c r="C336" t="s">
        <v>574</v>
      </c>
    </row>
    <row r="337" spans="1:3" x14ac:dyDescent="0.25">
      <c r="A337" t="s">
        <v>779</v>
      </c>
      <c r="B337" t="s">
        <v>780</v>
      </c>
      <c r="C337" t="s">
        <v>574</v>
      </c>
    </row>
    <row r="338" spans="1:3" x14ac:dyDescent="0.25">
      <c r="A338" t="s">
        <v>781</v>
      </c>
      <c r="B338" t="s">
        <v>782</v>
      </c>
      <c r="C338" t="s">
        <v>574</v>
      </c>
    </row>
    <row r="339" spans="1:3" x14ac:dyDescent="0.25">
      <c r="A339" t="s">
        <v>783</v>
      </c>
      <c r="B339" t="s">
        <v>784</v>
      </c>
      <c r="C339" t="s">
        <v>574</v>
      </c>
    </row>
    <row r="340" spans="1:3" x14ac:dyDescent="0.25">
      <c r="A340" t="s">
        <v>785</v>
      </c>
      <c r="B340" t="s">
        <v>786</v>
      </c>
      <c r="C340" t="s">
        <v>574</v>
      </c>
    </row>
    <row r="341" spans="1:3" x14ac:dyDescent="0.25">
      <c r="A341" t="s">
        <v>787</v>
      </c>
      <c r="B341" t="s">
        <v>788</v>
      </c>
      <c r="C341" t="s">
        <v>574</v>
      </c>
    </row>
    <row r="342" spans="1:3" x14ac:dyDescent="0.25">
      <c r="A342" t="s">
        <v>789</v>
      </c>
      <c r="B342" t="s">
        <v>790</v>
      </c>
      <c r="C342" t="s">
        <v>574</v>
      </c>
    </row>
    <row r="343" spans="1:3" x14ac:dyDescent="0.25">
      <c r="A343" t="s">
        <v>791</v>
      </c>
      <c r="B343" t="s">
        <v>792</v>
      </c>
      <c r="C343" t="s">
        <v>574</v>
      </c>
    </row>
    <row r="344" spans="1:3" x14ac:dyDescent="0.25">
      <c r="A344" t="s">
        <v>793</v>
      </c>
      <c r="B344" t="s">
        <v>794</v>
      </c>
      <c r="C344" t="s">
        <v>574</v>
      </c>
    </row>
    <row r="345" spans="1:3" x14ac:dyDescent="0.25">
      <c r="A345" t="s">
        <v>795</v>
      </c>
      <c r="B345" t="s">
        <v>796</v>
      </c>
      <c r="C345" t="s">
        <v>574</v>
      </c>
    </row>
    <row r="346" spans="1:3" x14ac:dyDescent="0.25">
      <c r="A346" t="s">
        <v>797</v>
      </c>
      <c r="B346" t="s">
        <v>798</v>
      </c>
      <c r="C346" t="s">
        <v>574</v>
      </c>
    </row>
    <row r="347" spans="1:3" x14ac:dyDescent="0.25">
      <c r="A347" t="s">
        <v>799</v>
      </c>
      <c r="B347" t="s">
        <v>800</v>
      </c>
      <c r="C347" t="s">
        <v>574</v>
      </c>
    </row>
    <row r="348" spans="1:3" x14ac:dyDescent="0.25">
      <c r="A348" t="s">
        <v>801</v>
      </c>
      <c r="B348" t="s">
        <v>802</v>
      </c>
      <c r="C348" t="s">
        <v>574</v>
      </c>
    </row>
    <row r="349" spans="1:3" x14ac:dyDescent="0.25">
      <c r="A349" t="s">
        <v>803</v>
      </c>
      <c r="B349" t="s">
        <v>804</v>
      </c>
      <c r="C349" t="s">
        <v>574</v>
      </c>
    </row>
    <row r="350" spans="1:3" x14ac:dyDescent="0.25">
      <c r="A350" t="s">
        <v>805</v>
      </c>
      <c r="B350" t="s">
        <v>806</v>
      </c>
      <c r="C350" t="s">
        <v>574</v>
      </c>
    </row>
    <row r="351" spans="1:3" x14ac:dyDescent="0.25">
      <c r="A351" t="s">
        <v>807</v>
      </c>
      <c r="B351" t="s">
        <v>808</v>
      </c>
      <c r="C351" t="s">
        <v>574</v>
      </c>
    </row>
    <row r="352" spans="1:3" x14ac:dyDescent="0.25">
      <c r="A352" t="s">
        <v>809</v>
      </c>
      <c r="B352" t="s">
        <v>810</v>
      </c>
      <c r="C352" t="s">
        <v>303</v>
      </c>
    </row>
    <row r="353" spans="1:3" x14ac:dyDescent="0.25">
      <c r="A353" t="s">
        <v>811</v>
      </c>
      <c r="B353" t="s">
        <v>812</v>
      </c>
      <c r="C353" t="s">
        <v>303</v>
      </c>
    </row>
    <row r="354" spans="1:3" x14ac:dyDescent="0.25">
      <c r="A354" t="s">
        <v>813</v>
      </c>
      <c r="B354" t="s">
        <v>814</v>
      </c>
      <c r="C354" t="s">
        <v>303</v>
      </c>
    </row>
    <row r="355" spans="1:3" x14ac:dyDescent="0.25">
      <c r="A355" t="s">
        <v>815</v>
      </c>
      <c r="B355" t="s">
        <v>816</v>
      </c>
      <c r="C355" t="s">
        <v>303</v>
      </c>
    </row>
    <row r="356" spans="1:3" x14ac:dyDescent="0.25">
      <c r="A356" t="s">
        <v>817</v>
      </c>
      <c r="B356" t="s">
        <v>818</v>
      </c>
      <c r="C356" t="s">
        <v>303</v>
      </c>
    </row>
    <row r="357" spans="1:3" x14ac:dyDescent="0.25">
      <c r="A357" t="s">
        <v>819</v>
      </c>
      <c r="B357" t="s">
        <v>820</v>
      </c>
      <c r="C357" t="s">
        <v>303</v>
      </c>
    </row>
    <row r="358" spans="1:3" x14ac:dyDescent="0.25">
      <c r="A358" t="s">
        <v>821</v>
      </c>
      <c r="B358" t="s">
        <v>822</v>
      </c>
      <c r="C358" t="s">
        <v>303</v>
      </c>
    </row>
    <row r="359" spans="1:3" x14ac:dyDescent="0.25">
      <c r="A359" t="s">
        <v>823</v>
      </c>
      <c r="B359" t="s">
        <v>824</v>
      </c>
      <c r="C359" t="s">
        <v>303</v>
      </c>
    </row>
    <row r="360" spans="1:3" x14ac:dyDescent="0.25">
      <c r="A360" t="s">
        <v>825</v>
      </c>
      <c r="B360" t="s">
        <v>826</v>
      </c>
      <c r="C360" t="s">
        <v>303</v>
      </c>
    </row>
    <row r="361" spans="1:3" x14ac:dyDescent="0.25">
      <c r="A361" t="s">
        <v>827</v>
      </c>
      <c r="B361" t="s">
        <v>828</v>
      </c>
      <c r="C361" t="s">
        <v>574</v>
      </c>
    </row>
    <row r="362" spans="1:3" x14ac:dyDescent="0.25">
      <c r="A362" t="s">
        <v>829</v>
      </c>
      <c r="B362" t="s">
        <v>830</v>
      </c>
      <c r="C362" t="s">
        <v>574</v>
      </c>
    </row>
    <row r="363" spans="1:3" x14ac:dyDescent="0.25">
      <c r="A363" t="s">
        <v>831</v>
      </c>
      <c r="B363" t="s">
        <v>832</v>
      </c>
      <c r="C363" t="s">
        <v>574</v>
      </c>
    </row>
    <row r="364" spans="1:3" x14ac:dyDescent="0.25">
      <c r="A364" t="s">
        <v>833</v>
      </c>
      <c r="B364" t="s">
        <v>834</v>
      </c>
      <c r="C364" t="s">
        <v>574</v>
      </c>
    </row>
    <row r="365" spans="1:3" x14ac:dyDescent="0.25">
      <c r="A365" t="s">
        <v>835</v>
      </c>
      <c r="B365" t="s">
        <v>836</v>
      </c>
      <c r="C365" t="s">
        <v>574</v>
      </c>
    </row>
    <row r="366" spans="1:3" x14ac:dyDescent="0.25">
      <c r="A366" t="s">
        <v>837</v>
      </c>
      <c r="B366" t="s">
        <v>838</v>
      </c>
      <c r="C366" t="s">
        <v>574</v>
      </c>
    </row>
    <row r="367" spans="1:3" x14ac:dyDescent="0.25">
      <c r="A367" t="s">
        <v>839</v>
      </c>
      <c r="B367" t="s">
        <v>840</v>
      </c>
      <c r="C367" t="s">
        <v>574</v>
      </c>
    </row>
    <row r="368" spans="1:3" x14ac:dyDescent="0.25">
      <c r="A368" t="s">
        <v>841</v>
      </c>
      <c r="B368" t="s">
        <v>842</v>
      </c>
      <c r="C368" t="s">
        <v>574</v>
      </c>
    </row>
    <row r="369" spans="1:3" x14ac:dyDescent="0.25">
      <c r="A369" t="s">
        <v>843</v>
      </c>
      <c r="B369" t="s">
        <v>844</v>
      </c>
      <c r="C369" t="s">
        <v>574</v>
      </c>
    </row>
    <row r="370" spans="1:3" x14ac:dyDescent="0.25">
      <c r="A370" t="s">
        <v>845</v>
      </c>
      <c r="B370" t="s">
        <v>846</v>
      </c>
      <c r="C370" t="s">
        <v>574</v>
      </c>
    </row>
    <row r="371" spans="1:3" x14ac:dyDescent="0.25">
      <c r="A371" t="s">
        <v>847</v>
      </c>
      <c r="B371" t="s">
        <v>848</v>
      </c>
      <c r="C371" t="s">
        <v>574</v>
      </c>
    </row>
    <row r="372" spans="1:3" x14ac:dyDescent="0.25">
      <c r="A372" t="s">
        <v>849</v>
      </c>
      <c r="B372" t="s">
        <v>850</v>
      </c>
      <c r="C372" t="s">
        <v>574</v>
      </c>
    </row>
    <row r="373" spans="1:3" x14ac:dyDescent="0.25">
      <c r="A373" t="s">
        <v>851</v>
      </c>
      <c r="B373" t="s">
        <v>852</v>
      </c>
      <c r="C373" t="s">
        <v>574</v>
      </c>
    </row>
    <row r="374" spans="1:3" x14ac:dyDescent="0.25">
      <c r="A374" t="s">
        <v>853</v>
      </c>
      <c r="B374" t="s">
        <v>854</v>
      </c>
      <c r="C374" t="s">
        <v>574</v>
      </c>
    </row>
    <row r="375" spans="1:3" x14ac:dyDescent="0.25">
      <c r="A375" t="s">
        <v>855</v>
      </c>
      <c r="B375" t="s">
        <v>856</v>
      </c>
      <c r="C375" t="s">
        <v>574</v>
      </c>
    </row>
    <row r="376" spans="1:3" x14ac:dyDescent="0.25">
      <c r="A376" t="s">
        <v>857</v>
      </c>
      <c r="B376" t="s">
        <v>858</v>
      </c>
      <c r="C376" t="s">
        <v>574</v>
      </c>
    </row>
    <row r="377" spans="1:3" x14ac:dyDescent="0.25">
      <c r="A377" t="s">
        <v>859</v>
      </c>
      <c r="B377" t="s">
        <v>860</v>
      </c>
      <c r="C377" t="s">
        <v>574</v>
      </c>
    </row>
    <row r="378" spans="1:3" x14ac:dyDescent="0.25">
      <c r="A378" t="s">
        <v>861</v>
      </c>
      <c r="B378" t="s">
        <v>862</v>
      </c>
      <c r="C378" t="s">
        <v>574</v>
      </c>
    </row>
    <row r="379" spans="1:3" x14ac:dyDescent="0.25">
      <c r="A379" t="s">
        <v>863</v>
      </c>
      <c r="B379" t="s">
        <v>864</v>
      </c>
      <c r="C379" t="s">
        <v>574</v>
      </c>
    </row>
    <row r="380" spans="1:3" x14ac:dyDescent="0.25">
      <c r="A380" t="s">
        <v>865</v>
      </c>
      <c r="B380" t="s">
        <v>866</v>
      </c>
      <c r="C380" t="s">
        <v>574</v>
      </c>
    </row>
    <row r="381" spans="1:3" x14ac:dyDescent="0.25">
      <c r="A381" t="s">
        <v>867</v>
      </c>
      <c r="B381" t="s">
        <v>868</v>
      </c>
      <c r="C381" t="s">
        <v>574</v>
      </c>
    </row>
    <row r="382" spans="1:3" x14ac:dyDescent="0.25">
      <c r="A382" t="s">
        <v>869</v>
      </c>
      <c r="B382" t="s">
        <v>870</v>
      </c>
      <c r="C382" t="s">
        <v>574</v>
      </c>
    </row>
    <row r="383" spans="1:3" x14ac:dyDescent="0.25">
      <c r="A383" t="s">
        <v>871</v>
      </c>
      <c r="B383" t="s">
        <v>872</v>
      </c>
      <c r="C383" t="s">
        <v>574</v>
      </c>
    </row>
    <row r="384" spans="1:3" x14ac:dyDescent="0.25">
      <c r="A384" t="s">
        <v>873</v>
      </c>
      <c r="B384" t="s">
        <v>874</v>
      </c>
      <c r="C384" t="s">
        <v>574</v>
      </c>
    </row>
    <row r="385" spans="1:3" x14ac:dyDescent="0.25">
      <c r="A385" t="s">
        <v>875</v>
      </c>
      <c r="B385" t="s">
        <v>876</v>
      </c>
      <c r="C385" t="s">
        <v>574</v>
      </c>
    </row>
    <row r="386" spans="1:3" x14ac:dyDescent="0.25">
      <c r="A386" t="s">
        <v>877</v>
      </c>
      <c r="B386" t="s">
        <v>878</v>
      </c>
      <c r="C386" t="s">
        <v>574</v>
      </c>
    </row>
    <row r="387" spans="1:3" x14ac:dyDescent="0.25">
      <c r="A387" t="s">
        <v>879</v>
      </c>
      <c r="B387" t="s">
        <v>880</v>
      </c>
      <c r="C387" t="s">
        <v>574</v>
      </c>
    </row>
    <row r="388" spans="1:3" x14ac:dyDescent="0.25">
      <c r="A388" t="s">
        <v>881</v>
      </c>
      <c r="B388" t="s">
        <v>882</v>
      </c>
      <c r="C388" t="s">
        <v>574</v>
      </c>
    </row>
    <row r="389" spans="1:3" x14ac:dyDescent="0.25">
      <c r="A389" t="s">
        <v>883</v>
      </c>
      <c r="B389" t="s">
        <v>884</v>
      </c>
      <c r="C389" t="s">
        <v>574</v>
      </c>
    </row>
    <row r="390" spans="1:3" x14ac:dyDescent="0.25">
      <c r="A390" t="s">
        <v>885</v>
      </c>
      <c r="B390" t="s">
        <v>886</v>
      </c>
      <c r="C390" t="s">
        <v>574</v>
      </c>
    </row>
    <row r="391" spans="1:3" x14ac:dyDescent="0.25">
      <c r="A391" t="s">
        <v>887</v>
      </c>
      <c r="B391" t="s">
        <v>888</v>
      </c>
      <c r="C391" t="s">
        <v>574</v>
      </c>
    </row>
    <row r="392" spans="1:3" x14ac:dyDescent="0.25">
      <c r="A392" t="s">
        <v>889</v>
      </c>
      <c r="B392" t="s">
        <v>890</v>
      </c>
      <c r="C392" t="s">
        <v>574</v>
      </c>
    </row>
    <row r="393" spans="1:3" x14ac:dyDescent="0.25">
      <c r="A393" t="s">
        <v>891</v>
      </c>
      <c r="B393" t="s">
        <v>892</v>
      </c>
      <c r="C393" t="s">
        <v>574</v>
      </c>
    </row>
    <row r="394" spans="1:3" x14ac:dyDescent="0.25">
      <c r="A394" t="s">
        <v>893</v>
      </c>
      <c r="B394" t="s">
        <v>894</v>
      </c>
      <c r="C394" t="s">
        <v>574</v>
      </c>
    </row>
    <row r="395" spans="1:3" x14ac:dyDescent="0.25">
      <c r="A395" t="s">
        <v>895</v>
      </c>
      <c r="B395" t="s">
        <v>896</v>
      </c>
      <c r="C395" t="s">
        <v>574</v>
      </c>
    </row>
    <row r="396" spans="1:3" x14ac:dyDescent="0.25">
      <c r="A396" t="s">
        <v>897</v>
      </c>
      <c r="B396" t="s">
        <v>898</v>
      </c>
      <c r="C396" t="s">
        <v>574</v>
      </c>
    </row>
    <row r="397" spans="1:3" x14ac:dyDescent="0.25">
      <c r="A397" t="s">
        <v>899</v>
      </c>
      <c r="B397" t="s">
        <v>900</v>
      </c>
      <c r="C397" t="s">
        <v>574</v>
      </c>
    </row>
    <row r="398" spans="1:3" x14ac:dyDescent="0.25">
      <c r="A398" t="s">
        <v>901</v>
      </c>
      <c r="B398" t="s">
        <v>902</v>
      </c>
      <c r="C398" t="s">
        <v>574</v>
      </c>
    </row>
    <row r="399" spans="1:3" x14ac:dyDescent="0.25">
      <c r="A399" t="s">
        <v>903</v>
      </c>
      <c r="B399" t="s">
        <v>904</v>
      </c>
      <c r="C399" t="s">
        <v>574</v>
      </c>
    </row>
    <row r="400" spans="1:3" x14ac:dyDescent="0.25">
      <c r="A400" t="s">
        <v>905</v>
      </c>
      <c r="B400" t="s">
        <v>906</v>
      </c>
      <c r="C400" t="s">
        <v>574</v>
      </c>
    </row>
    <row r="401" spans="1:3" x14ac:dyDescent="0.25">
      <c r="A401" t="s">
        <v>907</v>
      </c>
      <c r="B401" t="s">
        <v>908</v>
      </c>
      <c r="C401" t="s">
        <v>574</v>
      </c>
    </row>
    <row r="402" spans="1:3" x14ac:dyDescent="0.25">
      <c r="A402" t="s">
        <v>909</v>
      </c>
      <c r="B402" t="s">
        <v>910</v>
      </c>
      <c r="C402" t="s">
        <v>574</v>
      </c>
    </row>
    <row r="403" spans="1:3" x14ac:dyDescent="0.25">
      <c r="A403" t="s">
        <v>911</v>
      </c>
      <c r="B403" t="s">
        <v>912</v>
      </c>
      <c r="C403" t="s">
        <v>574</v>
      </c>
    </row>
    <row r="404" spans="1:3" x14ac:dyDescent="0.25">
      <c r="A404" t="s">
        <v>913</v>
      </c>
      <c r="B404" t="s">
        <v>914</v>
      </c>
      <c r="C404" t="s">
        <v>574</v>
      </c>
    </row>
    <row r="405" spans="1:3" x14ac:dyDescent="0.25">
      <c r="A405" t="s">
        <v>915</v>
      </c>
      <c r="B405" t="s">
        <v>916</v>
      </c>
      <c r="C405" t="s">
        <v>574</v>
      </c>
    </row>
    <row r="406" spans="1:3" x14ac:dyDescent="0.25">
      <c r="A406" t="s">
        <v>917</v>
      </c>
      <c r="B406" t="s">
        <v>918</v>
      </c>
      <c r="C406" t="s">
        <v>574</v>
      </c>
    </row>
    <row r="407" spans="1:3" x14ac:dyDescent="0.25">
      <c r="A407" t="s">
        <v>919</v>
      </c>
      <c r="B407" t="s">
        <v>920</v>
      </c>
      <c r="C407" t="s">
        <v>574</v>
      </c>
    </row>
    <row r="408" spans="1:3" x14ac:dyDescent="0.25">
      <c r="A408" t="s">
        <v>921</v>
      </c>
      <c r="B408" t="s">
        <v>922</v>
      </c>
      <c r="C408" t="s">
        <v>574</v>
      </c>
    </row>
    <row r="409" spans="1:3" x14ac:dyDescent="0.25">
      <c r="A409" t="s">
        <v>923</v>
      </c>
      <c r="B409" t="s">
        <v>924</v>
      </c>
      <c r="C409" t="s">
        <v>574</v>
      </c>
    </row>
    <row r="410" spans="1:3" x14ac:dyDescent="0.25">
      <c r="A410" t="s">
        <v>925</v>
      </c>
      <c r="B410" t="s">
        <v>926</v>
      </c>
      <c r="C410" t="s">
        <v>574</v>
      </c>
    </row>
    <row r="411" spans="1:3" x14ac:dyDescent="0.25">
      <c r="A411" t="s">
        <v>927</v>
      </c>
      <c r="B411" t="s">
        <v>928</v>
      </c>
      <c r="C411" t="s">
        <v>574</v>
      </c>
    </row>
    <row r="412" spans="1:3" x14ac:dyDescent="0.25">
      <c r="A412" t="s">
        <v>929</v>
      </c>
      <c r="B412" t="s">
        <v>930</v>
      </c>
      <c r="C412" t="s">
        <v>574</v>
      </c>
    </row>
    <row r="413" spans="1:3" x14ac:dyDescent="0.25">
      <c r="A413" t="s">
        <v>931</v>
      </c>
      <c r="B413" t="s">
        <v>932</v>
      </c>
      <c r="C413" t="s">
        <v>574</v>
      </c>
    </row>
    <row r="414" spans="1:3" x14ac:dyDescent="0.25">
      <c r="A414" t="s">
        <v>933</v>
      </c>
      <c r="B414" t="s">
        <v>934</v>
      </c>
      <c r="C414" t="s">
        <v>574</v>
      </c>
    </row>
    <row r="415" spans="1:3" x14ac:dyDescent="0.25">
      <c r="A415" t="s">
        <v>935</v>
      </c>
      <c r="B415" t="s">
        <v>936</v>
      </c>
      <c r="C415" t="s">
        <v>574</v>
      </c>
    </row>
    <row r="416" spans="1:3" x14ac:dyDescent="0.25">
      <c r="A416" t="s">
        <v>937</v>
      </c>
      <c r="B416" t="s">
        <v>938</v>
      </c>
      <c r="C416" t="s">
        <v>574</v>
      </c>
    </row>
    <row r="417" spans="1:3" x14ac:dyDescent="0.25">
      <c r="A417" t="s">
        <v>939</v>
      </c>
      <c r="B417" t="s">
        <v>940</v>
      </c>
      <c r="C417" t="s">
        <v>574</v>
      </c>
    </row>
    <row r="418" spans="1:3" x14ac:dyDescent="0.25">
      <c r="A418" t="s">
        <v>941</v>
      </c>
      <c r="B418" t="s">
        <v>942</v>
      </c>
      <c r="C418" t="s">
        <v>574</v>
      </c>
    </row>
    <row r="419" spans="1:3" x14ac:dyDescent="0.25">
      <c r="A419" t="s">
        <v>943</v>
      </c>
      <c r="B419" t="s">
        <v>944</v>
      </c>
      <c r="C419" t="s">
        <v>574</v>
      </c>
    </row>
    <row r="420" spans="1:3" x14ac:dyDescent="0.25">
      <c r="A420" t="s">
        <v>945</v>
      </c>
      <c r="B420" t="s">
        <v>946</v>
      </c>
      <c r="C420" t="s">
        <v>574</v>
      </c>
    </row>
    <row r="421" spans="1:3" x14ac:dyDescent="0.25">
      <c r="A421" t="s">
        <v>947</v>
      </c>
      <c r="B421" t="s">
        <v>948</v>
      </c>
      <c r="C421" t="s">
        <v>574</v>
      </c>
    </row>
    <row r="422" spans="1:3" x14ac:dyDescent="0.25">
      <c r="A422" t="s">
        <v>949</v>
      </c>
      <c r="B422" t="s">
        <v>950</v>
      </c>
      <c r="C422" t="s">
        <v>574</v>
      </c>
    </row>
    <row r="423" spans="1:3" x14ac:dyDescent="0.25">
      <c r="A423" t="s">
        <v>951</v>
      </c>
      <c r="B423" t="s">
        <v>952</v>
      </c>
      <c r="C423" t="s">
        <v>574</v>
      </c>
    </row>
    <row r="424" spans="1:3" x14ac:dyDescent="0.25">
      <c r="A424" t="s">
        <v>953</v>
      </c>
      <c r="B424" t="s">
        <v>954</v>
      </c>
      <c r="C424" t="s">
        <v>574</v>
      </c>
    </row>
    <row r="425" spans="1:3" x14ac:dyDescent="0.25">
      <c r="A425" t="s">
        <v>955</v>
      </c>
      <c r="B425" t="s">
        <v>956</v>
      </c>
      <c r="C425" t="s">
        <v>574</v>
      </c>
    </row>
    <row r="426" spans="1:3" x14ac:dyDescent="0.25">
      <c r="A426" t="s">
        <v>957</v>
      </c>
      <c r="B426" t="s">
        <v>958</v>
      </c>
      <c r="C426" t="s">
        <v>574</v>
      </c>
    </row>
    <row r="427" spans="1:3" x14ac:dyDescent="0.25">
      <c r="A427" t="s">
        <v>959</v>
      </c>
      <c r="B427" t="s">
        <v>960</v>
      </c>
      <c r="C427" t="s">
        <v>574</v>
      </c>
    </row>
    <row r="428" spans="1:3" x14ac:dyDescent="0.25">
      <c r="A428" t="s">
        <v>961</v>
      </c>
      <c r="B428" t="s">
        <v>962</v>
      </c>
      <c r="C428" t="s">
        <v>574</v>
      </c>
    </row>
    <row r="429" spans="1:3" x14ac:dyDescent="0.25">
      <c r="A429" t="s">
        <v>963</v>
      </c>
      <c r="B429" t="s">
        <v>964</v>
      </c>
      <c r="C429" t="s">
        <v>574</v>
      </c>
    </row>
    <row r="430" spans="1:3" x14ac:dyDescent="0.25">
      <c r="A430" t="s">
        <v>965</v>
      </c>
      <c r="B430" t="s">
        <v>966</v>
      </c>
      <c r="C430" t="s">
        <v>574</v>
      </c>
    </row>
    <row r="431" spans="1:3" x14ac:dyDescent="0.25">
      <c r="A431" t="s">
        <v>967</v>
      </c>
      <c r="B431" t="s">
        <v>968</v>
      </c>
      <c r="C431" t="s">
        <v>574</v>
      </c>
    </row>
    <row r="432" spans="1:3" x14ac:dyDescent="0.25">
      <c r="A432" t="s">
        <v>969</v>
      </c>
      <c r="B432" t="s">
        <v>970</v>
      </c>
      <c r="C432" t="s">
        <v>574</v>
      </c>
    </row>
    <row r="433" spans="1:3" x14ac:dyDescent="0.25">
      <c r="A433" t="s">
        <v>971</v>
      </c>
      <c r="B433" t="s">
        <v>972</v>
      </c>
      <c r="C433" t="s">
        <v>574</v>
      </c>
    </row>
    <row r="434" spans="1:3" x14ac:dyDescent="0.25">
      <c r="A434" t="s">
        <v>973</v>
      </c>
      <c r="B434" t="s">
        <v>974</v>
      </c>
      <c r="C434" t="s">
        <v>574</v>
      </c>
    </row>
    <row r="435" spans="1:3" x14ac:dyDescent="0.25">
      <c r="A435" t="s">
        <v>975</v>
      </c>
      <c r="B435" t="s">
        <v>976</v>
      </c>
      <c r="C435" t="s">
        <v>574</v>
      </c>
    </row>
    <row r="436" spans="1:3" x14ac:dyDescent="0.25">
      <c r="A436" t="s">
        <v>977</v>
      </c>
      <c r="B436" t="s">
        <v>978</v>
      </c>
      <c r="C436" t="s">
        <v>574</v>
      </c>
    </row>
    <row r="437" spans="1:3" x14ac:dyDescent="0.25">
      <c r="A437" t="s">
        <v>979</v>
      </c>
      <c r="B437" t="s">
        <v>980</v>
      </c>
      <c r="C437" t="s">
        <v>574</v>
      </c>
    </row>
    <row r="438" spans="1:3" x14ac:dyDescent="0.25">
      <c r="A438" t="s">
        <v>981</v>
      </c>
      <c r="B438" t="s">
        <v>982</v>
      </c>
      <c r="C438" t="s">
        <v>574</v>
      </c>
    </row>
    <row r="439" spans="1:3" x14ac:dyDescent="0.25">
      <c r="A439" t="s">
        <v>983</v>
      </c>
      <c r="B439" t="s">
        <v>984</v>
      </c>
      <c r="C439" t="s">
        <v>574</v>
      </c>
    </row>
    <row r="440" spans="1:3" x14ac:dyDescent="0.25">
      <c r="A440" t="s">
        <v>985</v>
      </c>
      <c r="B440" t="s">
        <v>986</v>
      </c>
      <c r="C440" t="s">
        <v>574</v>
      </c>
    </row>
    <row r="441" spans="1:3" x14ac:dyDescent="0.25">
      <c r="A441" t="s">
        <v>987</v>
      </c>
      <c r="B441" t="s">
        <v>988</v>
      </c>
      <c r="C441" t="s">
        <v>574</v>
      </c>
    </row>
    <row r="442" spans="1:3" x14ac:dyDescent="0.25">
      <c r="A442" t="s">
        <v>989</v>
      </c>
      <c r="B442" t="s">
        <v>990</v>
      </c>
      <c r="C442" t="s">
        <v>574</v>
      </c>
    </row>
    <row r="443" spans="1:3" x14ac:dyDescent="0.25">
      <c r="A443" t="s">
        <v>991</v>
      </c>
      <c r="B443" t="s">
        <v>992</v>
      </c>
      <c r="C443" t="s">
        <v>574</v>
      </c>
    </row>
    <row r="444" spans="1:3" x14ac:dyDescent="0.25">
      <c r="A444" t="s">
        <v>993</v>
      </c>
      <c r="B444" t="s">
        <v>994</v>
      </c>
      <c r="C444" t="s">
        <v>574</v>
      </c>
    </row>
    <row r="445" spans="1:3" x14ac:dyDescent="0.25">
      <c r="A445" t="s">
        <v>995</v>
      </c>
      <c r="B445" t="s">
        <v>996</v>
      </c>
      <c r="C445" t="s">
        <v>574</v>
      </c>
    </row>
    <row r="446" spans="1:3" x14ac:dyDescent="0.25">
      <c r="A446" t="s">
        <v>997</v>
      </c>
      <c r="B446" t="s">
        <v>998</v>
      </c>
      <c r="C446" t="s">
        <v>574</v>
      </c>
    </row>
    <row r="447" spans="1:3" x14ac:dyDescent="0.25">
      <c r="A447" t="s">
        <v>999</v>
      </c>
      <c r="B447" t="s">
        <v>1000</v>
      </c>
      <c r="C447" t="s">
        <v>574</v>
      </c>
    </row>
    <row r="448" spans="1:3" x14ac:dyDescent="0.25">
      <c r="A448" t="s">
        <v>1001</v>
      </c>
      <c r="B448" t="s">
        <v>1002</v>
      </c>
      <c r="C448" t="s">
        <v>574</v>
      </c>
    </row>
    <row r="449" spans="1:3" x14ac:dyDescent="0.25">
      <c r="A449" t="s">
        <v>1003</v>
      </c>
      <c r="B449" t="s">
        <v>1004</v>
      </c>
      <c r="C449" t="s">
        <v>574</v>
      </c>
    </row>
    <row r="450" spans="1:3" x14ac:dyDescent="0.25">
      <c r="A450" t="s">
        <v>1005</v>
      </c>
      <c r="B450" t="s">
        <v>1006</v>
      </c>
      <c r="C450" t="s">
        <v>574</v>
      </c>
    </row>
    <row r="451" spans="1:3" x14ac:dyDescent="0.25">
      <c r="A451" t="s">
        <v>1007</v>
      </c>
      <c r="B451" t="s">
        <v>1008</v>
      </c>
      <c r="C451" t="s">
        <v>574</v>
      </c>
    </row>
    <row r="452" spans="1:3" x14ac:dyDescent="0.25">
      <c r="A452" t="s">
        <v>1009</v>
      </c>
      <c r="B452" t="s">
        <v>1010</v>
      </c>
      <c r="C452" t="s">
        <v>574</v>
      </c>
    </row>
    <row r="453" spans="1:3" x14ac:dyDescent="0.25">
      <c r="A453" t="s">
        <v>1011</v>
      </c>
      <c r="B453" t="s">
        <v>1012</v>
      </c>
      <c r="C453" t="s">
        <v>574</v>
      </c>
    </row>
    <row r="454" spans="1:3" x14ac:dyDescent="0.25">
      <c r="A454" t="s">
        <v>1013</v>
      </c>
      <c r="B454" t="s">
        <v>1014</v>
      </c>
      <c r="C454" t="s">
        <v>574</v>
      </c>
    </row>
    <row r="455" spans="1:3" x14ac:dyDescent="0.25">
      <c r="A455" t="s">
        <v>1015</v>
      </c>
      <c r="B455" t="s">
        <v>1016</v>
      </c>
      <c r="C455" t="s">
        <v>574</v>
      </c>
    </row>
    <row r="456" spans="1:3" x14ac:dyDescent="0.25">
      <c r="A456" t="s">
        <v>1017</v>
      </c>
      <c r="B456" t="s">
        <v>1018</v>
      </c>
      <c r="C456" t="s">
        <v>574</v>
      </c>
    </row>
    <row r="457" spans="1:3" x14ac:dyDescent="0.25">
      <c r="A457" t="s">
        <v>1019</v>
      </c>
      <c r="B457" t="s">
        <v>1020</v>
      </c>
      <c r="C457" t="s">
        <v>574</v>
      </c>
    </row>
    <row r="458" spans="1:3" x14ac:dyDescent="0.25">
      <c r="A458" t="s">
        <v>1021</v>
      </c>
      <c r="B458" t="s">
        <v>1022</v>
      </c>
      <c r="C458" t="s">
        <v>574</v>
      </c>
    </row>
    <row r="459" spans="1:3" x14ac:dyDescent="0.25">
      <c r="A459" t="s">
        <v>1023</v>
      </c>
      <c r="B459" t="s">
        <v>1024</v>
      </c>
      <c r="C459" t="s">
        <v>574</v>
      </c>
    </row>
    <row r="460" spans="1:3" x14ac:dyDescent="0.25">
      <c r="A460" t="s">
        <v>1025</v>
      </c>
      <c r="B460" t="s">
        <v>1026</v>
      </c>
      <c r="C460" t="s">
        <v>574</v>
      </c>
    </row>
    <row r="461" spans="1:3" x14ac:dyDescent="0.25">
      <c r="A461" t="s">
        <v>1027</v>
      </c>
      <c r="B461" t="s">
        <v>1028</v>
      </c>
      <c r="C461" t="s">
        <v>574</v>
      </c>
    </row>
    <row r="462" spans="1:3" x14ac:dyDescent="0.25">
      <c r="A462" t="s">
        <v>1029</v>
      </c>
      <c r="B462" t="s">
        <v>1030</v>
      </c>
      <c r="C462" t="s">
        <v>574</v>
      </c>
    </row>
    <row r="463" spans="1:3" x14ac:dyDescent="0.25">
      <c r="A463" t="s">
        <v>1031</v>
      </c>
      <c r="B463" t="s">
        <v>1032</v>
      </c>
      <c r="C463" t="s">
        <v>574</v>
      </c>
    </row>
    <row r="464" spans="1:3" x14ac:dyDescent="0.25">
      <c r="A464" t="s">
        <v>1033</v>
      </c>
      <c r="B464" t="s">
        <v>1034</v>
      </c>
      <c r="C464" t="s">
        <v>1035</v>
      </c>
    </row>
    <row r="465" spans="1:3" x14ac:dyDescent="0.25">
      <c r="A465" t="s">
        <v>216</v>
      </c>
      <c r="B465" t="s">
        <v>1036</v>
      </c>
      <c r="C465" t="s">
        <v>216</v>
      </c>
    </row>
    <row r="466" spans="1:3" x14ac:dyDescent="0.25">
      <c r="A466" t="s">
        <v>1037</v>
      </c>
      <c r="B466" t="s">
        <v>1038</v>
      </c>
      <c r="C466" t="s">
        <v>1037</v>
      </c>
    </row>
    <row r="467" spans="1:3" x14ac:dyDescent="0.25">
      <c r="A467" t="s">
        <v>1039</v>
      </c>
      <c r="B467" t="s">
        <v>1040</v>
      </c>
      <c r="C467" t="s">
        <v>1035</v>
      </c>
    </row>
    <row r="468" spans="1:3" x14ac:dyDescent="0.25">
      <c r="A468" t="s">
        <v>1041</v>
      </c>
      <c r="B468" t="s">
        <v>1042</v>
      </c>
      <c r="C468" t="s">
        <v>1035</v>
      </c>
    </row>
    <row r="469" spans="1:3" x14ac:dyDescent="0.25">
      <c r="A469" t="s">
        <v>1043</v>
      </c>
      <c r="B469" t="s">
        <v>1044</v>
      </c>
      <c r="C469" t="s">
        <v>1035</v>
      </c>
    </row>
    <row r="470" spans="1:3" x14ac:dyDescent="0.25">
      <c r="A470" t="s">
        <v>1045</v>
      </c>
      <c r="B470" t="s">
        <v>1046</v>
      </c>
      <c r="C470" t="s">
        <v>1035</v>
      </c>
    </row>
    <row r="471" spans="1:3" x14ac:dyDescent="0.25">
      <c r="A471" t="s">
        <v>1047</v>
      </c>
      <c r="B471" t="s">
        <v>1048</v>
      </c>
      <c r="C471" t="s">
        <v>1035</v>
      </c>
    </row>
    <row r="472" spans="1:3" x14ac:dyDescent="0.25">
      <c r="A472" t="s">
        <v>1049</v>
      </c>
      <c r="B472" t="s">
        <v>1050</v>
      </c>
      <c r="C472" t="s">
        <v>1035</v>
      </c>
    </row>
    <row r="473" spans="1:3" x14ac:dyDescent="0.25">
      <c r="A473" t="s">
        <v>1051</v>
      </c>
      <c r="B473" t="s">
        <v>1052</v>
      </c>
      <c r="C473" t="s">
        <v>1035</v>
      </c>
    </row>
    <row r="474" spans="1:3" x14ac:dyDescent="0.25">
      <c r="A474" t="s">
        <v>1053</v>
      </c>
      <c r="B474" t="s">
        <v>1054</v>
      </c>
      <c r="C474" t="s">
        <v>1035</v>
      </c>
    </row>
    <row r="475" spans="1:3" x14ac:dyDescent="0.25">
      <c r="A475" t="s">
        <v>1055</v>
      </c>
      <c r="B475" t="s">
        <v>1056</v>
      </c>
      <c r="C475" t="s">
        <v>1035</v>
      </c>
    </row>
    <row r="476" spans="1:3" x14ac:dyDescent="0.25">
      <c r="A476" t="s">
        <v>1057</v>
      </c>
      <c r="B476" t="s">
        <v>1058</v>
      </c>
      <c r="C476" t="s">
        <v>1035</v>
      </c>
    </row>
    <row r="477" spans="1:3" x14ac:dyDescent="0.25">
      <c r="A477" t="s">
        <v>1059</v>
      </c>
      <c r="B477" t="s">
        <v>1060</v>
      </c>
      <c r="C477" t="s">
        <v>1035</v>
      </c>
    </row>
    <row r="478" spans="1:3" x14ac:dyDescent="0.25">
      <c r="A478" t="s">
        <v>1061</v>
      </c>
      <c r="B478" t="s">
        <v>1062</v>
      </c>
      <c r="C478" t="s">
        <v>1035</v>
      </c>
    </row>
    <row r="479" spans="1:3" x14ac:dyDescent="0.25">
      <c r="A479" t="s">
        <v>1063</v>
      </c>
      <c r="B479" t="s">
        <v>1064</v>
      </c>
      <c r="C479" t="s">
        <v>1035</v>
      </c>
    </row>
    <row r="480" spans="1:3" x14ac:dyDescent="0.25">
      <c r="A480" t="s">
        <v>1065</v>
      </c>
      <c r="B480" t="s">
        <v>1066</v>
      </c>
      <c r="C480" t="s">
        <v>1035</v>
      </c>
    </row>
    <row r="481" spans="1:3" x14ac:dyDescent="0.25">
      <c r="A481" t="s">
        <v>1035</v>
      </c>
      <c r="B481" t="s">
        <v>1067</v>
      </c>
      <c r="C481" t="s">
        <v>1035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4EC1-C28A-4C07-8313-CC3447168FB6}">
  <sheetPr codeName="Sheet13">
    <tabColor theme="5" tint="0.79998168889431442"/>
  </sheetPr>
  <dimension ref="A1:I4"/>
  <sheetViews>
    <sheetView workbookViewId="0">
      <pane ySplit="2" topLeftCell="A3" activePane="bottomLeft" state="frozen"/>
      <selection pane="bottomLeft" activeCell="G5" sqref="G5"/>
    </sheetView>
  </sheetViews>
  <sheetFormatPr defaultColWidth="9.28515625" defaultRowHeight="15" outlineLevelCol="1" x14ac:dyDescent="0.25"/>
  <cols>
    <col min="1" max="1" width="15" hidden="1" customWidth="1" outlineLevel="1"/>
    <col min="2" max="2" width="14.42578125" hidden="1" customWidth="1" outlineLevel="1"/>
    <col min="3" max="3" width="17.7109375" hidden="1" customWidth="1" outlineLevel="1"/>
    <col min="4" max="4" width="20" hidden="1" customWidth="1" outlineLevel="1"/>
    <col min="5" max="5" width="19" hidden="1" customWidth="1" outlineLevel="1"/>
    <col min="6" max="6" width="19.7109375" bestFit="1" customWidth="1" collapsed="1"/>
    <col min="7" max="7" width="12.28515625" bestFit="1" customWidth="1"/>
    <col min="8" max="8" width="20.85546875" bestFit="1" customWidth="1"/>
    <col min="9" max="9" width="14.85546875" bestFit="1" customWidth="1"/>
  </cols>
  <sheetData>
    <row r="1" spans="1:9" x14ac:dyDescent="0.25">
      <c r="G1" s="186" t="s">
        <v>1068</v>
      </c>
      <c r="H1" s="186"/>
      <c r="I1" s="186"/>
    </row>
    <row r="2" spans="1:9" x14ac:dyDescent="0.25">
      <c r="A2" s="46" t="s">
        <v>1069</v>
      </c>
      <c r="B2" s="46" t="s">
        <v>1070</v>
      </c>
      <c r="C2" s="46" t="s">
        <v>1071</v>
      </c>
      <c r="D2" s="46" t="s">
        <v>1072</v>
      </c>
      <c r="E2" s="46" t="s">
        <v>1073</v>
      </c>
      <c r="F2" s="46" t="s">
        <v>1074</v>
      </c>
      <c r="G2" t="s">
        <v>1075</v>
      </c>
      <c r="H2" t="s">
        <v>1076</v>
      </c>
      <c r="I2" t="s">
        <v>1077</v>
      </c>
    </row>
    <row r="3" spans="1:9" x14ac:dyDescent="0.25">
      <c r="A3" s="35" t="b">
        <f>ISBLANK(FUNDS[[#This Row],[FundCode]])</f>
        <v>0</v>
      </c>
      <c r="B3" s="35" t="b">
        <f>ISBLANK(FUNDS[[#This Row],[Title]])</f>
        <v>0</v>
      </c>
      <c r="C3" s="35" t="b">
        <f>ISBLANK(FUNDS[[#This Row],[FundEnabled]])</f>
        <v>0</v>
      </c>
      <c r="D3" s="35" t="b">
        <f>IF(LEN(FUNDS[[#This Row],[FundCode]])&lt;100,FALSE,TRUE)</f>
        <v>0</v>
      </c>
      <c r="E3" s="35" t="b">
        <f>IF(LEN(FUNDS[[#This Row],[Title]])&lt;100,FALSE,TRUE)</f>
        <v>0</v>
      </c>
      <c r="F3" s="35">
        <f>COUNTIF(FUNDS[[#This Row],[Code is Blank]:[Title length check]],"TRUE")</f>
        <v>0</v>
      </c>
      <c r="G3" t="s">
        <v>1078</v>
      </c>
      <c r="H3" t="s">
        <v>1078</v>
      </c>
      <c r="I3" t="b">
        <v>1</v>
      </c>
    </row>
    <row r="4" spans="1:9" x14ac:dyDescent="0.25">
      <c r="A4" s="88" t="b">
        <f>ISBLANK(FUNDS[[#This Row],[FundCode]])</f>
        <v>0</v>
      </c>
      <c r="B4" s="88" t="b">
        <f>ISBLANK(FUNDS[[#This Row],[Title]])</f>
        <v>0</v>
      </c>
      <c r="C4" s="88" t="b">
        <f>ISBLANK(FUNDS[[#This Row],[FundEnabled]])</f>
        <v>0</v>
      </c>
      <c r="D4" s="88" t="b">
        <f>IF(LEN(FUNDS[[#This Row],[FundCode]])&lt;100,FALSE,TRUE)</f>
        <v>0</v>
      </c>
      <c r="E4" s="88" t="b">
        <f>IF(LEN(FUNDS[[#This Row],[Title]])&lt;100,FALSE,TRUE)</f>
        <v>0</v>
      </c>
      <c r="F4" s="88">
        <f>COUNTIF(FUNDS[[#This Row],[Code is Blank]:[Title length check]],"TRUE")</f>
        <v>0</v>
      </c>
      <c r="G4" s="5" t="s">
        <v>1079</v>
      </c>
      <c r="H4" t="s">
        <v>103</v>
      </c>
      <c r="I4" t="b">
        <v>1</v>
      </c>
    </row>
  </sheetData>
  <mergeCells count="1">
    <mergeCell ref="G1:I1"/>
  </mergeCells>
  <phoneticPr fontId="2" type="noConversion"/>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B1934-E673-49D1-B05C-7AC148378315}">
  <sheetPr codeName="Sheet50">
    <tabColor theme="5" tint="0.79998168889431442"/>
  </sheetPr>
  <dimension ref="A1:N23"/>
  <sheetViews>
    <sheetView workbookViewId="0">
      <pane ySplit="2" topLeftCell="A3" activePane="bottomLeft" state="frozen"/>
      <selection pane="bottomLeft" activeCell="A3" sqref="A3"/>
    </sheetView>
  </sheetViews>
  <sheetFormatPr defaultColWidth="9.28515625" defaultRowHeight="15" outlineLevelCol="1" x14ac:dyDescent="0.25"/>
  <cols>
    <col min="1" max="1" width="15" hidden="1" customWidth="1" outlineLevel="1"/>
    <col min="2" max="2" width="14.42578125" hidden="1" customWidth="1" outlineLevel="1"/>
    <col min="3" max="3" width="20" hidden="1" customWidth="1" outlineLevel="1"/>
    <col min="4" max="4" width="19" hidden="1" customWidth="1" outlineLevel="1"/>
    <col min="5" max="5" width="17.7109375" hidden="1" customWidth="1" outlineLevel="1"/>
    <col min="6" max="6" width="19.7109375" bestFit="1" customWidth="1" collapsed="1"/>
    <col min="7" max="7" width="14.5703125" bestFit="1" customWidth="1"/>
    <col min="8" max="8" width="19.140625" bestFit="1" customWidth="1"/>
    <col min="9" max="9" width="17.28515625" bestFit="1" customWidth="1"/>
  </cols>
  <sheetData>
    <row r="1" spans="1:9" x14ac:dyDescent="0.25">
      <c r="G1" s="186" t="s">
        <v>1068</v>
      </c>
      <c r="H1" s="186"/>
      <c r="I1" s="186"/>
    </row>
    <row r="2" spans="1:9" x14ac:dyDescent="0.25">
      <c r="A2" s="46" t="s">
        <v>1069</v>
      </c>
      <c r="B2" s="46" t="s">
        <v>1070</v>
      </c>
      <c r="C2" s="46" t="s">
        <v>1072</v>
      </c>
      <c r="D2" s="46" t="s">
        <v>1073</v>
      </c>
      <c r="E2" s="46" t="s">
        <v>1071</v>
      </c>
      <c r="F2" s="46" t="s">
        <v>1074</v>
      </c>
      <c r="G2" t="s">
        <v>1080</v>
      </c>
      <c r="H2" t="s">
        <v>1076</v>
      </c>
      <c r="I2" t="s">
        <v>1081</v>
      </c>
    </row>
    <row r="3" spans="1:9" x14ac:dyDescent="0.25">
      <c r="A3" s="43" t="b">
        <f>ISBLANK(ACTIVITIES[[#This Row],[ActivityCode]])</f>
        <v>0</v>
      </c>
      <c r="B3" s="43" t="b">
        <f>ISBLANK(ACTIVITIES[[#This Row],[Title]])</f>
        <v>0</v>
      </c>
      <c r="C3" s="43" t="b">
        <f>IF(LEN(ACTIVITIES[[#This Row],[ActivityCode]])&lt;100,FALSE,TRUE)</f>
        <v>0</v>
      </c>
      <c r="D3" s="43" t="b">
        <f>IF(LEN(ACTIVITIES[[#This Row],[Title]])&lt;100,FALSE,TRUE)</f>
        <v>0</v>
      </c>
      <c r="E3" s="43" t="b">
        <f>ISBLANK(ACTIVITIES[[#This Row],[ActivityEnabled]])</f>
        <v>0</v>
      </c>
      <c r="F3" s="43">
        <f>COUNTIF(ACTIVITIES[[#This Row],[Code is Blank]:[Enabled is blank]],"TRUE")</f>
        <v>0</v>
      </c>
      <c r="G3" t="s">
        <v>1078</v>
      </c>
      <c r="H3" t="s">
        <v>1082</v>
      </c>
      <c r="I3" t="b">
        <v>1</v>
      </c>
    </row>
    <row r="23" spans="12:14" x14ac:dyDescent="0.25">
      <c r="L23" s="99"/>
      <c r="M23" s="99"/>
      <c r="N23" s="99"/>
    </row>
  </sheetData>
  <mergeCells count="1">
    <mergeCell ref="G1:I1"/>
  </mergeCells>
  <phoneticPr fontId="2" type="noConversion"/>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6F2EA-DB75-4ABF-855B-905EAC0058B1}">
  <sheetPr codeName="Sheet10">
    <tabColor theme="5" tint="0.79998168889431442"/>
  </sheetPr>
  <dimension ref="A1:I4"/>
  <sheetViews>
    <sheetView workbookViewId="0">
      <pane ySplit="2" topLeftCell="A3" activePane="bottomLeft" state="frozen"/>
      <selection pane="bottomLeft" activeCell="A3" sqref="A3"/>
    </sheetView>
  </sheetViews>
  <sheetFormatPr defaultColWidth="9.28515625" defaultRowHeight="15" outlineLevelCol="1" x14ac:dyDescent="0.25"/>
  <cols>
    <col min="1" max="1" width="15" hidden="1" customWidth="1" outlineLevel="1"/>
    <col min="2" max="2" width="14.42578125" hidden="1" customWidth="1" outlineLevel="1"/>
    <col min="3" max="3" width="17.7109375" hidden="1" customWidth="1" outlineLevel="1"/>
    <col min="4" max="4" width="20" hidden="1" customWidth="1" outlineLevel="1"/>
    <col min="5" max="5" width="19" hidden="1" customWidth="1" outlineLevel="1"/>
    <col min="6" max="6" width="19.7109375" bestFit="1" customWidth="1" collapsed="1"/>
    <col min="7" max="7" width="13.85546875" bestFit="1" customWidth="1"/>
    <col min="8" max="8" width="18.42578125" bestFit="1" customWidth="1"/>
    <col min="9" max="9" width="16.5703125" bestFit="1" customWidth="1"/>
  </cols>
  <sheetData>
    <row r="1" spans="1:9" x14ac:dyDescent="0.25">
      <c r="G1" s="186" t="s">
        <v>1068</v>
      </c>
      <c r="H1" s="186"/>
      <c r="I1" s="186"/>
    </row>
    <row r="2" spans="1:9" x14ac:dyDescent="0.25">
      <c r="A2" s="90" t="s">
        <v>1069</v>
      </c>
      <c r="B2" s="90" t="s">
        <v>1070</v>
      </c>
      <c r="C2" s="90" t="s">
        <v>1071</v>
      </c>
      <c r="D2" s="44" t="s">
        <v>1072</v>
      </c>
      <c r="E2" s="44" t="s">
        <v>1073</v>
      </c>
      <c r="F2" s="46" t="s">
        <v>1074</v>
      </c>
      <c r="G2" t="s">
        <v>1083</v>
      </c>
      <c r="H2" t="s">
        <v>1076</v>
      </c>
      <c r="I2" t="s">
        <v>1084</v>
      </c>
    </row>
    <row r="3" spans="1:9" x14ac:dyDescent="0.25">
      <c r="A3" s="43" t="b">
        <f>ISBLANK(LEDGER[[#This Row],[LedgerCode]])</f>
        <v>0</v>
      </c>
      <c r="B3" s="43" t="b">
        <f>ISBLANK(LEDGER[[#This Row],[Title]])</f>
        <v>0</v>
      </c>
      <c r="C3" s="43" t="b">
        <f>ISBLANK(LEDGER[[#This Row],[LedgerEnabled]])</f>
        <v>0</v>
      </c>
      <c r="D3" s="43" t="b">
        <f>IF(LEN(LEDGER[[#This Row],[LedgerCode]])&lt;100,FALSE,TRUE)</f>
        <v>0</v>
      </c>
      <c r="E3" s="43" t="b">
        <f>IF(LEN(LEDGER[[#This Row],[Title]])&lt;100,FALSE,TRUE)</f>
        <v>0</v>
      </c>
      <c r="F3" s="43">
        <f>COUNTIF(LEDGER[[#This Row],[Code is Blank]:[Title length check]],"TRUE")</f>
        <v>0</v>
      </c>
      <c r="G3" t="s">
        <v>1078</v>
      </c>
      <c r="H3" t="s">
        <v>1085</v>
      </c>
      <c r="I3" t="b">
        <v>1</v>
      </c>
    </row>
    <row r="4" spans="1:9" x14ac:dyDescent="0.25">
      <c r="A4" s="81" t="b">
        <f>ISBLANK(LEDGER[[#This Row],[LedgerCode]])</f>
        <v>0</v>
      </c>
      <c r="B4" s="81" t="b">
        <f>ISBLANK(LEDGER[[#This Row],[Title]])</f>
        <v>0</v>
      </c>
      <c r="C4" s="81" t="b">
        <f>ISBLANK(LEDGER[[#This Row],[LedgerEnabled]])</f>
        <v>0</v>
      </c>
      <c r="D4" s="89" t="b">
        <f>IF(LEN(LEDGER[[#This Row],[LedgerCode]])&lt;100,FALSE,TRUE)</f>
        <v>0</v>
      </c>
      <c r="E4" s="89" t="b">
        <f>IF(LEN(LEDGER[[#This Row],[Title]])&lt;100,FALSE,TRUE)</f>
        <v>0</v>
      </c>
      <c r="F4" s="89">
        <f>COUNTIF(LEDGER[[#This Row],[Code is Blank]:[Title length check]],"TRUE")</f>
        <v>0</v>
      </c>
      <c r="G4" t="s">
        <v>1086</v>
      </c>
      <c r="H4" t="s">
        <v>1087</v>
      </c>
      <c r="I4" t="b">
        <v>1</v>
      </c>
    </row>
  </sheetData>
  <mergeCells count="1">
    <mergeCell ref="G1:I1"/>
  </mergeCells>
  <phoneticPr fontId="2" type="noConversion"/>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A5292-FA8E-48FB-963A-6CC08CD89A2C}">
  <sheetPr codeName="Sheet9">
    <tabColor theme="5" tint="0.79998168889431442"/>
  </sheetPr>
  <dimension ref="A1:I3"/>
  <sheetViews>
    <sheetView workbookViewId="0">
      <pane ySplit="2" topLeftCell="A3" activePane="bottomLeft" state="frozen"/>
      <selection pane="bottomLeft" activeCell="A3" sqref="A3"/>
    </sheetView>
  </sheetViews>
  <sheetFormatPr defaultColWidth="14.28515625" defaultRowHeight="15" outlineLevelCol="1" x14ac:dyDescent="0.25"/>
  <cols>
    <col min="1" max="1" width="15" hidden="1" customWidth="1" outlineLevel="1"/>
    <col min="2" max="2" width="14.42578125" hidden="1" customWidth="1" outlineLevel="1"/>
    <col min="3" max="3" width="20" hidden="1" customWidth="1" outlineLevel="1"/>
    <col min="4" max="4" width="19" hidden="1" customWidth="1" outlineLevel="1"/>
    <col min="5" max="5" width="17.7109375" hidden="1" customWidth="1" outlineLevel="1"/>
    <col min="6" max="6" width="19.7109375" bestFit="1" customWidth="1" collapsed="1"/>
    <col min="7" max="7" width="23.140625" bestFit="1" customWidth="1"/>
    <col min="8" max="8" width="32.85546875" bestFit="1" customWidth="1"/>
    <col min="9" max="9" width="25.85546875" bestFit="1" customWidth="1"/>
  </cols>
  <sheetData>
    <row r="1" spans="1:9" x14ac:dyDescent="0.25">
      <c r="G1" s="186" t="s">
        <v>1068</v>
      </c>
      <c r="H1" s="186"/>
      <c r="I1" s="186"/>
    </row>
    <row r="2" spans="1:9" x14ac:dyDescent="0.25">
      <c r="A2" s="46" t="s">
        <v>1069</v>
      </c>
      <c r="B2" s="46" t="s">
        <v>1070</v>
      </c>
      <c r="C2" s="46" t="s">
        <v>1072</v>
      </c>
      <c r="D2" s="46" t="s">
        <v>1073</v>
      </c>
      <c r="E2" s="46" t="s">
        <v>1071</v>
      </c>
      <c r="F2" s="46" t="s">
        <v>1074</v>
      </c>
      <c r="G2" t="s">
        <v>1088</v>
      </c>
      <c r="H2" t="s">
        <v>1076</v>
      </c>
      <c r="I2" t="s">
        <v>1089</v>
      </c>
    </row>
    <row r="3" spans="1:9" x14ac:dyDescent="0.25">
      <c r="A3" s="43" t="b">
        <f>ISBLANK(CUSTGROUP[[#This Row],[CustomGroupingCode]])</f>
        <v>0</v>
      </c>
      <c r="B3" s="43" t="b">
        <f>ISBLANK(CUSTGROUP[[#This Row],[Title]])</f>
        <v>0</v>
      </c>
      <c r="C3" s="43" t="b">
        <f>IF(LEN(CUSTGROUP[[#This Row],[CustomGroupingCode]])&lt;100,FALSE,TRUE)</f>
        <v>0</v>
      </c>
      <c r="D3" s="43" t="b">
        <f>IF(LEN(CUSTGROUP[[#This Row],[Title]])&lt;100,FALSE,TRUE)</f>
        <v>0</v>
      </c>
      <c r="E3" s="43" t="b">
        <f>ISBLANK(CUSTGROUP[[#This Row],[CustomGroupingEnabled]])</f>
        <v>0</v>
      </c>
      <c r="F3" s="43">
        <f>COUNTIF(CUSTGROUP[[#This Row],[Code is Blank]:[Enabled is blank]],"TRUE")</f>
        <v>0</v>
      </c>
      <c r="G3" t="s">
        <v>1035</v>
      </c>
      <c r="H3" t="s">
        <v>1090</v>
      </c>
      <c r="I3" t="b">
        <v>1</v>
      </c>
    </row>
  </sheetData>
  <mergeCells count="1">
    <mergeCell ref="G1:I1"/>
  </mergeCells>
  <phoneticPr fontId="2"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4E41B5-301E-4D0D-8402-058714BC0556}">
  <sheetPr codeName="Sheet7">
    <tabColor theme="5" tint="0.79998168889431442"/>
  </sheetPr>
  <dimension ref="A1:I4"/>
  <sheetViews>
    <sheetView workbookViewId="0">
      <pane ySplit="2" topLeftCell="A3" activePane="bottomLeft" state="frozen"/>
      <selection pane="bottomLeft" activeCell="A3" sqref="A3"/>
    </sheetView>
  </sheetViews>
  <sheetFormatPr defaultColWidth="9.28515625" defaultRowHeight="15" outlineLevelCol="1" x14ac:dyDescent="0.25"/>
  <cols>
    <col min="1" max="1" width="15" hidden="1" customWidth="1" outlineLevel="1"/>
    <col min="2" max="2" width="14.42578125" hidden="1" customWidth="1" outlineLevel="1"/>
    <col min="3" max="3" width="17.7109375" hidden="1" customWidth="1" outlineLevel="1"/>
    <col min="4" max="4" width="20" hidden="1" customWidth="1" outlineLevel="1"/>
    <col min="5" max="5" width="19" hidden="1" customWidth="1" outlineLevel="1"/>
    <col min="6" max="6" width="19.7109375" bestFit="1" customWidth="1" collapsed="1"/>
    <col min="7" max="7" width="17.42578125" bestFit="1" customWidth="1"/>
    <col min="8" max="8" width="15.85546875" bestFit="1" customWidth="1"/>
    <col min="9" max="9" width="20.140625" bestFit="1" customWidth="1"/>
  </cols>
  <sheetData>
    <row r="1" spans="1:9" x14ac:dyDescent="0.25">
      <c r="G1" s="186" t="s">
        <v>1068</v>
      </c>
      <c r="H1" s="186"/>
      <c r="I1" s="186"/>
    </row>
    <row r="2" spans="1:9" x14ac:dyDescent="0.25">
      <c r="A2" s="91" t="s">
        <v>1069</v>
      </c>
      <c r="B2" s="91" t="s">
        <v>1070</v>
      </c>
      <c r="C2" s="91" t="s">
        <v>1071</v>
      </c>
      <c r="D2" s="46" t="s">
        <v>1072</v>
      </c>
      <c r="E2" s="46" t="s">
        <v>1073</v>
      </c>
      <c r="F2" s="46" t="s">
        <v>1074</v>
      </c>
      <c r="G2" t="s">
        <v>1091</v>
      </c>
      <c r="H2" t="s">
        <v>1076</v>
      </c>
      <c r="I2" t="s">
        <v>1092</v>
      </c>
    </row>
    <row r="3" spans="1:9" x14ac:dyDescent="0.25">
      <c r="A3" s="43" t="b">
        <f>ISBLANK(SCHHUB[[#This Row],[SchoolHubCode]])</f>
        <v>0</v>
      </c>
      <c r="B3" s="43" t="b">
        <f>ISBLANK(SCHHUB[[#This Row],[Title]])</f>
        <v>0</v>
      </c>
      <c r="C3" s="43" t="b">
        <f>ISBLANK(SCHHUB[[#This Row],[SchoolHubEnabled]])</f>
        <v>0</v>
      </c>
      <c r="D3" s="43" t="b">
        <f>IF(LEN(SCHHUB[[#This Row],[SchoolHubCode]])&lt;100,FALSE,TRUE)</f>
        <v>0</v>
      </c>
      <c r="E3" s="43" t="b">
        <f>IF(LEN(SCHHUB[[#This Row],[Title]])&lt;100,FALSE,TRUE)</f>
        <v>0</v>
      </c>
      <c r="F3" s="43">
        <f>COUNTIF(SCHHUB[[#This Row],[Code is Blank]:[Title length check]],"TRUE")</f>
        <v>0</v>
      </c>
      <c r="G3" t="s">
        <v>1093</v>
      </c>
      <c r="H3" t="s">
        <v>1094</v>
      </c>
      <c r="I3" t="b">
        <v>1</v>
      </c>
    </row>
    <row r="4" spans="1:9" x14ac:dyDescent="0.25">
      <c r="A4" s="43" t="b">
        <f>ISBLANK(SCHHUB[[#This Row],[SchoolHubCode]])</f>
        <v>0</v>
      </c>
      <c r="B4" s="43" t="b">
        <f>ISBLANK(SCHHUB[[#This Row],[Title]])</f>
        <v>0</v>
      </c>
      <c r="C4" s="43" t="b">
        <f>ISBLANK(SCHHUB[[#This Row],[SchoolHubEnabled]])</f>
        <v>0</v>
      </c>
      <c r="D4" s="43" t="b">
        <f>IF(LEN(SCHHUB[[#This Row],[SchoolHubCode]])&lt;100,FALSE,TRUE)</f>
        <v>0</v>
      </c>
      <c r="E4" s="43" t="b">
        <f>IF(LEN(SCHHUB[[#This Row],[Title]])&lt;100,FALSE,TRUE)</f>
        <v>0</v>
      </c>
      <c r="F4" s="43">
        <f>COUNTIF(SCHHUB[[#This Row],[Code is Blank]:[Title length check]],"TRUE")</f>
        <v>0</v>
      </c>
      <c r="G4" t="s">
        <v>1078</v>
      </c>
      <c r="H4" t="s">
        <v>1095</v>
      </c>
      <c r="I4" t="b">
        <v>1</v>
      </c>
    </row>
  </sheetData>
  <mergeCells count="1">
    <mergeCell ref="G1:I1"/>
  </mergeCells>
  <phoneticPr fontId="2" type="noConversion"/>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EACDA-62B9-4FED-A805-D9F41980504F}">
  <sheetPr codeName="Sheet6">
    <tabColor theme="5" tint="0.79998168889431442"/>
  </sheetPr>
  <dimension ref="A1:I10"/>
  <sheetViews>
    <sheetView zoomScaleNormal="100" workbookViewId="0">
      <pane ySplit="1" topLeftCell="A2" activePane="bottomLeft" state="frozen"/>
      <selection activeCell="F1" sqref="F1"/>
      <selection pane="bottomLeft" activeCell="I16" sqref="I16"/>
    </sheetView>
  </sheetViews>
  <sheetFormatPr defaultColWidth="9.28515625" defaultRowHeight="15" outlineLevelCol="1" x14ac:dyDescent="0.25"/>
  <cols>
    <col min="1" max="1" width="15" hidden="1" customWidth="1" outlineLevel="1"/>
    <col min="2" max="2" width="14.42578125" hidden="1" customWidth="1" outlineLevel="1"/>
    <col min="3" max="3" width="17.7109375" hidden="1" customWidth="1" outlineLevel="1"/>
    <col min="4" max="4" width="20" hidden="1" customWidth="1" outlineLevel="1"/>
    <col min="5" max="5" width="19" hidden="1" customWidth="1" outlineLevel="1"/>
    <col min="6" max="6" width="19.7109375" bestFit="1" customWidth="1" collapsed="1"/>
    <col min="7" max="7" width="18.140625" bestFit="1" customWidth="1"/>
    <col min="8" max="8" width="17.7109375" bestFit="1" customWidth="1"/>
    <col min="9" max="9" width="20.85546875" bestFit="1" customWidth="1"/>
  </cols>
  <sheetData>
    <row r="1" spans="1:9" x14ac:dyDescent="0.25">
      <c r="G1" s="186" t="s">
        <v>1068</v>
      </c>
      <c r="H1" s="186"/>
      <c r="I1" s="186"/>
    </row>
    <row r="2" spans="1:9" x14ac:dyDescent="0.25">
      <c r="A2" s="92" t="s">
        <v>1069</v>
      </c>
      <c r="B2" s="90" t="s">
        <v>1070</v>
      </c>
      <c r="C2" s="90" t="s">
        <v>1071</v>
      </c>
      <c r="D2" s="44" t="s">
        <v>1072</v>
      </c>
      <c r="E2" s="44" t="s">
        <v>1073</v>
      </c>
      <c r="F2" s="46" t="s">
        <v>1074</v>
      </c>
      <c r="G2" t="s">
        <v>1096</v>
      </c>
      <c r="H2" t="s">
        <v>1076</v>
      </c>
      <c r="I2" t="s">
        <v>1097</v>
      </c>
    </row>
    <row r="3" spans="1:9" x14ac:dyDescent="0.25">
      <c r="A3" s="81" t="b">
        <f>ISBLANK(SCHTYPE[[#This Row],[SchoolTypeCode]])</f>
        <v>0</v>
      </c>
      <c r="B3" s="81" t="b">
        <f>ISBLANK(SCHTYPE[[#This Row],[Title]])</f>
        <v>0</v>
      </c>
      <c r="C3" s="81" t="b">
        <f>ISBLANK(SCHTYPE[[#This Row],[SchoolTypeEnabled]])</f>
        <v>0</v>
      </c>
      <c r="D3" s="89" t="b">
        <f>IF(LEN(SCHTYPE[[#This Row],[SchoolTypeCode]])&lt;100,FALSE,TRUE)</f>
        <v>0</v>
      </c>
      <c r="E3" s="89" t="b">
        <f>IF(LEN(SCHTYPE[[#This Row],[Title]])&lt;100,FALSE,TRUE)</f>
        <v>0</v>
      </c>
      <c r="F3" s="89">
        <f>COUNTIF(SCHTYPE[[#This Row],[Code is Blank]:[Title length check]],"TRUE")</f>
        <v>0</v>
      </c>
      <c r="G3" t="s">
        <v>1098</v>
      </c>
      <c r="H3" t="s">
        <v>1099</v>
      </c>
      <c r="I3" t="b">
        <v>1</v>
      </c>
    </row>
    <row r="4" spans="1:9" x14ac:dyDescent="0.25">
      <c r="A4" s="81" t="b">
        <f>ISBLANK(SCHTYPE[[#This Row],[SchoolTypeCode]])</f>
        <v>0</v>
      </c>
      <c r="B4" s="81" t="b">
        <f>ISBLANK(SCHTYPE[[#This Row],[Title]])</f>
        <v>0</v>
      </c>
      <c r="C4" s="81" t="b">
        <f>ISBLANK(SCHTYPE[[#This Row],[SchoolTypeEnabled]])</f>
        <v>0</v>
      </c>
      <c r="D4" s="89" t="b">
        <f>IF(LEN(SCHTYPE[[#This Row],[SchoolTypeCode]])&lt;100,FALSE,TRUE)</f>
        <v>0</v>
      </c>
      <c r="E4" s="89" t="b">
        <f>IF(LEN(SCHTYPE[[#This Row],[Title]])&lt;100,FALSE,TRUE)</f>
        <v>0</v>
      </c>
      <c r="F4" s="89">
        <f>COUNTIF(SCHTYPE[[#This Row],[Code is Blank]:[Title length check]],"TRUE")</f>
        <v>0</v>
      </c>
      <c r="G4" t="s">
        <v>1100</v>
      </c>
      <c r="H4" t="s">
        <v>1101</v>
      </c>
      <c r="I4" t="b">
        <v>1</v>
      </c>
    </row>
    <row r="5" spans="1:9" x14ac:dyDescent="0.25">
      <c r="A5" s="81" t="b">
        <f>ISBLANK(SCHTYPE[[#This Row],[SchoolTypeCode]])</f>
        <v>0</v>
      </c>
      <c r="B5" s="81" t="b">
        <f>ISBLANK(SCHTYPE[[#This Row],[Title]])</f>
        <v>0</v>
      </c>
      <c r="C5" s="81" t="b">
        <f>ISBLANK(SCHTYPE[[#This Row],[SchoolTypeEnabled]])</f>
        <v>0</v>
      </c>
      <c r="D5" s="89" t="b">
        <f>IF(LEN(SCHTYPE[[#This Row],[SchoolTypeCode]])&lt;100,FALSE,TRUE)</f>
        <v>0</v>
      </c>
      <c r="E5" s="89" t="b">
        <f>IF(LEN(SCHTYPE[[#This Row],[Title]])&lt;100,FALSE,TRUE)</f>
        <v>0</v>
      </c>
      <c r="F5" s="89">
        <f>COUNTIF(SCHTYPE[[#This Row],[Code is Blank]:[Title length check]],"TRUE")</f>
        <v>0</v>
      </c>
      <c r="G5" t="s">
        <v>1102</v>
      </c>
      <c r="H5" t="s">
        <v>1103</v>
      </c>
      <c r="I5" t="b">
        <v>1</v>
      </c>
    </row>
    <row r="6" spans="1:9" x14ac:dyDescent="0.25">
      <c r="A6" s="81" t="b">
        <f>ISBLANK(SCHTYPE[[#This Row],[SchoolTypeCode]])</f>
        <v>0</v>
      </c>
      <c r="B6" s="81" t="b">
        <f>ISBLANK(SCHTYPE[[#This Row],[Title]])</f>
        <v>0</v>
      </c>
      <c r="C6" s="81" t="b">
        <f>ISBLANK(SCHTYPE[[#This Row],[SchoolTypeEnabled]])</f>
        <v>0</v>
      </c>
      <c r="D6" s="89" t="b">
        <f>IF(LEN(SCHTYPE[[#This Row],[SchoolTypeCode]])&lt;100,FALSE,TRUE)</f>
        <v>0</v>
      </c>
      <c r="E6" s="89" t="b">
        <f>IF(LEN(SCHTYPE[[#This Row],[Title]])&lt;100,FALSE,TRUE)</f>
        <v>0</v>
      </c>
      <c r="F6" s="89">
        <f>COUNTIF(SCHTYPE[[#This Row],[Code is Blank]:[Title length check]],"TRUE")</f>
        <v>0</v>
      </c>
      <c r="G6" t="s">
        <v>1104</v>
      </c>
      <c r="H6" t="s">
        <v>1105</v>
      </c>
      <c r="I6" t="b">
        <v>1</v>
      </c>
    </row>
    <row r="7" spans="1:9" x14ac:dyDescent="0.25">
      <c r="A7" s="81" t="b">
        <f>ISBLANK(SCHTYPE[[#This Row],[SchoolTypeCode]])</f>
        <v>0</v>
      </c>
      <c r="B7" s="81" t="b">
        <f>ISBLANK(SCHTYPE[[#This Row],[Title]])</f>
        <v>0</v>
      </c>
      <c r="C7" s="81" t="b">
        <f>ISBLANK(SCHTYPE[[#This Row],[SchoolTypeEnabled]])</f>
        <v>0</v>
      </c>
      <c r="D7" s="89" t="b">
        <f>IF(LEN(SCHTYPE[[#This Row],[SchoolTypeCode]])&lt;100,FALSE,TRUE)</f>
        <v>0</v>
      </c>
      <c r="E7" s="89" t="b">
        <f>IF(LEN(SCHTYPE[[#This Row],[Title]])&lt;100,FALSE,TRUE)</f>
        <v>0</v>
      </c>
      <c r="F7" s="89">
        <f>COUNTIF(SCHTYPE[[#This Row],[Code is Blank]:[Title length check]],"TRUE")</f>
        <v>0</v>
      </c>
      <c r="G7" t="s">
        <v>1106</v>
      </c>
      <c r="H7" t="s">
        <v>1107</v>
      </c>
      <c r="I7" t="b">
        <v>1</v>
      </c>
    </row>
    <row r="8" spans="1:9" x14ac:dyDescent="0.25">
      <c r="A8" s="43" t="b">
        <f>ISBLANK(SCHTYPE[[#This Row],[SchoolTypeCode]])</f>
        <v>0</v>
      </c>
      <c r="B8" s="43" t="b">
        <f>ISBLANK(SCHTYPE[[#This Row],[Title]])</f>
        <v>0</v>
      </c>
      <c r="C8" s="43" t="b">
        <f>ISBLANK(SCHTYPE[[#This Row],[SchoolTypeEnabled]])</f>
        <v>0</v>
      </c>
      <c r="D8" s="43" t="b">
        <f>IF(LEN(SCHTYPE[[#This Row],[SchoolTypeCode]])&lt;100,FALSE,TRUE)</f>
        <v>0</v>
      </c>
      <c r="E8" s="43" t="b">
        <f>IF(LEN(SCHTYPE[[#This Row],[Title]])&lt;100,FALSE,TRUE)</f>
        <v>0</v>
      </c>
      <c r="F8" s="43">
        <f>COUNTIF(SCHTYPE[[#This Row],[Code is Blank]:[Title length check]],"TRUE")</f>
        <v>0</v>
      </c>
      <c r="G8" t="s">
        <v>1108</v>
      </c>
      <c r="H8" t="s">
        <v>1109</v>
      </c>
      <c r="I8" t="b">
        <v>1</v>
      </c>
    </row>
    <row r="9" spans="1:9" x14ac:dyDescent="0.25">
      <c r="A9" s="81" t="b">
        <f>ISBLANK(SCHTYPE[[#This Row],[SchoolTypeCode]])</f>
        <v>0</v>
      </c>
      <c r="B9" s="81" t="b">
        <f>ISBLANK(SCHTYPE[[#This Row],[Title]])</f>
        <v>0</v>
      </c>
      <c r="C9" s="81" t="b">
        <f>ISBLANK(SCHTYPE[[#This Row],[SchoolTypeEnabled]])</f>
        <v>0</v>
      </c>
      <c r="D9" s="89" t="b">
        <f>IF(LEN(SCHTYPE[[#This Row],[SchoolTypeCode]])&lt;100,FALSE,TRUE)</f>
        <v>0</v>
      </c>
      <c r="E9" s="89" t="b">
        <f>IF(LEN(SCHTYPE[[#This Row],[Title]])&lt;100,FALSE,TRUE)</f>
        <v>0</v>
      </c>
      <c r="F9" s="89">
        <f>COUNTIF(SCHTYPE[[#This Row],[Code is Blank]:[Title length check]],"TRUE")</f>
        <v>0</v>
      </c>
      <c r="G9" t="s">
        <v>1110</v>
      </c>
      <c r="H9" t="s">
        <v>1111</v>
      </c>
      <c r="I9" t="b">
        <v>1</v>
      </c>
    </row>
    <row r="10" spans="1:9" x14ac:dyDescent="0.25">
      <c r="A10" s="43" t="b">
        <f>ISBLANK(SCHTYPE[[#This Row],[SchoolTypeCode]])</f>
        <v>0</v>
      </c>
      <c r="B10" s="43" t="b">
        <f>ISBLANK(SCHTYPE[[#This Row],[Title]])</f>
        <v>0</v>
      </c>
      <c r="C10" s="43" t="b">
        <f>ISBLANK(SCHTYPE[[#This Row],[SchoolTypeEnabled]])</f>
        <v>0</v>
      </c>
      <c r="D10" s="43" t="b">
        <f>IF(LEN(SCHTYPE[[#This Row],[SchoolTypeCode]])&lt;100,FALSE,TRUE)</f>
        <v>0</v>
      </c>
      <c r="E10" s="43" t="b">
        <f>IF(LEN(SCHTYPE[[#This Row],[Title]])&lt;100,FALSE,TRUE)</f>
        <v>0</v>
      </c>
      <c r="F10" s="43">
        <f>COUNTIF(SCHTYPE[[#This Row],[Code is Blank]:[Title length check]],"TRUE")</f>
        <v>0</v>
      </c>
      <c r="G10" t="s">
        <v>1112</v>
      </c>
      <c r="H10" t="s">
        <v>1112</v>
      </c>
      <c r="I10" t="b">
        <v>1</v>
      </c>
    </row>
  </sheetData>
  <mergeCells count="1">
    <mergeCell ref="G1:I1"/>
  </mergeCells>
  <phoneticPr fontId="2" type="noConversion"/>
  <pageMargins left="0.7" right="0.7" top="0.75" bottom="0.75" header="0.3" footer="0.3"/>
  <pageSetup paperSize="9" orientation="portrait"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A22EB2-B90A-4EBA-BE84-13F2D49FE83A}">
  <sheetPr codeName="Sheet51">
    <tabColor theme="5" tint="0.79998168889431442"/>
  </sheetPr>
  <dimension ref="A1:J5"/>
  <sheetViews>
    <sheetView workbookViewId="0">
      <pane ySplit="2" topLeftCell="A3" activePane="bottomLeft" state="frozen"/>
      <selection pane="bottomLeft" activeCell="J21" sqref="J21"/>
    </sheetView>
  </sheetViews>
  <sheetFormatPr defaultColWidth="9.28515625" defaultRowHeight="15" outlineLevelCol="1" x14ac:dyDescent="0.25"/>
  <cols>
    <col min="1" max="1" width="15" hidden="1" customWidth="1" outlineLevel="1"/>
    <col min="2" max="2" width="14.28515625" hidden="1" customWidth="1" outlineLevel="1"/>
    <col min="3" max="3" width="17.7109375" hidden="1" customWidth="1" outlineLevel="1"/>
    <col min="4" max="4" width="20" hidden="1" customWidth="1" outlineLevel="1"/>
    <col min="5" max="5" width="19" hidden="1" customWidth="1" outlineLevel="1"/>
    <col min="6" max="6" width="19.7109375" bestFit="1" customWidth="1" collapsed="1"/>
    <col min="7" max="7" width="28.7109375" hidden="1" customWidth="1"/>
    <col min="8" max="8" width="27" bestFit="1" customWidth="1"/>
    <col min="9" max="9" width="26" bestFit="1" customWidth="1"/>
    <col min="10" max="10" width="29.7109375" bestFit="1" customWidth="1"/>
  </cols>
  <sheetData>
    <row r="1" spans="1:10" x14ac:dyDescent="0.25">
      <c r="G1" s="104" t="s">
        <v>1113</v>
      </c>
      <c r="H1" s="187" t="s">
        <v>1068</v>
      </c>
      <c r="I1" s="187"/>
      <c r="J1" s="187"/>
    </row>
    <row r="2" spans="1:10" x14ac:dyDescent="0.25">
      <c r="A2" s="92" t="s">
        <v>1069</v>
      </c>
      <c r="B2" s="90" t="s">
        <v>1070</v>
      </c>
      <c r="C2" s="90" t="s">
        <v>1071</v>
      </c>
      <c r="D2" s="98" t="s">
        <v>1072</v>
      </c>
      <c r="E2" s="98" t="s">
        <v>1073</v>
      </c>
      <c r="F2" s="46" t="s">
        <v>1074</v>
      </c>
      <c r="G2" s="46" t="s">
        <v>1112</v>
      </c>
      <c r="H2" t="s">
        <v>1114</v>
      </c>
      <c r="I2" t="s">
        <v>1076</v>
      </c>
      <c r="J2" t="s">
        <v>1115</v>
      </c>
    </row>
    <row r="3" spans="1:10" x14ac:dyDescent="0.25">
      <c r="A3" s="81" t="b">
        <f>ISBLANK(LocalAuth[[#This Row],[SchoolLocalAuthorityCode]])</f>
        <v>0</v>
      </c>
      <c r="B3" s="81" t="b">
        <f>ISBLANK(LocalAuth[[#This Row],[Title]])</f>
        <v>0</v>
      </c>
      <c r="C3" s="81" t="b">
        <f>ISBLANK(LocalAuth[[#This Row],[SchoolLocalAuthorityEnabled]])</f>
        <v>0</v>
      </c>
      <c r="D3" s="89" t="b">
        <f>IF(LEN(LocalAuth[[#This Row],[SchoolLocalAuthorityCode]])&lt;100,FALSE,TRUE)</f>
        <v>0</v>
      </c>
      <c r="E3" s="89" t="b">
        <f>IF(LEN(LocalAuth[[#This Row],[Title]])&lt;100,FALSE,TRUE)</f>
        <v>0</v>
      </c>
      <c r="F3" s="89">
        <f>COUNTIF(LocalAuth[[#This Row],[Code is Blank]:[Title length check]],"TRUE")</f>
        <v>0</v>
      </c>
      <c r="G3" s="89" t="s">
        <v>1116</v>
      </c>
      <c r="H3" t="s">
        <v>1078</v>
      </c>
      <c r="I3" t="s">
        <v>1082</v>
      </c>
      <c r="J3" t="b">
        <v>1</v>
      </c>
    </row>
    <row r="4" spans="1:10" x14ac:dyDescent="0.25">
      <c r="A4" s="81" t="b">
        <f>ISBLANK(LocalAuth[[#This Row],[SchoolLocalAuthorityCode]])</f>
        <v>0</v>
      </c>
      <c r="B4" s="81" t="b">
        <f>ISBLANK(LocalAuth[[#This Row],[Title]])</f>
        <v>0</v>
      </c>
      <c r="C4" s="81" t="b">
        <f>ISBLANK(LocalAuth[[#This Row],[SchoolLocalAuthorityEnabled]])</f>
        <v>0</v>
      </c>
      <c r="D4" s="89" t="b">
        <f>IF(LEN(LocalAuth[[#This Row],[SchoolLocalAuthorityCode]])&lt;100,FALSE,TRUE)</f>
        <v>0</v>
      </c>
      <c r="E4" s="89" t="b">
        <f>IF(LEN(LocalAuth[[#This Row],[Title]])&lt;100,FALSE,TRUE)</f>
        <v>0</v>
      </c>
      <c r="F4" s="89">
        <f>COUNTIF(LocalAuth[[#This Row],[Code is Blank]:[Title length check]],"TRUE")</f>
        <v>0</v>
      </c>
      <c r="G4" s="89" t="s">
        <v>1117</v>
      </c>
      <c r="H4" t="s">
        <v>1118</v>
      </c>
      <c r="I4" t="s">
        <v>1119</v>
      </c>
      <c r="J4" t="b">
        <v>1</v>
      </c>
    </row>
    <row r="5" spans="1:10" x14ac:dyDescent="0.25">
      <c r="A5" s="43" t="b">
        <f>ISBLANK(LocalAuth[[#This Row],[SchoolLocalAuthorityCode]])</f>
        <v>0</v>
      </c>
      <c r="B5" s="43" t="b">
        <f>ISBLANK(LocalAuth[[#This Row],[Title]])</f>
        <v>0</v>
      </c>
      <c r="C5" s="43" t="b">
        <f>ISBLANK(LocalAuth[[#This Row],[SchoolLocalAuthorityEnabled]])</f>
        <v>0</v>
      </c>
      <c r="D5" s="43" t="b">
        <f>IF(LEN(LocalAuth[[#This Row],[SchoolLocalAuthorityCode]])&lt;100,FALSE,TRUE)</f>
        <v>0</v>
      </c>
      <c r="E5" s="43" t="b">
        <f>IF(LEN(LocalAuth[[#This Row],[Title]])&lt;100,FALSE,TRUE)</f>
        <v>0</v>
      </c>
      <c r="F5" s="43">
        <f>COUNTIF(LocalAuth[[#This Row],[Code is Blank]:[Title length check]],"TRUE")</f>
        <v>0</v>
      </c>
      <c r="G5" s="43" t="s">
        <v>1120</v>
      </c>
      <c r="H5" t="s">
        <v>1121</v>
      </c>
      <c r="I5" t="s">
        <v>1122</v>
      </c>
      <c r="J5" t="b">
        <v>1</v>
      </c>
    </row>
  </sheetData>
  <mergeCells count="1">
    <mergeCell ref="H1:J1"/>
  </mergeCells>
  <phoneticPr fontId="2" type="noConversion"/>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E67E6-6719-41E6-95A4-807F6707A11B}">
  <sheetPr codeName="Sheet8">
    <tabColor theme="5" tint="0.79998168889431442"/>
  </sheetPr>
  <dimension ref="A1:R7"/>
  <sheetViews>
    <sheetView workbookViewId="0">
      <pane ySplit="2" topLeftCell="A3" activePane="bottomLeft" state="frozen"/>
      <selection pane="bottomLeft" activeCell="J6" sqref="J6"/>
    </sheetView>
  </sheetViews>
  <sheetFormatPr defaultColWidth="9.28515625" defaultRowHeight="15" outlineLevelCol="1" x14ac:dyDescent="0.25"/>
  <cols>
    <col min="1" max="1" width="12.28515625" hidden="1" customWidth="1" outlineLevel="1"/>
    <col min="2" max="2" width="15.140625" hidden="1" customWidth="1" outlineLevel="1"/>
    <col min="3" max="3" width="12.5703125" hidden="1" customWidth="1" outlineLevel="1"/>
    <col min="4" max="4" width="20" hidden="1" customWidth="1" outlineLevel="1"/>
    <col min="5" max="5" width="19" hidden="1" customWidth="1" outlineLevel="1"/>
    <col min="6" max="6" width="16.7109375" bestFit="1" customWidth="1" collapsed="1"/>
    <col min="7" max="7" width="24.7109375" style="5" bestFit="1" customWidth="1"/>
    <col min="8" max="8" width="5.42578125" style="5" hidden="1" customWidth="1"/>
    <col min="9" max="9" width="13.85546875" style="5" hidden="1" customWidth="1"/>
    <col min="10" max="10" width="22.28515625" bestFit="1" customWidth="1"/>
    <col min="11" max="11" width="13.7109375" bestFit="1" customWidth="1"/>
    <col min="12" max="12" width="12.7109375" bestFit="1" customWidth="1"/>
    <col min="13" max="13" width="13.42578125" bestFit="1" customWidth="1"/>
    <col min="14" max="14" width="36.28515625" bestFit="1" customWidth="1"/>
    <col min="15" max="15" width="19.28515625" bestFit="1" customWidth="1"/>
    <col min="16" max="16" width="26.7109375" bestFit="1" customWidth="1"/>
    <col min="17" max="18" width="16.42578125" bestFit="1" customWidth="1"/>
  </cols>
  <sheetData>
    <row r="1" spans="1:18" ht="30" x14ac:dyDescent="0.25">
      <c r="G1" s="106" t="s">
        <v>1113</v>
      </c>
      <c r="H1" s="106"/>
      <c r="I1" s="106"/>
      <c r="J1" s="187" t="s">
        <v>1068</v>
      </c>
      <c r="K1" s="187"/>
      <c r="L1" s="187"/>
      <c r="M1" s="187"/>
      <c r="N1" s="187"/>
      <c r="O1" s="187"/>
      <c r="P1" s="187"/>
      <c r="Q1" s="187"/>
      <c r="R1" s="187"/>
    </row>
    <row r="2" spans="1:18" x14ac:dyDescent="0.25">
      <c r="A2" s="93" t="s">
        <v>1123</v>
      </c>
      <c r="B2" s="93" t="s">
        <v>1124</v>
      </c>
      <c r="C2" s="93" t="s">
        <v>1125</v>
      </c>
      <c r="D2" s="93" t="s">
        <v>1072</v>
      </c>
      <c r="E2" s="93" t="s">
        <v>1073</v>
      </c>
      <c r="F2" s="46" t="s">
        <v>1126</v>
      </c>
      <c r="G2" s="100" t="s">
        <v>1127</v>
      </c>
      <c r="H2" s="100" t="s">
        <v>1112</v>
      </c>
      <c r="I2" s="101" t="s">
        <v>1128</v>
      </c>
      <c r="J2" t="s">
        <v>1129</v>
      </c>
      <c r="K2" t="s">
        <v>1130</v>
      </c>
      <c r="L2" t="s">
        <v>1131</v>
      </c>
      <c r="M2" t="s">
        <v>1132</v>
      </c>
      <c r="N2" t="s">
        <v>1076</v>
      </c>
      <c r="O2" t="s">
        <v>1133</v>
      </c>
      <c r="P2" t="s">
        <v>1134</v>
      </c>
      <c r="Q2" t="s">
        <v>1135</v>
      </c>
      <c r="R2" t="s">
        <v>1136</v>
      </c>
    </row>
    <row r="3" spans="1:18" s="10" customFormat="1" x14ac:dyDescent="0.25">
      <c r="A3" s="43">
        <f>IF(COUNTIF(SCHHUB[SchoolHubCode],SCHOOLS[[#This Row],[SchoolHub]])&gt;0,0,1)</f>
        <v>0</v>
      </c>
      <c r="B3" s="43">
        <f>IF(COUNTIF(SCHTYPE[SchoolTypeCode],SCHOOLS[[#This Row],[SchoolType]])&gt;0,0,1)</f>
        <v>0</v>
      </c>
      <c r="C3" s="43">
        <f>COUNTBLANK(SCHOOLS[[#This Row],[SchoolLocalAuthority]:[SchoolEnabled]])</f>
        <v>0</v>
      </c>
      <c r="D3" s="43">
        <f>IF(LEN(SCHOOLS[[#This Row],[SchoolCode]])&lt;100,0,1)</f>
        <v>0</v>
      </c>
      <c r="E3" s="43">
        <f>IF(LEN(SCHOOLS[[#This Row],[Title]])&lt;100,0,1)</f>
        <v>0</v>
      </c>
      <c r="F3" s="43">
        <f>SUM(SCHOOLS[[#This Row],[HubIssues]:[Title length check]])</f>
        <v>0</v>
      </c>
      <c r="G3" s="43" t="s">
        <v>1137</v>
      </c>
      <c r="H3" s="43" t="str">
        <f>_xlfn.XLOOKUP(SCHOOLS[[#This Row],[SchoolLocalAuthority]],LocalAuth[SchoolLocalAuthorityCode],LocalAuth[LA])</f>
        <v>LA2</v>
      </c>
      <c r="I3" s="43" t="s">
        <v>1138</v>
      </c>
      <c r="J3" s="10" t="s">
        <v>1121</v>
      </c>
      <c r="K3" s="10" t="s">
        <v>1139</v>
      </c>
      <c r="L3" s="10" t="s">
        <v>1093</v>
      </c>
      <c r="M3" s="10" t="s">
        <v>1104</v>
      </c>
      <c r="N3" s="10" t="s">
        <v>1140</v>
      </c>
      <c r="O3" s="10" t="b">
        <v>0</v>
      </c>
      <c r="P3" s="10">
        <v>0</v>
      </c>
      <c r="Q3" s="10">
        <v>32.5</v>
      </c>
      <c r="R3" s="10" t="b">
        <v>1</v>
      </c>
    </row>
    <row r="4" spans="1:18" s="10" customFormat="1" x14ac:dyDescent="0.25">
      <c r="A4" s="89">
        <f>IF(COUNTIF(SCHHUB[SchoolHubCode],SCHOOLS[[#This Row],[SchoolHub]])&gt;0,0,1)</f>
        <v>0</v>
      </c>
      <c r="B4" s="89">
        <f>IF(COUNTIF(SCHTYPE[SchoolTypeCode],SCHOOLS[[#This Row],[SchoolType]])&gt;0,0,1)</f>
        <v>0</v>
      </c>
      <c r="C4" s="89">
        <f>COUNTBLANK(SCHOOLS[[#This Row],[SchoolLocalAuthority]:[SchoolEnabled]])</f>
        <v>0</v>
      </c>
      <c r="D4" s="89">
        <f>IF(LEN(SCHOOLS[[#This Row],[SchoolCode]])&lt;100,0,1)</f>
        <v>0</v>
      </c>
      <c r="E4" s="89">
        <f>IF(LEN(SCHOOLS[[#This Row],[Title]])&lt;100,0,1)</f>
        <v>0</v>
      </c>
      <c r="F4" s="89">
        <f>SUM(SCHOOLS[[#This Row],[HubIssues]:[Title length check]])</f>
        <v>0</v>
      </c>
      <c r="G4" s="89" t="s">
        <v>1137</v>
      </c>
      <c r="H4" s="89" t="str">
        <f>_xlfn.XLOOKUP(SCHOOLS[[#This Row],[SchoolLocalAuthority]],LocalAuth[SchoolLocalAuthorityCode],LocalAuth[LA])</f>
        <v>LA1</v>
      </c>
      <c r="I4" s="89" t="s">
        <v>1103</v>
      </c>
      <c r="J4" s="10" t="s">
        <v>1118</v>
      </c>
      <c r="K4" s="10" t="s">
        <v>1093</v>
      </c>
      <c r="L4" s="10" t="s">
        <v>1093</v>
      </c>
      <c r="M4" s="10" t="s">
        <v>1098</v>
      </c>
      <c r="N4" s="10" t="s">
        <v>1141</v>
      </c>
      <c r="O4" s="10" t="b">
        <v>0</v>
      </c>
      <c r="P4" s="10">
        <v>0</v>
      </c>
      <c r="Q4" s="10">
        <v>32.5</v>
      </c>
      <c r="R4" s="10" t="b">
        <v>1</v>
      </c>
    </row>
    <row r="5" spans="1:18" x14ac:dyDescent="0.25">
      <c r="A5" s="89">
        <f>IF(COUNTIF(SCHHUB[SchoolHubCode],SCHOOLS[[#This Row],[SchoolHub]])&gt;0,0,1)</f>
        <v>0</v>
      </c>
      <c r="B5" s="89">
        <f>IF(COUNTIF(SCHTYPE[SchoolTypeCode],SCHOOLS[[#This Row],[SchoolType]])&gt;0,0,1)</f>
        <v>0</v>
      </c>
      <c r="C5" s="89">
        <f>COUNTBLANK(SCHOOLS[[#This Row],[SchoolLocalAuthority]:[SchoolEnabled]])</f>
        <v>0</v>
      </c>
      <c r="D5" s="89">
        <f>IF(LEN(SCHOOLS[[#This Row],[SchoolCode]])&lt;100,0,1)</f>
        <v>0</v>
      </c>
      <c r="E5" s="89">
        <f>IF(LEN(SCHOOLS[[#This Row],[Title]])&lt;100,0,1)</f>
        <v>0</v>
      </c>
      <c r="F5" s="89">
        <f>SUM(SCHOOLS[[#This Row],[HubIssues]:[Title length check]])</f>
        <v>0</v>
      </c>
      <c r="G5" s="89" t="s">
        <v>1137</v>
      </c>
      <c r="H5" s="89" t="str">
        <f>_xlfn.XLOOKUP(SCHOOLS[[#This Row],[SchoolLocalAuthority]],LocalAuth[SchoolLocalAuthorityCode],LocalAuth[LA])</f>
        <v>LA1</v>
      </c>
      <c r="I5" s="102" t="s">
        <v>1101</v>
      </c>
      <c r="J5" s="10" t="s">
        <v>1118</v>
      </c>
      <c r="K5" s="10" t="s">
        <v>1142</v>
      </c>
      <c r="L5" s="10" t="s">
        <v>1093</v>
      </c>
      <c r="M5" s="10" t="s">
        <v>1100</v>
      </c>
      <c r="N5" s="10" t="s">
        <v>1101</v>
      </c>
      <c r="O5" s="10" t="b">
        <v>0</v>
      </c>
      <c r="P5" s="10">
        <v>0</v>
      </c>
      <c r="Q5" s="10">
        <v>32.5</v>
      </c>
      <c r="R5" s="10" t="b">
        <v>1</v>
      </c>
    </row>
    <row r="6" spans="1:18" x14ac:dyDescent="0.25">
      <c r="A6" s="43">
        <f>IF(COUNTIF(SCHHUB[SchoolHubCode],SCHOOLS[[#This Row],[SchoolHub]])&gt;0,0,1)</f>
        <v>0</v>
      </c>
      <c r="B6" s="43">
        <f>IF(COUNTIF(SCHTYPE[SchoolTypeCode],SCHOOLS[[#This Row],[SchoolType]])&gt;0,0,1)</f>
        <v>0</v>
      </c>
      <c r="C6" s="43">
        <f>COUNTBLANK(SCHOOLS[[#This Row],[SchoolLocalAuthority]:[SchoolEnabled]])</f>
        <v>0</v>
      </c>
      <c r="D6" s="43">
        <f>IF(LEN(SCHOOLS[[#This Row],[SchoolCode]])&lt;100,0,1)</f>
        <v>0</v>
      </c>
      <c r="E6" s="43">
        <f>IF(LEN(SCHOOLS[[#This Row],[Title]])&lt;100,0,1)</f>
        <v>0</v>
      </c>
      <c r="F6" s="43">
        <f>SUM(SCHOOLS[[#This Row],[HubIssues]:[Title length check]])</f>
        <v>0</v>
      </c>
      <c r="G6" s="89" t="s">
        <v>1137</v>
      </c>
      <c r="H6" s="43" t="str">
        <f>_xlfn.XLOOKUP(SCHOOLS[[#This Row],[SchoolLocalAuthority]],LocalAuth[SchoolLocalAuthorityCode],LocalAuth[LA])</f>
        <v>LA1</v>
      </c>
      <c r="I6" s="105" t="s">
        <v>1143</v>
      </c>
      <c r="J6" s="10" t="s">
        <v>1118</v>
      </c>
      <c r="K6" s="10" t="s">
        <v>1144</v>
      </c>
      <c r="L6" s="10" t="s">
        <v>1093</v>
      </c>
      <c r="M6" s="10" t="s">
        <v>1102</v>
      </c>
      <c r="N6" s="10" t="s">
        <v>1103</v>
      </c>
      <c r="O6" s="10" t="b">
        <v>0</v>
      </c>
      <c r="P6" s="10">
        <v>0</v>
      </c>
      <c r="Q6" s="10">
        <v>32.5</v>
      </c>
      <c r="R6" s="10" t="b">
        <v>1</v>
      </c>
    </row>
    <row r="7" spans="1:18" x14ac:dyDescent="0.25">
      <c r="A7" s="43">
        <f>IF(COUNTIF(SCHHUB[SchoolHubCode],SCHOOLS[[#This Row],[SchoolHub]])&gt;0,0,1)</f>
        <v>0</v>
      </c>
      <c r="B7" s="43">
        <f>IF(COUNTIF(SCHTYPE[SchoolTypeCode],SCHOOLS[[#This Row],[SchoolType]])&gt;0,0,1)</f>
        <v>0</v>
      </c>
      <c r="C7" s="43">
        <f>COUNTBLANK(SCHOOLS[[#This Row],[SchoolLocalAuthority]:[SchoolEnabled]])</f>
        <v>0</v>
      </c>
      <c r="D7" s="43">
        <f>IF(LEN(SCHOOLS[[#This Row],[SchoolCode]])&lt;100,0,1)</f>
        <v>0</v>
      </c>
      <c r="E7" s="43">
        <f>IF(LEN(SCHOOLS[[#This Row],[Title]])&lt;100,0,1)</f>
        <v>0</v>
      </c>
      <c r="F7" s="43">
        <f>SUM(SCHOOLS[[#This Row],[HubIssues]:[Title length check]])</f>
        <v>0</v>
      </c>
      <c r="G7" s="89" t="s">
        <v>1137</v>
      </c>
      <c r="H7" s="43" t="str">
        <f>_xlfn.XLOOKUP(SCHOOLS[[#This Row],[SchoolLocalAuthority]],LocalAuth[SchoolLocalAuthorityCode],LocalAuth[LA])</f>
        <v>LA2</v>
      </c>
      <c r="I7" s="105"/>
      <c r="J7" s="10" t="s">
        <v>1121</v>
      </c>
      <c r="K7" s="10" t="s">
        <v>1145</v>
      </c>
      <c r="L7" s="10" t="s">
        <v>1093</v>
      </c>
      <c r="M7" s="10" t="s">
        <v>1108</v>
      </c>
      <c r="N7" s="10" t="s">
        <v>1109</v>
      </c>
      <c r="O7" s="10" t="b">
        <v>0</v>
      </c>
      <c r="P7" s="10">
        <v>0</v>
      </c>
      <c r="Q7" s="10">
        <v>32.5</v>
      </c>
      <c r="R7" s="10" t="b">
        <v>1</v>
      </c>
    </row>
  </sheetData>
  <mergeCells count="1">
    <mergeCell ref="J1:R1"/>
  </mergeCells>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FA872AE6-6968-4320-940E-420CF6095AFD}">
          <x14:formula1>
            <xm:f>Validation!$A$10:$A$13</xm:f>
          </x14:formula1>
          <xm:sqref>G3:G7</xm:sqref>
        </x14:dataValidation>
        <x14:dataValidation type="list" allowBlank="1" showInputMessage="1" showErrorMessage="1" xr:uid="{72F19C89-E683-4F31-A13F-94B78CDB370A}">
          <x14:formula1>
            <xm:f>Validation!$A$15:$A$22</xm:f>
          </x14:formula1>
          <xm:sqref>I3:I7</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11079-B741-42C5-A8A4-76C13CFFA194}">
  <sheetPr codeName="Sheet12">
    <tabColor theme="5" tint="0.79998168889431442"/>
  </sheetPr>
  <dimension ref="A1:P3"/>
  <sheetViews>
    <sheetView workbookViewId="0">
      <pane ySplit="2" topLeftCell="A3" activePane="bottomLeft" state="frozen"/>
      <selection pane="bottomLeft" activeCell="J17" sqref="J17"/>
    </sheetView>
  </sheetViews>
  <sheetFormatPr defaultColWidth="8.5703125" defaultRowHeight="15" outlineLevelCol="1" x14ac:dyDescent="0.25"/>
  <cols>
    <col min="1" max="1" width="12.28515625" hidden="1" customWidth="1" outlineLevel="1"/>
    <col min="2" max="2" width="14.5703125" hidden="1" customWidth="1" outlineLevel="1"/>
    <col min="3" max="3" width="13.85546875" hidden="1" customWidth="1" outlineLevel="1"/>
    <col min="4" max="4" width="20" hidden="1" customWidth="1" outlineLevel="1"/>
    <col min="5" max="5" width="19" hidden="1" customWidth="1" outlineLevel="1"/>
    <col min="6" max="6" width="16.7109375" bestFit="1" customWidth="1" collapsed="1"/>
    <col min="7" max="7" width="18.7109375" bestFit="1" customWidth="1"/>
    <col min="8" max="8" width="38.7109375" bestFit="1" customWidth="1"/>
    <col min="9" max="9" width="23.140625" bestFit="1" customWidth="1"/>
    <col min="10" max="10" width="37.5703125" bestFit="1" customWidth="1"/>
    <col min="11" max="11" width="14.5703125" bestFit="1" customWidth="1"/>
    <col min="12" max="12" width="12.28515625" bestFit="1" customWidth="1"/>
    <col min="13" max="13" width="13.85546875" bestFit="1" customWidth="1"/>
    <col min="14" max="14" width="21.5703125" bestFit="1" customWidth="1"/>
    <col min="15" max="15" width="21.42578125" bestFit="1" customWidth="1"/>
  </cols>
  <sheetData>
    <row r="1" spans="1:16" x14ac:dyDescent="0.25">
      <c r="G1" s="186" t="s">
        <v>1068</v>
      </c>
      <c r="H1" s="186"/>
      <c r="I1" s="186"/>
      <c r="J1" s="186"/>
      <c r="K1" s="186"/>
      <c r="L1" s="186"/>
      <c r="M1" s="186"/>
      <c r="N1" s="186"/>
      <c r="O1" s="186"/>
      <c r="P1" s="99"/>
    </row>
    <row r="2" spans="1:16" x14ac:dyDescent="0.25">
      <c r="A2" s="93" t="s">
        <v>1146</v>
      </c>
      <c r="B2" s="93" t="s">
        <v>1147</v>
      </c>
      <c r="C2" s="93" t="s">
        <v>1148</v>
      </c>
      <c r="D2" s="93" t="s">
        <v>1072</v>
      </c>
      <c r="E2" s="93" t="s">
        <v>1073</v>
      </c>
      <c r="F2" s="46" t="s">
        <v>1126</v>
      </c>
      <c r="G2" t="s">
        <v>1149</v>
      </c>
      <c r="H2" t="s">
        <v>1076</v>
      </c>
      <c r="I2" t="s">
        <v>1150</v>
      </c>
      <c r="J2" t="s">
        <v>1151</v>
      </c>
      <c r="K2" t="s">
        <v>1080</v>
      </c>
      <c r="L2" t="s">
        <v>1075</v>
      </c>
      <c r="M2" t="s">
        <v>1083</v>
      </c>
      <c r="N2" t="s">
        <v>1152</v>
      </c>
      <c r="O2" t="s">
        <v>1153</v>
      </c>
    </row>
    <row r="3" spans="1:16" x14ac:dyDescent="0.25">
      <c r="A3" s="43">
        <f>IF(COUNTIF(FUNDS[FundCode],DEPTS[[#This Row],[FundCode]])&gt;0,0,1)</f>
        <v>1</v>
      </c>
      <c r="B3" s="43">
        <f>IF(COUNTIF(ACTIVITIES[ActivityCode],DEPTS[[#This Row],[ActivityCode]])&gt;0,0,1)</f>
        <v>0</v>
      </c>
      <c r="C3" s="43">
        <f>IF(COUNTIF(LEDGER[LedgerCode],DEPTS[[#This Row],[LedgerCode]])&gt;0,0,1)</f>
        <v>1</v>
      </c>
      <c r="D3" s="43">
        <f>IF(LEN(DEPTS[[#This Row],[DepartmentCode]])&lt;100,0,1)</f>
        <v>0</v>
      </c>
      <c r="E3" s="43">
        <f>IF(LEN(DEPTS[[#This Row],[Title]])&lt;100,0,1)</f>
        <v>0</v>
      </c>
      <c r="F3" s="43">
        <f>SUM(DEPTS[[#This Row],[FundIssue]:[Title length check]])</f>
        <v>2</v>
      </c>
      <c r="G3" t="s">
        <v>1154</v>
      </c>
      <c r="H3" t="s">
        <v>1155</v>
      </c>
      <c r="I3" t="b">
        <v>1</v>
      </c>
      <c r="K3" t="s">
        <v>1078</v>
      </c>
      <c r="L3" t="s">
        <v>1156</v>
      </c>
      <c r="M3" t="s">
        <v>1157</v>
      </c>
      <c r="O3" t="b">
        <v>1</v>
      </c>
    </row>
  </sheetData>
  <mergeCells count="1">
    <mergeCell ref="G1:O1"/>
  </mergeCells>
  <phoneticPr fontId="2" type="noConversion"/>
  <pageMargins left="0.7" right="0.7" top="0.75" bottom="0.75" header="0.3" footer="0.3"/>
  <pageSetup paperSize="9" orientation="portrait"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4335F-6823-475D-AE03-B368B32C2812}">
  <sheetPr codeName="Sheet41">
    <tabColor theme="0" tint="-0.249977111117893"/>
  </sheetPr>
  <dimension ref="A1:N92"/>
  <sheetViews>
    <sheetView zoomScaleNormal="100" workbookViewId="0">
      <pane ySplit="1" topLeftCell="A74" activePane="bottomLeft" state="frozen"/>
      <selection pane="bottomLeft" activeCell="E87" sqref="E87"/>
    </sheetView>
  </sheetViews>
  <sheetFormatPr defaultRowHeight="15" x14ac:dyDescent="0.25"/>
  <cols>
    <col min="1" max="1" width="19" bestFit="1" customWidth="1"/>
    <col min="2" max="2" width="19" customWidth="1"/>
    <col min="3" max="4" width="17.85546875" customWidth="1"/>
    <col min="5" max="5" width="36.140625" bestFit="1" customWidth="1"/>
    <col min="6" max="6" width="52.28515625" bestFit="1" customWidth="1"/>
    <col min="7" max="7" width="21.28515625" customWidth="1"/>
    <col min="8" max="8" width="14.5703125" customWidth="1"/>
    <col min="9" max="9" width="16.5703125" customWidth="1"/>
    <col min="10" max="10" width="12.5703125" customWidth="1"/>
    <col min="11" max="11" width="21" customWidth="1"/>
    <col min="12" max="12" width="13.28515625" customWidth="1"/>
    <col min="13" max="13" width="19.85546875" customWidth="1"/>
    <col min="14" max="14" width="20.140625" bestFit="1" customWidth="1"/>
  </cols>
  <sheetData>
    <row r="1" spans="1:14" x14ac:dyDescent="0.25">
      <c r="A1" s="17" t="s">
        <v>1128</v>
      </c>
      <c r="B1" s="17" t="s">
        <v>1112</v>
      </c>
      <c r="C1" s="17" t="s">
        <v>1158</v>
      </c>
      <c r="D1" s="17" t="s">
        <v>1159</v>
      </c>
      <c r="E1" s="3" t="s">
        <v>1160</v>
      </c>
      <c r="F1" s="3" t="s">
        <v>1076</v>
      </c>
      <c r="G1" s="3" t="s">
        <v>1161</v>
      </c>
      <c r="H1" s="3" t="s">
        <v>1162</v>
      </c>
      <c r="I1" s="3" t="s">
        <v>1163</v>
      </c>
      <c r="J1" s="3" t="s">
        <v>1083</v>
      </c>
      <c r="K1" s="3" t="s">
        <v>1150</v>
      </c>
      <c r="L1" s="3" t="s">
        <v>1151</v>
      </c>
      <c r="M1" s="8" t="s">
        <v>1164</v>
      </c>
      <c r="N1" s="8" t="s">
        <v>1165</v>
      </c>
    </row>
    <row r="2" spans="1:14" x14ac:dyDescent="0.25">
      <c r="A2" s="18" t="s">
        <v>1166</v>
      </c>
      <c r="B2" s="18"/>
      <c r="C2" s="18"/>
      <c r="D2" s="18"/>
      <c r="E2" s="9" t="s">
        <v>1167</v>
      </c>
      <c r="F2" s="2" t="s">
        <v>1168</v>
      </c>
      <c r="G2" s="9" t="s">
        <v>1169</v>
      </c>
      <c r="H2" s="2" t="s">
        <v>1047</v>
      </c>
      <c r="I2" s="2" t="s">
        <v>1035</v>
      </c>
      <c r="J2" s="2"/>
      <c r="K2" s="2" t="b">
        <v>1</v>
      </c>
      <c r="L2" s="2"/>
      <c r="M2" s="2" t="b">
        <v>1</v>
      </c>
      <c r="N2" s="2" t="b">
        <v>0</v>
      </c>
    </row>
    <row r="3" spans="1:14" x14ac:dyDescent="0.25">
      <c r="A3" s="18" t="s">
        <v>1166</v>
      </c>
      <c r="B3" s="18"/>
      <c r="C3" s="18"/>
      <c r="D3" s="18"/>
      <c r="E3" s="9" t="s">
        <v>1170</v>
      </c>
      <c r="F3" s="2" t="s">
        <v>1171</v>
      </c>
      <c r="G3" s="2" t="s">
        <v>1169</v>
      </c>
      <c r="H3" s="2" t="s">
        <v>1047</v>
      </c>
      <c r="I3" s="2" t="s">
        <v>1035</v>
      </c>
      <c r="J3" s="2"/>
      <c r="K3" s="2" t="b">
        <v>1</v>
      </c>
      <c r="L3" s="2"/>
      <c r="M3" s="2" t="b">
        <v>1</v>
      </c>
      <c r="N3" s="2" t="b">
        <v>0</v>
      </c>
    </row>
    <row r="4" spans="1:14" x14ac:dyDescent="0.25">
      <c r="A4" s="18" t="s">
        <v>1166</v>
      </c>
      <c r="B4" s="18"/>
      <c r="C4" s="18"/>
      <c r="D4" s="18"/>
      <c r="E4" s="9" t="s">
        <v>1172</v>
      </c>
      <c r="F4" s="2" t="s">
        <v>1173</v>
      </c>
      <c r="G4" s="2" t="s">
        <v>1169</v>
      </c>
      <c r="H4" s="2" t="s">
        <v>1047</v>
      </c>
      <c r="I4" s="2" t="s">
        <v>1035</v>
      </c>
      <c r="J4" s="2"/>
      <c r="K4" s="2" t="b">
        <v>1</v>
      </c>
      <c r="L4" s="2"/>
      <c r="M4" s="2" t="b">
        <v>1</v>
      </c>
      <c r="N4" s="2" t="b">
        <v>0</v>
      </c>
    </row>
    <row r="5" spans="1:14" x14ac:dyDescent="0.25">
      <c r="A5" s="18" t="s">
        <v>1166</v>
      </c>
      <c r="B5" s="18"/>
      <c r="C5" s="18"/>
      <c r="D5" s="18"/>
      <c r="E5" s="9" t="s">
        <v>1174</v>
      </c>
      <c r="F5" s="2" t="s">
        <v>1175</v>
      </c>
      <c r="G5" s="2" t="s">
        <v>1169</v>
      </c>
      <c r="H5" s="2" t="s">
        <v>1047</v>
      </c>
      <c r="I5" s="2" t="s">
        <v>1035</v>
      </c>
      <c r="J5" s="2"/>
      <c r="K5" s="2" t="b">
        <v>1</v>
      </c>
      <c r="L5" s="2"/>
      <c r="M5" s="2" t="b">
        <v>1</v>
      </c>
      <c r="N5" s="2" t="b">
        <v>0</v>
      </c>
    </row>
    <row r="6" spans="1:14" x14ac:dyDescent="0.25">
      <c r="A6" s="18" t="s">
        <v>1166</v>
      </c>
      <c r="B6" s="18"/>
      <c r="C6" s="18"/>
      <c r="D6" s="18"/>
      <c r="E6" s="9" t="s">
        <v>1176</v>
      </c>
      <c r="F6" s="2" t="s">
        <v>1177</v>
      </c>
      <c r="G6" s="2" t="s">
        <v>1169</v>
      </c>
      <c r="H6" s="2" t="s">
        <v>1047</v>
      </c>
      <c r="I6" s="2" t="s">
        <v>1035</v>
      </c>
      <c r="J6" s="2"/>
      <c r="K6" s="2" t="b">
        <v>1</v>
      </c>
      <c r="L6" s="2"/>
      <c r="M6" s="2" t="b">
        <v>1</v>
      </c>
      <c r="N6" s="2" t="b">
        <v>0</v>
      </c>
    </row>
    <row r="7" spans="1:14" x14ac:dyDescent="0.25">
      <c r="A7" s="18" t="s">
        <v>1166</v>
      </c>
      <c r="B7" s="18"/>
      <c r="C7" s="18"/>
      <c r="D7" s="18"/>
      <c r="E7" s="9" t="s">
        <v>1178</v>
      </c>
      <c r="F7" s="2" t="s">
        <v>1179</v>
      </c>
      <c r="G7" s="2" t="s">
        <v>1169</v>
      </c>
      <c r="H7" s="2" t="s">
        <v>1047</v>
      </c>
      <c r="I7" s="2" t="s">
        <v>1035</v>
      </c>
      <c r="J7" s="2"/>
      <c r="K7" s="2" t="b">
        <v>1</v>
      </c>
      <c r="L7" s="2"/>
      <c r="M7" s="2" t="b">
        <v>1</v>
      </c>
      <c r="N7" s="2" t="b">
        <v>0</v>
      </c>
    </row>
    <row r="8" spans="1:14" x14ac:dyDescent="0.25">
      <c r="A8" s="18" t="s">
        <v>1166</v>
      </c>
      <c r="B8" s="18"/>
      <c r="C8" s="18"/>
      <c r="D8" s="18"/>
      <c r="E8" s="9" t="s">
        <v>1180</v>
      </c>
      <c r="F8" s="2" t="s">
        <v>1181</v>
      </c>
      <c r="G8" s="2" t="s">
        <v>1169</v>
      </c>
      <c r="H8" s="2" t="s">
        <v>1035</v>
      </c>
      <c r="I8" s="2" t="s">
        <v>1035</v>
      </c>
      <c r="J8" s="2"/>
      <c r="K8" s="2" t="b">
        <v>1</v>
      </c>
      <c r="L8" s="2"/>
      <c r="M8" s="2" t="b">
        <v>1</v>
      </c>
      <c r="N8" s="2" t="b">
        <v>0</v>
      </c>
    </row>
    <row r="9" spans="1:14" x14ac:dyDescent="0.25">
      <c r="A9" s="18" t="s">
        <v>1166</v>
      </c>
      <c r="B9" s="18"/>
      <c r="C9" s="18"/>
      <c r="D9" s="18"/>
      <c r="E9" s="9" t="s">
        <v>1182</v>
      </c>
      <c r="F9" s="2" t="s">
        <v>1183</v>
      </c>
      <c r="G9" s="2" t="s">
        <v>1169</v>
      </c>
      <c r="H9" s="2" t="s">
        <v>1047</v>
      </c>
      <c r="I9" s="2" t="s">
        <v>1035</v>
      </c>
      <c r="J9" s="2"/>
      <c r="K9" s="2" t="b">
        <v>1</v>
      </c>
      <c r="L9" s="2"/>
      <c r="M9" s="2" t="b">
        <v>1</v>
      </c>
      <c r="N9" s="2" t="b">
        <v>0</v>
      </c>
    </row>
    <row r="10" spans="1:14" x14ac:dyDescent="0.25">
      <c r="A10" s="18" t="s">
        <v>1166</v>
      </c>
      <c r="B10" s="18"/>
      <c r="C10" s="18"/>
      <c r="D10" s="18"/>
      <c r="E10" s="9" t="s">
        <v>1184</v>
      </c>
      <c r="F10" s="2" t="s">
        <v>1185</v>
      </c>
      <c r="G10" s="2" t="s">
        <v>1169</v>
      </c>
      <c r="H10" s="2" t="s">
        <v>1047</v>
      </c>
      <c r="I10" s="2" t="s">
        <v>1035</v>
      </c>
      <c r="J10" s="2"/>
      <c r="K10" s="2" t="b">
        <v>1</v>
      </c>
      <c r="L10" s="2"/>
      <c r="M10" s="2" t="b">
        <v>1</v>
      </c>
      <c r="N10" s="2" t="b">
        <v>0</v>
      </c>
    </row>
    <row r="11" spans="1:14" x14ac:dyDescent="0.25">
      <c r="A11" s="18" t="s">
        <v>1166</v>
      </c>
      <c r="B11" s="18"/>
      <c r="C11" s="18"/>
      <c r="D11" s="18"/>
      <c r="E11" s="9" t="s">
        <v>1186</v>
      </c>
      <c r="F11" s="2" t="s">
        <v>1187</v>
      </c>
      <c r="G11" s="2" t="s">
        <v>1169</v>
      </c>
      <c r="H11" s="2" t="s">
        <v>1047</v>
      </c>
      <c r="I11" s="2" t="s">
        <v>1035</v>
      </c>
      <c r="J11" s="2"/>
      <c r="K11" s="2" t="b">
        <v>1</v>
      </c>
      <c r="L11" s="2"/>
      <c r="M11" s="2" t="b">
        <v>1</v>
      </c>
      <c r="N11" s="2" t="b">
        <v>0</v>
      </c>
    </row>
    <row r="12" spans="1:14" x14ac:dyDescent="0.25">
      <c r="A12" s="18" t="s">
        <v>1166</v>
      </c>
      <c r="B12" s="18"/>
      <c r="C12" s="18"/>
      <c r="D12" s="18"/>
      <c r="E12" s="9" t="s">
        <v>1188</v>
      </c>
      <c r="F12" s="2" t="s">
        <v>1189</v>
      </c>
      <c r="G12" s="2" t="s">
        <v>1169</v>
      </c>
      <c r="H12" s="2" t="s">
        <v>1047</v>
      </c>
      <c r="I12" s="2" t="s">
        <v>1035</v>
      </c>
      <c r="J12" s="2"/>
      <c r="K12" s="2" t="b">
        <v>1</v>
      </c>
      <c r="L12" s="2"/>
      <c r="M12" s="2" t="b">
        <v>1</v>
      </c>
      <c r="N12" s="2" t="b">
        <v>0</v>
      </c>
    </row>
    <row r="13" spans="1:14" x14ac:dyDescent="0.25">
      <c r="A13" s="18" t="s">
        <v>1166</v>
      </c>
      <c r="B13" s="18"/>
      <c r="C13" s="18"/>
      <c r="D13" s="18"/>
      <c r="E13" s="9" t="s">
        <v>1190</v>
      </c>
      <c r="F13" s="2" t="s">
        <v>1191</v>
      </c>
      <c r="G13" s="2" t="s">
        <v>1169</v>
      </c>
      <c r="H13" s="2" t="s">
        <v>1065</v>
      </c>
      <c r="I13" s="2" t="s">
        <v>1035</v>
      </c>
      <c r="J13" s="2"/>
      <c r="K13" s="2" t="b">
        <v>1</v>
      </c>
      <c r="L13" s="2"/>
      <c r="M13" s="2" t="b">
        <v>1</v>
      </c>
      <c r="N13" s="2" t="b">
        <v>0</v>
      </c>
    </row>
    <row r="14" spans="1:14" x14ac:dyDescent="0.25">
      <c r="A14" s="18" t="s">
        <v>1166</v>
      </c>
      <c r="B14" s="18"/>
      <c r="C14" s="18"/>
      <c r="D14" s="18"/>
      <c r="E14" s="9" t="s">
        <v>1192</v>
      </c>
      <c r="F14" s="2" t="s">
        <v>1193</v>
      </c>
      <c r="G14" s="2" t="s">
        <v>1169</v>
      </c>
      <c r="H14" s="2" t="s">
        <v>1065</v>
      </c>
      <c r="I14" s="2" t="s">
        <v>1035</v>
      </c>
      <c r="J14" s="2"/>
      <c r="K14" s="2" t="b">
        <v>1</v>
      </c>
      <c r="L14" s="2"/>
      <c r="M14" s="2" t="b">
        <v>1</v>
      </c>
      <c r="N14" s="2" t="b">
        <v>0</v>
      </c>
    </row>
    <row r="15" spans="1:14" x14ac:dyDescent="0.25">
      <c r="A15" s="18" t="s">
        <v>1166</v>
      </c>
      <c r="B15" s="18"/>
      <c r="C15" s="18"/>
      <c r="D15" s="18"/>
      <c r="E15" s="9" t="s">
        <v>1194</v>
      </c>
      <c r="F15" s="2" t="s">
        <v>1195</v>
      </c>
      <c r="G15" s="2" t="s">
        <v>1169</v>
      </c>
      <c r="H15" s="2" t="s">
        <v>1065</v>
      </c>
      <c r="I15" s="2" t="s">
        <v>1035</v>
      </c>
      <c r="J15" s="2"/>
      <c r="K15" s="2" t="b">
        <v>1</v>
      </c>
      <c r="L15" s="2"/>
      <c r="M15" s="2" t="b">
        <v>1</v>
      </c>
      <c r="N15" s="2" t="b">
        <v>0</v>
      </c>
    </row>
    <row r="16" spans="1:14" x14ac:dyDescent="0.25">
      <c r="A16" s="18" t="s">
        <v>1166</v>
      </c>
      <c r="B16" s="18"/>
      <c r="C16" s="18"/>
      <c r="D16" s="18"/>
      <c r="E16" s="9" t="s">
        <v>1196</v>
      </c>
      <c r="F16" s="2" t="s">
        <v>1197</v>
      </c>
      <c r="G16" s="2" t="s">
        <v>1169</v>
      </c>
      <c r="H16" s="2" t="s">
        <v>1065</v>
      </c>
      <c r="I16" s="2" t="s">
        <v>1035</v>
      </c>
      <c r="J16" s="2"/>
      <c r="K16" s="2" t="b">
        <v>1</v>
      </c>
      <c r="L16" s="2"/>
      <c r="M16" s="2" t="b">
        <v>1</v>
      </c>
      <c r="N16" s="2" t="b">
        <v>0</v>
      </c>
    </row>
    <row r="17" spans="1:14" x14ac:dyDescent="0.25">
      <c r="A17" s="18" t="s">
        <v>1166</v>
      </c>
      <c r="B17" s="18"/>
      <c r="C17" s="18"/>
      <c r="D17" s="18"/>
      <c r="E17" s="9" t="s">
        <v>1198</v>
      </c>
      <c r="F17" s="2" t="s">
        <v>1199</v>
      </c>
      <c r="G17" s="2" t="s">
        <v>1169</v>
      </c>
      <c r="H17" s="2" t="s">
        <v>1065</v>
      </c>
      <c r="I17" s="2" t="s">
        <v>1035</v>
      </c>
      <c r="J17" s="2"/>
      <c r="K17" s="2" t="b">
        <v>1</v>
      </c>
      <c r="L17" s="2"/>
      <c r="M17" s="2" t="b">
        <v>1</v>
      </c>
      <c r="N17" s="2" t="b">
        <v>0</v>
      </c>
    </row>
    <row r="18" spans="1:14" x14ac:dyDescent="0.25">
      <c r="A18" s="18" t="s">
        <v>1166</v>
      </c>
      <c r="B18" s="18"/>
      <c r="C18" s="18"/>
      <c r="D18" s="18"/>
      <c r="E18" s="9" t="s">
        <v>1200</v>
      </c>
      <c r="F18" s="2" t="s">
        <v>1201</v>
      </c>
      <c r="G18" s="2" t="s">
        <v>1169</v>
      </c>
      <c r="H18" s="2" t="s">
        <v>1065</v>
      </c>
      <c r="I18" s="2" t="s">
        <v>1035</v>
      </c>
      <c r="J18" s="2"/>
      <c r="K18" s="2" t="b">
        <v>1</v>
      </c>
      <c r="L18" s="2"/>
      <c r="M18" s="2" t="b">
        <v>1</v>
      </c>
      <c r="N18" s="2" t="b">
        <v>0</v>
      </c>
    </row>
    <row r="19" spans="1:14" x14ac:dyDescent="0.25">
      <c r="A19" s="18" t="s">
        <v>1166</v>
      </c>
      <c r="B19" s="18"/>
      <c r="C19" s="18"/>
      <c r="D19" s="18"/>
      <c r="E19" s="9" t="s">
        <v>1202</v>
      </c>
      <c r="F19" s="2" t="s">
        <v>1203</v>
      </c>
      <c r="G19" s="2" t="s">
        <v>1169</v>
      </c>
      <c r="H19" s="2" t="s">
        <v>1035</v>
      </c>
      <c r="I19" s="2" t="s">
        <v>1035</v>
      </c>
      <c r="J19" s="2"/>
      <c r="K19" s="2" t="b">
        <v>1</v>
      </c>
      <c r="L19" s="2"/>
      <c r="M19" s="2" t="b">
        <v>1</v>
      </c>
      <c r="N19" s="2" t="b">
        <v>0</v>
      </c>
    </row>
    <row r="20" spans="1:14" x14ac:dyDescent="0.25">
      <c r="A20" s="18" t="s">
        <v>1166</v>
      </c>
      <c r="B20" s="18"/>
      <c r="C20" s="18"/>
      <c r="D20" s="18"/>
      <c r="E20" s="9" t="s">
        <v>1204</v>
      </c>
      <c r="F20" s="2" t="s">
        <v>1205</v>
      </c>
      <c r="G20" s="2" t="s">
        <v>1169</v>
      </c>
      <c r="H20" s="2" t="s">
        <v>1065</v>
      </c>
      <c r="I20" s="2" t="s">
        <v>1035</v>
      </c>
      <c r="J20" s="2"/>
      <c r="K20" s="2" t="b">
        <v>1</v>
      </c>
      <c r="L20" s="2"/>
      <c r="M20" s="2" t="b">
        <v>1</v>
      </c>
      <c r="N20" s="2" t="b">
        <v>0</v>
      </c>
    </row>
    <row r="21" spans="1:14" x14ac:dyDescent="0.25">
      <c r="A21" s="18" t="s">
        <v>1166</v>
      </c>
      <c r="B21" s="18"/>
      <c r="C21" s="18"/>
      <c r="D21" s="18"/>
      <c r="E21" s="9" t="s">
        <v>1206</v>
      </c>
      <c r="F21" s="2" t="s">
        <v>1207</v>
      </c>
      <c r="G21" s="2" t="s">
        <v>1169</v>
      </c>
      <c r="H21" s="2" t="s">
        <v>1065</v>
      </c>
      <c r="I21" s="2" t="s">
        <v>1035</v>
      </c>
      <c r="J21" s="2"/>
      <c r="K21" s="2" t="b">
        <v>1</v>
      </c>
      <c r="L21" s="2"/>
      <c r="M21" s="2" t="b">
        <v>1</v>
      </c>
      <c r="N21" s="2" t="b">
        <v>0</v>
      </c>
    </row>
    <row r="22" spans="1:14" x14ac:dyDescent="0.25">
      <c r="A22" s="18" t="s">
        <v>1166</v>
      </c>
      <c r="B22" s="18"/>
      <c r="C22" s="18"/>
      <c r="D22" s="18"/>
      <c r="E22" s="9" t="s">
        <v>1208</v>
      </c>
      <c r="F22" s="2" t="s">
        <v>1209</v>
      </c>
      <c r="G22" s="2" t="s">
        <v>1169</v>
      </c>
      <c r="H22" s="2" t="s">
        <v>1065</v>
      </c>
      <c r="I22" s="2" t="s">
        <v>1035</v>
      </c>
      <c r="J22" s="2"/>
      <c r="K22" s="2" t="b">
        <v>1</v>
      </c>
      <c r="L22" s="2"/>
      <c r="M22" s="2" t="b">
        <v>1</v>
      </c>
      <c r="N22" s="2" t="b">
        <v>0</v>
      </c>
    </row>
    <row r="23" spans="1:14" x14ac:dyDescent="0.25">
      <c r="A23" s="18" t="s">
        <v>1166</v>
      </c>
      <c r="B23" s="18"/>
      <c r="C23" s="18"/>
      <c r="D23" s="18"/>
      <c r="E23" s="9" t="s">
        <v>1210</v>
      </c>
      <c r="F23" s="2" t="s">
        <v>1211</v>
      </c>
      <c r="G23" s="2" t="s">
        <v>1169</v>
      </c>
      <c r="H23" s="2" t="s">
        <v>1065</v>
      </c>
      <c r="I23" s="2" t="s">
        <v>1035</v>
      </c>
      <c r="J23" s="2"/>
      <c r="K23" s="2" t="b">
        <v>1</v>
      </c>
      <c r="L23" s="2"/>
      <c r="M23" s="2" t="b">
        <v>1</v>
      </c>
      <c r="N23" s="2" t="b">
        <v>0</v>
      </c>
    </row>
    <row r="24" spans="1:14" x14ac:dyDescent="0.25">
      <c r="A24" s="18" t="s">
        <v>1166</v>
      </c>
      <c r="B24" s="18"/>
      <c r="C24" s="18"/>
      <c r="D24" s="18"/>
      <c r="E24" s="9" t="s">
        <v>1212</v>
      </c>
      <c r="F24" s="2" t="s">
        <v>1213</v>
      </c>
      <c r="G24" s="2" t="s">
        <v>1169</v>
      </c>
      <c r="H24" s="2" t="s">
        <v>1065</v>
      </c>
      <c r="I24" s="2" t="s">
        <v>1035</v>
      </c>
      <c r="J24" s="2"/>
      <c r="K24" s="2" t="b">
        <v>1</v>
      </c>
      <c r="L24" s="2"/>
      <c r="M24" s="2" t="b">
        <v>1</v>
      </c>
      <c r="N24" s="2" t="b">
        <v>0</v>
      </c>
    </row>
    <row r="25" spans="1:14" x14ac:dyDescent="0.25">
      <c r="A25" s="18" t="s">
        <v>1166</v>
      </c>
      <c r="B25" s="18"/>
      <c r="C25" s="18"/>
      <c r="D25" s="18"/>
      <c r="E25" s="9" t="s">
        <v>1214</v>
      </c>
      <c r="F25" s="2" t="s">
        <v>1215</v>
      </c>
      <c r="G25" s="2" t="s">
        <v>1169</v>
      </c>
      <c r="H25" s="2" t="s">
        <v>1065</v>
      </c>
      <c r="I25" s="2" t="s">
        <v>1035</v>
      </c>
      <c r="J25" s="2"/>
      <c r="K25" s="2" t="b">
        <v>1</v>
      </c>
      <c r="L25" s="2"/>
      <c r="M25" s="2" t="b">
        <v>1</v>
      </c>
      <c r="N25" s="2" t="b">
        <v>0</v>
      </c>
    </row>
    <row r="26" spans="1:14" x14ac:dyDescent="0.25">
      <c r="A26" s="18" t="s">
        <v>1166</v>
      </c>
      <c r="B26" s="18"/>
      <c r="C26" s="18"/>
      <c r="D26" s="18"/>
      <c r="E26" s="9" t="s">
        <v>1216</v>
      </c>
      <c r="F26" s="2" t="s">
        <v>1217</v>
      </c>
      <c r="G26" s="2" t="s">
        <v>1169</v>
      </c>
      <c r="H26" s="2" t="s">
        <v>1063</v>
      </c>
      <c r="I26" s="2" t="s">
        <v>1035</v>
      </c>
      <c r="J26" s="2"/>
      <c r="K26" s="2" t="b">
        <v>1</v>
      </c>
      <c r="L26" s="2"/>
      <c r="M26" s="2" t="b">
        <v>1</v>
      </c>
      <c r="N26" s="2" t="b">
        <v>0</v>
      </c>
    </row>
    <row r="27" spans="1:14" x14ac:dyDescent="0.25">
      <c r="A27" s="18" t="s">
        <v>1166</v>
      </c>
      <c r="B27" s="18"/>
      <c r="C27" s="18"/>
      <c r="D27" s="18"/>
      <c r="E27" s="9" t="s">
        <v>1218</v>
      </c>
      <c r="F27" s="2" t="s">
        <v>1219</v>
      </c>
      <c r="G27" s="2" t="s">
        <v>1169</v>
      </c>
      <c r="H27" s="2" t="s">
        <v>1065</v>
      </c>
      <c r="I27" s="2" t="s">
        <v>1035</v>
      </c>
      <c r="J27" s="2"/>
      <c r="K27" s="2" t="b">
        <v>1</v>
      </c>
      <c r="L27" s="2"/>
      <c r="M27" s="2" t="b">
        <v>1</v>
      </c>
      <c r="N27" s="2" t="b">
        <v>0</v>
      </c>
    </row>
    <row r="28" spans="1:14" x14ac:dyDescent="0.25">
      <c r="A28" s="18" t="s">
        <v>1166</v>
      </c>
      <c r="B28" s="18"/>
      <c r="C28" s="18"/>
      <c r="D28" s="18"/>
      <c r="E28" s="9" t="s">
        <v>1220</v>
      </c>
      <c r="F28" s="2" t="s">
        <v>1221</v>
      </c>
      <c r="G28" s="2" t="s">
        <v>1169</v>
      </c>
      <c r="H28" s="2" t="s">
        <v>1065</v>
      </c>
      <c r="I28" s="2" t="s">
        <v>1035</v>
      </c>
      <c r="J28" s="2"/>
      <c r="K28" s="2" t="b">
        <v>1</v>
      </c>
      <c r="L28" s="2"/>
      <c r="M28" s="2" t="b">
        <v>1</v>
      </c>
      <c r="N28" s="2" t="b">
        <v>0</v>
      </c>
    </row>
    <row r="29" spans="1:14" x14ac:dyDescent="0.25">
      <c r="A29" s="18" t="s">
        <v>1166</v>
      </c>
      <c r="B29" s="18"/>
      <c r="C29" s="18"/>
      <c r="D29" s="18"/>
      <c r="E29" s="9" t="s">
        <v>1222</v>
      </c>
      <c r="F29" s="2" t="s">
        <v>1223</v>
      </c>
      <c r="G29" s="2" t="s">
        <v>1169</v>
      </c>
      <c r="H29" s="2" t="s">
        <v>1065</v>
      </c>
      <c r="I29" s="2" t="s">
        <v>1035</v>
      </c>
      <c r="J29" s="2"/>
      <c r="K29" s="2" t="b">
        <v>1</v>
      </c>
      <c r="L29" s="2"/>
      <c r="M29" s="2" t="b">
        <v>1</v>
      </c>
      <c r="N29" s="2" t="b">
        <v>0</v>
      </c>
    </row>
    <row r="30" spans="1:14" x14ac:dyDescent="0.25">
      <c r="A30" s="18" t="s">
        <v>1166</v>
      </c>
      <c r="B30" s="18"/>
      <c r="C30" s="18"/>
      <c r="D30" s="18"/>
      <c r="E30" s="9" t="s">
        <v>1224</v>
      </c>
      <c r="F30" s="2" t="s">
        <v>1225</v>
      </c>
      <c r="G30" s="2" t="s">
        <v>1169</v>
      </c>
      <c r="H30" s="2" t="s">
        <v>1065</v>
      </c>
      <c r="I30" s="2" t="s">
        <v>1035</v>
      </c>
      <c r="J30" s="2"/>
      <c r="K30" s="2" t="b">
        <v>1</v>
      </c>
      <c r="L30" s="2"/>
      <c r="M30" s="2" t="b">
        <v>1</v>
      </c>
      <c r="N30" s="2" t="b">
        <v>0</v>
      </c>
    </row>
    <row r="31" spans="1:14" x14ac:dyDescent="0.25">
      <c r="A31" s="18" t="s">
        <v>1166</v>
      </c>
      <c r="B31" s="18"/>
      <c r="C31" s="18"/>
      <c r="D31" s="18"/>
      <c r="E31" s="9" t="s">
        <v>1226</v>
      </c>
      <c r="F31" s="2" t="s">
        <v>1227</v>
      </c>
      <c r="G31" s="2" t="s">
        <v>1169</v>
      </c>
      <c r="H31" s="2" t="s">
        <v>1065</v>
      </c>
      <c r="I31" s="2" t="s">
        <v>1035</v>
      </c>
      <c r="J31" s="2"/>
      <c r="K31" s="2" t="b">
        <v>1</v>
      </c>
      <c r="L31" s="2"/>
      <c r="M31" s="2" t="b">
        <v>1</v>
      </c>
      <c r="N31" s="2" t="b">
        <v>0</v>
      </c>
    </row>
    <row r="32" spans="1:14" x14ac:dyDescent="0.25">
      <c r="A32" s="18" t="s">
        <v>1166</v>
      </c>
      <c r="B32" s="18"/>
      <c r="C32" s="18"/>
      <c r="D32" s="18"/>
      <c r="E32" s="9" t="s">
        <v>1228</v>
      </c>
      <c r="F32" s="2" t="s">
        <v>1229</v>
      </c>
      <c r="G32" s="2" t="s">
        <v>1169</v>
      </c>
      <c r="H32" s="2" t="s">
        <v>1065</v>
      </c>
      <c r="I32" s="2" t="s">
        <v>1035</v>
      </c>
      <c r="J32" s="2"/>
      <c r="K32" s="2" t="b">
        <v>1</v>
      </c>
      <c r="L32" s="2"/>
      <c r="M32" s="2" t="b">
        <v>1</v>
      </c>
      <c r="N32" s="2" t="b">
        <v>0</v>
      </c>
    </row>
    <row r="33" spans="1:14" x14ac:dyDescent="0.25">
      <c r="A33" s="18" t="s">
        <v>1166</v>
      </c>
      <c r="B33" s="18"/>
      <c r="C33" s="18"/>
      <c r="D33" s="18"/>
      <c r="E33" s="9" t="s">
        <v>1230</v>
      </c>
      <c r="F33" s="2" t="s">
        <v>1064</v>
      </c>
      <c r="G33" s="2" t="s">
        <v>1169</v>
      </c>
      <c r="H33" s="2" t="s">
        <v>1063</v>
      </c>
      <c r="I33" s="2" t="s">
        <v>1035</v>
      </c>
      <c r="J33" s="2"/>
      <c r="K33" s="2" t="b">
        <v>1</v>
      </c>
      <c r="L33" s="2"/>
      <c r="M33" s="2" t="b">
        <v>1</v>
      </c>
      <c r="N33" s="2" t="b">
        <v>0</v>
      </c>
    </row>
    <row r="34" spans="1:14" x14ac:dyDescent="0.25">
      <c r="A34" s="18" t="s">
        <v>1166</v>
      </c>
      <c r="B34" s="18"/>
      <c r="C34" s="18"/>
      <c r="D34" s="18"/>
      <c r="E34" s="9" t="s">
        <v>1231</v>
      </c>
      <c r="F34" s="2" t="s">
        <v>1232</v>
      </c>
      <c r="G34" s="2" t="s">
        <v>1169</v>
      </c>
      <c r="H34" s="2" t="s">
        <v>1065</v>
      </c>
      <c r="I34" s="2" t="s">
        <v>1035</v>
      </c>
      <c r="J34" s="2"/>
      <c r="K34" s="2" t="b">
        <v>1</v>
      </c>
      <c r="L34" s="2"/>
      <c r="M34" s="2" t="b">
        <v>1</v>
      </c>
      <c r="N34" s="2" t="b">
        <v>0</v>
      </c>
    </row>
    <row r="35" spans="1:14" x14ac:dyDescent="0.25">
      <c r="A35" s="18" t="s">
        <v>1166</v>
      </c>
      <c r="B35" s="18"/>
      <c r="C35" s="18"/>
      <c r="D35" s="18"/>
      <c r="E35" s="9" t="s">
        <v>1233</v>
      </c>
      <c r="F35" s="2" t="s">
        <v>1234</v>
      </c>
      <c r="G35" s="2" t="s">
        <v>1169</v>
      </c>
      <c r="H35" s="2" t="s">
        <v>1047</v>
      </c>
      <c r="I35" s="2" t="s">
        <v>1035</v>
      </c>
      <c r="J35" s="2"/>
      <c r="K35" s="2" t="b">
        <v>1</v>
      </c>
      <c r="L35" s="2"/>
      <c r="M35" s="2" t="b">
        <v>1</v>
      </c>
      <c r="N35" s="2" t="b">
        <v>0</v>
      </c>
    </row>
    <row r="36" spans="1:14" x14ac:dyDescent="0.25">
      <c r="A36" s="18" t="s">
        <v>1166</v>
      </c>
      <c r="B36" s="18"/>
      <c r="C36" s="18"/>
      <c r="D36" s="18"/>
      <c r="E36" s="9" t="s">
        <v>1235</v>
      </c>
      <c r="F36" s="2" t="s">
        <v>1236</v>
      </c>
      <c r="G36" s="2" t="s">
        <v>1169</v>
      </c>
      <c r="H36" s="2" t="s">
        <v>1047</v>
      </c>
      <c r="I36" s="2" t="s">
        <v>1035</v>
      </c>
      <c r="J36" s="2"/>
      <c r="K36" s="2" t="b">
        <v>1</v>
      </c>
      <c r="L36" s="2"/>
      <c r="M36" s="2" t="b">
        <v>1</v>
      </c>
      <c r="N36" s="2" t="b">
        <v>0</v>
      </c>
    </row>
    <row r="37" spans="1:14" x14ac:dyDescent="0.25">
      <c r="A37" s="18" t="s">
        <v>1166</v>
      </c>
      <c r="B37" s="18"/>
      <c r="C37" s="18"/>
      <c r="D37" s="18"/>
      <c r="E37" s="9" t="s">
        <v>1237</v>
      </c>
      <c r="F37" s="2" t="s">
        <v>1238</v>
      </c>
      <c r="G37" s="2" t="s">
        <v>1169</v>
      </c>
      <c r="H37" s="2" t="s">
        <v>1045</v>
      </c>
      <c r="I37" s="2" t="s">
        <v>1035</v>
      </c>
      <c r="J37" s="2"/>
      <c r="K37" s="2" t="b">
        <v>1</v>
      </c>
      <c r="L37" s="2"/>
      <c r="M37" s="2" t="b">
        <v>1</v>
      </c>
      <c r="N37" s="2" t="b">
        <v>0</v>
      </c>
    </row>
    <row r="38" spans="1:14" x14ac:dyDescent="0.25">
      <c r="A38" s="18" t="s">
        <v>1166</v>
      </c>
      <c r="B38" s="18"/>
      <c r="C38" s="18"/>
      <c r="D38" s="18"/>
      <c r="E38" s="9" t="s">
        <v>1239</v>
      </c>
      <c r="F38" s="2" t="s">
        <v>1240</v>
      </c>
      <c r="G38" s="2" t="s">
        <v>1169</v>
      </c>
      <c r="H38" s="2" t="s">
        <v>1047</v>
      </c>
      <c r="I38" s="2" t="s">
        <v>1035</v>
      </c>
      <c r="J38" s="2"/>
      <c r="K38" s="2" t="b">
        <v>1</v>
      </c>
      <c r="L38" s="2"/>
      <c r="M38" s="2" t="b">
        <v>1</v>
      </c>
      <c r="N38" s="2" t="b">
        <v>0</v>
      </c>
    </row>
    <row r="39" spans="1:14" x14ac:dyDescent="0.25">
      <c r="A39" s="18" t="s">
        <v>1166</v>
      </c>
      <c r="B39" s="18"/>
      <c r="C39" s="18"/>
      <c r="D39" s="18"/>
      <c r="E39" s="9" t="s">
        <v>1241</v>
      </c>
      <c r="F39" s="2" t="s">
        <v>1242</v>
      </c>
      <c r="G39" s="2" t="s">
        <v>1169</v>
      </c>
      <c r="H39" s="2" t="s">
        <v>1047</v>
      </c>
      <c r="I39" s="2" t="s">
        <v>1035</v>
      </c>
      <c r="J39" s="2"/>
      <c r="K39" s="2" t="b">
        <v>1</v>
      </c>
      <c r="L39" s="2"/>
      <c r="M39" s="2" t="b">
        <v>1</v>
      </c>
      <c r="N39" s="2" t="b">
        <v>0</v>
      </c>
    </row>
    <row r="40" spans="1:14" x14ac:dyDescent="0.25">
      <c r="A40" s="18" t="s">
        <v>1166</v>
      </c>
      <c r="B40" s="18"/>
      <c r="C40" s="18"/>
      <c r="D40" s="18"/>
      <c r="E40" s="9" t="s">
        <v>1243</v>
      </c>
      <c r="F40" s="2" t="s">
        <v>1244</v>
      </c>
      <c r="G40" s="2" t="s">
        <v>1169</v>
      </c>
      <c r="H40" s="2" t="s">
        <v>1047</v>
      </c>
      <c r="I40" s="2" t="s">
        <v>1035</v>
      </c>
      <c r="J40" s="2"/>
      <c r="K40" s="2" t="b">
        <v>1</v>
      </c>
      <c r="L40" s="2"/>
      <c r="M40" s="2" t="b">
        <v>1</v>
      </c>
      <c r="N40" s="2" t="b">
        <v>0</v>
      </c>
    </row>
    <row r="41" spans="1:14" x14ac:dyDescent="0.25">
      <c r="A41" s="18" t="s">
        <v>1166</v>
      </c>
      <c r="B41" s="18"/>
      <c r="C41" s="18"/>
      <c r="D41" s="18"/>
      <c r="E41" s="9" t="s">
        <v>1245</v>
      </c>
      <c r="F41" s="2" t="s">
        <v>1246</v>
      </c>
      <c r="G41" s="2" t="s">
        <v>1169</v>
      </c>
      <c r="H41" s="2" t="s">
        <v>1047</v>
      </c>
      <c r="I41" s="2" t="s">
        <v>1035</v>
      </c>
      <c r="J41" s="2"/>
      <c r="K41" s="2" t="b">
        <v>1</v>
      </c>
      <c r="L41" s="2"/>
      <c r="M41" s="2" t="b">
        <v>1</v>
      </c>
      <c r="N41" s="2" t="b">
        <v>0</v>
      </c>
    </row>
    <row r="42" spans="1:14" x14ac:dyDescent="0.25">
      <c r="A42" s="18" t="s">
        <v>1166</v>
      </c>
      <c r="B42" s="18"/>
      <c r="C42" s="18"/>
      <c r="D42" s="18"/>
      <c r="E42" s="9" t="s">
        <v>1247</v>
      </c>
      <c r="F42" s="2" t="s">
        <v>1248</v>
      </c>
      <c r="G42" s="2" t="s">
        <v>1169</v>
      </c>
      <c r="H42" s="2" t="s">
        <v>1047</v>
      </c>
      <c r="I42" s="2" t="s">
        <v>1035</v>
      </c>
      <c r="J42" s="2"/>
      <c r="K42" s="2" t="b">
        <v>1</v>
      </c>
      <c r="L42" s="2"/>
      <c r="M42" s="2" t="b">
        <v>1</v>
      </c>
      <c r="N42" s="2" t="b">
        <v>0</v>
      </c>
    </row>
    <row r="43" spans="1:14" x14ac:dyDescent="0.25">
      <c r="A43" s="18" t="s">
        <v>1166</v>
      </c>
      <c r="B43" s="18"/>
      <c r="C43" s="18"/>
      <c r="D43" s="18"/>
      <c r="E43" s="9" t="s">
        <v>1249</v>
      </c>
      <c r="F43" s="2" t="s">
        <v>1250</v>
      </c>
      <c r="G43" s="2" t="s">
        <v>1169</v>
      </c>
      <c r="H43" s="2" t="s">
        <v>1047</v>
      </c>
      <c r="I43" s="2" t="s">
        <v>1035</v>
      </c>
      <c r="J43" s="2"/>
      <c r="K43" s="2" t="b">
        <v>1</v>
      </c>
      <c r="L43" s="2"/>
      <c r="M43" s="2" t="b">
        <v>1</v>
      </c>
      <c r="N43" s="2" t="b">
        <v>0</v>
      </c>
    </row>
    <row r="44" spans="1:14" x14ac:dyDescent="0.25">
      <c r="A44" s="18" t="s">
        <v>1166</v>
      </c>
      <c r="B44" s="18"/>
      <c r="C44" s="18"/>
      <c r="D44" s="18"/>
      <c r="E44" s="9" t="s">
        <v>1251</v>
      </c>
      <c r="F44" s="2" t="s">
        <v>1046</v>
      </c>
      <c r="G44" s="2" t="s">
        <v>1169</v>
      </c>
      <c r="H44" s="2" t="s">
        <v>1045</v>
      </c>
      <c r="I44" s="2" t="s">
        <v>1035</v>
      </c>
      <c r="J44" s="2"/>
      <c r="K44" s="2" t="b">
        <v>1</v>
      </c>
      <c r="L44" s="2"/>
      <c r="M44" s="2" t="b">
        <v>1</v>
      </c>
      <c r="N44" s="2" t="b">
        <v>0</v>
      </c>
    </row>
    <row r="45" spans="1:14" x14ac:dyDescent="0.25">
      <c r="A45" s="18" t="s">
        <v>1166</v>
      </c>
      <c r="B45" s="18"/>
      <c r="C45" s="18"/>
      <c r="D45" s="18"/>
      <c r="E45" s="9" t="s">
        <v>1252</v>
      </c>
      <c r="F45" s="2" t="s">
        <v>1253</v>
      </c>
      <c r="G45" s="2" t="s">
        <v>1169</v>
      </c>
      <c r="H45" s="2" t="s">
        <v>1047</v>
      </c>
      <c r="I45" s="2" t="s">
        <v>1035</v>
      </c>
      <c r="J45" s="2"/>
      <c r="K45" s="2" t="b">
        <v>1</v>
      </c>
      <c r="L45" s="2"/>
      <c r="M45" s="2" t="b">
        <v>1</v>
      </c>
      <c r="N45" s="2" t="b">
        <v>0</v>
      </c>
    </row>
    <row r="46" spans="1:14" x14ac:dyDescent="0.25">
      <c r="A46" s="18" t="s">
        <v>1166</v>
      </c>
      <c r="B46" s="18"/>
      <c r="C46" s="18"/>
      <c r="D46" s="18"/>
      <c r="E46" s="9" t="s">
        <v>1254</v>
      </c>
      <c r="F46" s="2" t="s">
        <v>1255</v>
      </c>
      <c r="G46" s="2" t="s">
        <v>1169</v>
      </c>
      <c r="H46" s="2" t="s">
        <v>1035</v>
      </c>
      <c r="I46" s="2" t="s">
        <v>1035</v>
      </c>
      <c r="J46" s="2"/>
      <c r="K46" s="2" t="b">
        <v>1</v>
      </c>
      <c r="L46" s="2"/>
      <c r="M46" s="2" t="b">
        <v>1</v>
      </c>
      <c r="N46" s="2" t="b">
        <v>0</v>
      </c>
    </row>
    <row r="47" spans="1:14" x14ac:dyDescent="0.25">
      <c r="A47" s="18" t="s">
        <v>1166</v>
      </c>
      <c r="B47" s="18"/>
      <c r="C47" s="18"/>
      <c r="D47" s="18"/>
      <c r="E47" s="9" t="s">
        <v>1256</v>
      </c>
      <c r="F47" s="2" t="s">
        <v>1257</v>
      </c>
      <c r="G47" s="2" t="s">
        <v>1169</v>
      </c>
      <c r="H47" s="2" t="s">
        <v>1035</v>
      </c>
      <c r="I47" s="2" t="s">
        <v>1035</v>
      </c>
      <c r="J47" s="2"/>
      <c r="K47" s="2" t="b">
        <v>1</v>
      </c>
      <c r="L47" s="2"/>
      <c r="M47" s="2" t="b">
        <v>1</v>
      </c>
      <c r="N47" s="2" t="b">
        <v>0</v>
      </c>
    </row>
    <row r="48" spans="1:14" x14ac:dyDescent="0.25">
      <c r="A48" s="18" t="s">
        <v>1166</v>
      </c>
      <c r="B48" s="18"/>
      <c r="C48" s="18"/>
      <c r="D48" s="18"/>
      <c r="E48" s="9" t="s">
        <v>1258</v>
      </c>
      <c r="F48" s="2" t="s">
        <v>1259</v>
      </c>
      <c r="G48" s="2" t="s">
        <v>1169</v>
      </c>
      <c r="H48" s="2" t="s">
        <v>1035</v>
      </c>
      <c r="I48" s="2" t="s">
        <v>1035</v>
      </c>
      <c r="J48" s="2"/>
      <c r="K48" s="2" t="b">
        <v>1</v>
      </c>
      <c r="L48" s="2"/>
      <c r="M48" s="2" t="b">
        <v>1</v>
      </c>
      <c r="N48" s="2" t="b">
        <v>0</v>
      </c>
    </row>
    <row r="49" spans="1:14" x14ac:dyDescent="0.25">
      <c r="A49" s="18" t="s">
        <v>1166</v>
      </c>
      <c r="B49" s="18"/>
      <c r="C49" s="18"/>
      <c r="D49" s="18"/>
      <c r="E49" s="9" t="s">
        <v>1260</v>
      </c>
      <c r="F49" s="2" t="s">
        <v>1261</v>
      </c>
      <c r="G49" s="2" t="s">
        <v>1169</v>
      </c>
      <c r="H49" s="2" t="s">
        <v>1043</v>
      </c>
      <c r="I49" s="2" t="s">
        <v>1035</v>
      </c>
      <c r="J49" s="2"/>
      <c r="K49" s="2" t="b">
        <v>1</v>
      </c>
      <c r="L49" s="2"/>
      <c r="M49" s="2" t="b">
        <v>1</v>
      </c>
      <c r="N49" s="2" t="b">
        <v>0</v>
      </c>
    </row>
    <row r="50" spans="1:14" x14ac:dyDescent="0.25">
      <c r="A50" s="18" t="s">
        <v>1166</v>
      </c>
      <c r="B50" s="18"/>
      <c r="C50" s="18"/>
      <c r="D50" s="18"/>
      <c r="E50" s="9" t="s">
        <v>1262</v>
      </c>
      <c r="F50" s="2" t="s">
        <v>1263</v>
      </c>
      <c r="G50" s="2" t="s">
        <v>1169</v>
      </c>
      <c r="H50" s="2" t="s">
        <v>1043</v>
      </c>
      <c r="I50" s="2" t="s">
        <v>1035</v>
      </c>
      <c r="J50" s="2"/>
      <c r="K50" s="2" t="b">
        <v>1</v>
      </c>
      <c r="L50" s="2"/>
      <c r="M50" s="2" t="b">
        <v>1</v>
      </c>
      <c r="N50" s="2" t="b">
        <v>0</v>
      </c>
    </row>
    <row r="51" spans="1:14" x14ac:dyDescent="0.25">
      <c r="A51" s="18" t="s">
        <v>1166</v>
      </c>
      <c r="B51" s="18"/>
      <c r="C51" s="18"/>
      <c r="D51" s="18"/>
      <c r="E51" s="9" t="s">
        <v>1264</v>
      </c>
      <c r="F51" s="2" t="s">
        <v>1265</v>
      </c>
      <c r="G51" s="2" t="s">
        <v>1169</v>
      </c>
      <c r="H51" s="2" t="s">
        <v>1043</v>
      </c>
      <c r="I51" s="2" t="s">
        <v>1035</v>
      </c>
      <c r="J51" s="2"/>
      <c r="K51" s="2" t="b">
        <v>1</v>
      </c>
      <c r="L51" s="2"/>
      <c r="M51" s="2" t="b">
        <v>1</v>
      </c>
      <c r="N51" s="2" t="b">
        <v>0</v>
      </c>
    </row>
    <row r="52" spans="1:14" x14ac:dyDescent="0.25">
      <c r="A52" s="18" t="s">
        <v>1166</v>
      </c>
      <c r="B52" s="18"/>
      <c r="C52" s="18"/>
      <c r="D52" s="18"/>
      <c r="E52" s="9" t="s">
        <v>1266</v>
      </c>
      <c r="F52" s="2" t="s">
        <v>1267</v>
      </c>
      <c r="G52" s="2" t="s">
        <v>1169</v>
      </c>
      <c r="H52" s="2" t="s">
        <v>1043</v>
      </c>
      <c r="I52" s="2" t="s">
        <v>1035</v>
      </c>
      <c r="J52" s="2"/>
      <c r="K52" s="2" t="b">
        <v>1</v>
      </c>
      <c r="L52" s="2"/>
      <c r="M52" s="2" t="b">
        <v>1</v>
      </c>
      <c r="N52" s="2" t="b">
        <v>0</v>
      </c>
    </row>
    <row r="53" spans="1:14" x14ac:dyDescent="0.25">
      <c r="A53" s="18" t="s">
        <v>1166</v>
      </c>
      <c r="B53" s="18"/>
      <c r="C53" s="18"/>
      <c r="D53" s="18"/>
      <c r="E53" s="9" t="s">
        <v>1268</v>
      </c>
      <c r="F53" s="2" t="s">
        <v>1269</v>
      </c>
      <c r="G53" s="2" t="s">
        <v>1169</v>
      </c>
      <c r="H53" s="2" t="s">
        <v>1043</v>
      </c>
      <c r="I53" s="2" t="s">
        <v>1035</v>
      </c>
      <c r="J53" s="2"/>
      <c r="K53" s="2" t="b">
        <v>1</v>
      </c>
      <c r="L53" s="2"/>
      <c r="M53" s="2" t="b">
        <v>1</v>
      </c>
      <c r="N53" s="2" t="b">
        <v>0</v>
      </c>
    </row>
    <row r="54" spans="1:14" x14ac:dyDescent="0.25">
      <c r="A54" s="18" t="s">
        <v>1166</v>
      </c>
      <c r="B54" s="18"/>
      <c r="C54" s="18"/>
      <c r="D54" s="18"/>
      <c r="E54" s="9" t="s">
        <v>1270</v>
      </c>
      <c r="F54" s="2" t="s">
        <v>1271</v>
      </c>
      <c r="G54" s="2" t="s">
        <v>1169</v>
      </c>
      <c r="H54" s="2" t="s">
        <v>1043</v>
      </c>
      <c r="I54" s="2" t="s">
        <v>1035</v>
      </c>
      <c r="J54" s="2"/>
      <c r="K54" s="2" t="b">
        <v>1</v>
      </c>
      <c r="L54" s="2"/>
      <c r="M54" s="2" t="b">
        <v>1</v>
      </c>
      <c r="N54" s="2" t="b">
        <v>0</v>
      </c>
    </row>
    <row r="55" spans="1:14" x14ac:dyDescent="0.25">
      <c r="A55" s="18" t="s">
        <v>1166</v>
      </c>
      <c r="B55" s="18"/>
      <c r="C55" s="18"/>
      <c r="D55" s="18"/>
      <c r="E55" s="9" t="s">
        <v>1272</v>
      </c>
      <c r="F55" s="2" t="s">
        <v>1273</v>
      </c>
      <c r="G55" s="2" t="s">
        <v>1169</v>
      </c>
      <c r="H55" s="2" t="s">
        <v>1035</v>
      </c>
      <c r="I55" s="2" t="s">
        <v>1035</v>
      </c>
      <c r="J55" s="2"/>
      <c r="K55" s="2" t="b">
        <v>1</v>
      </c>
      <c r="L55" s="2"/>
      <c r="M55" s="2" t="b">
        <v>1</v>
      </c>
      <c r="N55" s="2" t="b">
        <v>0</v>
      </c>
    </row>
    <row r="56" spans="1:14" x14ac:dyDescent="0.25">
      <c r="A56" s="18" t="s">
        <v>1166</v>
      </c>
      <c r="B56" s="18"/>
      <c r="C56" s="18"/>
      <c r="D56" s="18"/>
      <c r="E56" s="9" t="s">
        <v>1274</v>
      </c>
      <c r="F56" s="2" t="s">
        <v>1275</v>
      </c>
      <c r="G56" s="2" t="s">
        <v>1169</v>
      </c>
      <c r="H56" s="2" t="s">
        <v>1043</v>
      </c>
      <c r="I56" s="2" t="s">
        <v>1035</v>
      </c>
      <c r="J56" s="2"/>
      <c r="K56" s="2" t="b">
        <v>1</v>
      </c>
      <c r="L56" s="2"/>
      <c r="M56" s="2" t="b">
        <v>1</v>
      </c>
      <c r="N56" s="2" t="b">
        <v>0</v>
      </c>
    </row>
    <row r="57" spans="1:14" x14ac:dyDescent="0.25">
      <c r="A57" s="18" t="s">
        <v>1166</v>
      </c>
      <c r="B57" s="18"/>
      <c r="C57" s="18"/>
      <c r="D57" s="18"/>
      <c r="E57" s="9" t="s">
        <v>1276</v>
      </c>
      <c r="F57" s="2" t="s">
        <v>1277</v>
      </c>
      <c r="G57" s="2" t="s">
        <v>1169</v>
      </c>
      <c r="H57" s="2" t="s">
        <v>1043</v>
      </c>
      <c r="I57" s="2" t="s">
        <v>1035</v>
      </c>
      <c r="J57" s="2"/>
      <c r="K57" s="2" t="b">
        <v>1</v>
      </c>
      <c r="L57" s="2"/>
      <c r="M57" s="2" t="b">
        <v>1</v>
      </c>
      <c r="N57" s="2" t="b">
        <v>0</v>
      </c>
    </row>
    <row r="58" spans="1:14" x14ac:dyDescent="0.25">
      <c r="A58" s="18" t="s">
        <v>1166</v>
      </c>
      <c r="B58" s="18"/>
      <c r="C58" s="18"/>
      <c r="D58" s="18"/>
      <c r="E58" s="9" t="s">
        <v>1278</v>
      </c>
      <c r="F58" s="2" t="s">
        <v>1279</v>
      </c>
      <c r="G58" s="2" t="s">
        <v>1169</v>
      </c>
      <c r="H58" s="2" t="s">
        <v>1043</v>
      </c>
      <c r="I58" s="2" t="s">
        <v>1035</v>
      </c>
      <c r="J58" s="2"/>
      <c r="K58" s="2" t="b">
        <v>1</v>
      </c>
      <c r="L58" s="2"/>
      <c r="M58" s="2" t="b">
        <v>1</v>
      </c>
      <c r="N58" s="2" t="b">
        <v>0</v>
      </c>
    </row>
    <row r="59" spans="1:14" x14ac:dyDescent="0.25">
      <c r="A59" s="18" t="s">
        <v>1166</v>
      </c>
      <c r="B59" s="18"/>
      <c r="C59" s="18"/>
      <c r="D59" s="18"/>
      <c r="E59" s="9" t="s">
        <v>1280</v>
      </c>
      <c r="F59" s="2" t="s">
        <v>1281</v>
      </c>
      <c r="G59" s="2" t="s">
        <v>1169</v>
      </c>
      <c r="H59" s="2" t="s">
        <v>1043</v>
      </c>
      <c r="I59" s="2" t="s">
        <v>1035</v>
      </c>
      <c r="J59" s="2"/>
      <c r="K59" s="2" t="b">
        <v>1</v>
      </c>
      <c r="L59" s="2"/>
      <c r="M59" s="2" t="b">
        <v>1</v>
      </c>
      <c r="N59" s="2" t="b">
        <v>0</v>
      </c>
    </row>
    <row r="60" spans="1:14" x14ac:dyDescent="0.25">
      <c r="A60" s="18" t="s">
        <v>1166</v>
      </c>
      <c r="B60" s="18"/>
      <c r="C60" s="18"/>
      <c r="D60" s="18"/>
      <c r="E60" s="9" t="s">
        <v>1282</v>
      </c>
      <c r="F60" s="2" t="s">
        <v>1283</v>
      </c>
      <c r="G60" s="2" t="s">
        <v>1169</v>
      </c>
      <c r="H60" s="2" t="s">
        <v>1061</v>
      </c>
      <c r="I60" s="2" t="s">
        <v>1035</v>
      </c>
      <c r="J60" s="2"/>
      <c r="K60" s="2" t="b">
        <v>1</v>
      </c>
      <c r="L60" s="2"/>
      <c r="M60" s="2" t="b">
        <v>1</v>
      </c>
      <c r="N60" s="2" t="b">
        <v>0</v>
      </c>
    </row>
    <row r="61" spans="1:14" x14ac:dyDescent="0.25">
      <c r="A61" s="18" t="s">
        <v>1166</v>
      </c>
      <c r="B61" s="18"/>
      <c r="C61" s="18"/>
      <c r="D61" s="18"/>
      <c r="E61" s="9" t="s">
        <v>1284</v>
      </c>
      <c r="F61" s="2" t="s">
        <v>1285</v>
      </c>
      <c r="G61" s="2" t="s">
        <v>1169</v>
      </c>
      <c r="H61" s="2" t="s">
        <v>1061</v>
      </c>
      <c r="I61" s="2" t="s">
        <v>1035</v>
      </c>
      <c r="J61" s="2"/>
      <c r="K61" s="2" t="b">
        <v>1</v>
      </c>
      <c r="L61" s="2"/>
      <c r="M61" s="2" t="b">
        <v>1</v>
      </c>
      <c r="N61" s="2" t="b">
        <v>0</v>
      </c>
    </row>
    <row r="62" spans="1:14" x14ac:dyDescent="0.25">
      <c r="A62" s="18" t="s">
        <v>1166</v>
      </c>
      <c r="B62" s="18"/>
      <c r="C62" s="18"/>
      <c r="D62" s="18"/>
      <c r="E62" s="9" t="s">
        <v>1286</v>
      </c>
      <c r="F62" s="2" t="s">
        <v>1287</v>
      </c>
      <c r="G62" s="2" t="s">
        <v>1169</v>
      </c>
      <c r="H62" s="2" t="s">
        <v>1061</v>
      </c>
      <c r="I62" s="2" t="s">
        <v>1035</v>
      </c>
      <c r="J62" s="2"/>
      <c r="K62" s="2" t="b">
        <v>1</v>
      </c>
      <c r="L62" s="2"/>
      <c r="M62" s="2" t="b">
        <v>1</v>
      </c>
      <c r="N62" s="2" t="b">
        <v>0</v>
      </c>
    </row>
    <row r="63" spans="1:14" x14ac:dyDescent="0.25">
      <c r="A63" s="18" t="s">
        <v>1166</v>
      </c>
      <c r="B63" s="18"/>
      <c r="C63" s="18"/>
      <c r="D63" s="18"/>
      <c r="E63" s="9" t="s">
        <v>1288</v>
      </c>
      <c r="F63" s="2" t="s">
        <v>1289</v>
      </c>
      <c r="G63" s="2" t="s">
        <v>1169</v>
      </c>
      <c r="H63" s="2" t="s">
        <v>1061</v>
      </c>
      <c r="I63" s="2" t="s">
        <v>1035</v>
      </c>
      <c r="J63" s="2"/>
      <c r="K63" s="2" t="b">
        <v>1</v>
      </c>
      <c r="L63" s="2"/>
      <c r="M63" s="2" t="b">
        <v>1</v>
      </c>
      <c r="N63" s="2" t="b">
        <v>0</v>
      </c>
    </row>
    <row r="64" spans="1:14" x14ac:dyDescent="0.25">
      <c r="A64" s="18" t="s">
        <v>1166</v>
      </c>
      <c r="B64" s="18"/>
      <c r="C64" s="18"/>
      <c r="D64" s="18"/>
      <c r="E64" s="9" t="s">
        <v>1290</v>
      </c>
      <c r="F64" s="2" t="s">
        <v>1291</v>
      </c>
      <c r="G64" s="2" t="s">
        <v>1169</v>
      </c>
      <c r="H64" s="2" t="s">
        <v>1061</v>
      </c>
      <c r="I64" s="2" t="s">
        <v>1035</v>
      </c>
      <c r="J64" s="2"/>
      <c r="K64" s="2" t="b">
        <v>1</v>
      </c>
      <c r="L64" s="2"/>
      <c r="M64" s="2" t="b">
        <v>1</v>
      </c>
      <c r="N64" s="2" t="b">
        <v>0</v>
      </c>
    </row>
    <row r="65" spans="1:14" x14ac:dyDescent="0.25">
      <c r="A65" s="18" t="s">
        <v>1166</v>
      </c>
      <c r="B65" s="18"/>
      <c r="C65" s="18"/>
      <c r="D65" s="18"/>
      <c r="E65" s="9" t="s">
        <v>1292</v>
      </c>
      <c r="F65" s="2" t="s">
        <v>1293</v>
      </c>
      <c r="G65" s="2" t="s">
        <v>1169</v>
      </c>
      <c r="H65" s="2" t="s">
        <v>1061</v>
      </c>
      <c r="I65" s="2" t="s">
        <v>1035</v>
      </c>
      <c r="J65" s="2"/>
      <c r="K65" s="2" t="b">
        <v>1</v>
      </c>
      <c r="L65" s="2"/>
      <c r="M65" s="2" t="b">
        <v>1</v>
      </c>
      <c r="N65" s="2" t="b">
        <v>0</v>
      </c>
    </row>
    <row r="66" spans="1:14" x14ac:dyDescent="0.25">
      <c r="A66" s="18" t="s">
        <v>1166</v>
      </c>
      <c r="B66" s="18"/>
      <c r="C66" s="18"/>
      <c r="D66" s="18"/>
      <c r="E66" s="9" t="s">
        <v>1294</v>
      </c>
      <c r="F66" s="2" t="s">
        <v>1295</v>
      </c>
      <c r="G66" s="2" t="s">
        <v>1169</v>
      </c>
      <c r="H66" s="2" t="s">
        <v>1035</v>
      </c>
      <c r="I66" s="2" t="s">
        <v>1035</v>
      </c>
      <c r="J66" s="2"/>
      <c r="K66" s="2" t="b">
        <v>1</v>
      </c>
      <c r="L66" s="2"/>
      <c r="M66" s="2" t="b">
        <v>1</v>
      </c>
      <c r="N66" s="2" t="b">
        <v>0</v>
      </c>
    </row>
    <row r="67" spans="1:14" x14ac:dyDescent="0.25">
      <c r="A67" s="18" t="s">
        <v>1166</v>
      </c>
      <c r="B67" s="18"/>
      <c r="C67" s="18"/>
      <c r="D67" s="18"/>
      <c r="E67" s="9" t="s">
        <v>1296</v>
      </c>
      <c r="F67" s="2" t="s">
        <v>1297</v>
      </c>
      <c r="G67" s="2" t="s">
        <v>1169</v>
      </c>
      <c r="H67" s="2" t="s">
        <v>1061</v>
      </c>
      <c r="I67" s="2" t="s">
        <v>1035</v>
      </c>
      <c r="J67" s="2"/>
      <c r="K67" s="2" t="b">
        <v>1</v>
      </c>
      <c r="L67" s="2"/>
      <c r="M67" s="2" t="b">
        <v>1</v>
      </c>
      <c r="N67" s="2" t="b">
        <v>0</v>
      </c>
    </row>
    <row r="68" spans="1:14" x14ac:dyDescent="0.25">
      <c r="A68" s="18" t="s">
        <v>1166</v>
      </c>
      <c r="B68" s="18"/>
      <c r="C68" s="18"/>
      <c r="D68" s="18"/>
      <c r="E68" s="9" t="s">
        <v>1298</v>
      </c>
      <c r="F68" s="2" t="s">
        <v>1299</v>
      </c>
      <c r="G68" s="2" t="s">
        <v>1169</v>
      </c>
      <c r="H68" s="2" t="s">
        <v>1061</v>
      </c>
      <c r="I68" s="2" t="s">
        <v>1035</v>
      </c>
      <c r="J68" s="2"/>
      <c r="K68" s="2" t="b">
        <v>1</v>
      </c>
      <c r="L68" s="2"/>
      <c r="M68" s="2" t="b">
        <v>1</v>
      </c>
      <c r="N68" s="2" t="b">
        <v>0</v>
      </c>
    </row>
    <row r="69" spans="1:14" x14ac:dyDescent="0.25">
      <c r="A69" s="18" t="s">
        <v>1166</v>
      </c>
      <c r="B69" s="18"/>
      <c r="C69" s="18"/>
      <c r="D69" s="18"/>
      <c r="E69" s="9" t="s">
        <v>1300</v>
      </c>
      <c r="F69" s="2" t="s">
        <v>1301</v>
      </c>
      <c r="G69" s="2" t="s">
        <v>1169</v>
      </c>
      <c r="H69" s="2" t="s">
        <v>1061</v>
      </c>
      <c r="I69" s="2" t="s">
        <v>1035</v>
      </c>
      <c r="J69" s="2"/>
      <c r="K69" s="2" t="b">
        <v>1</v>
      </c>
      <c r="L69" s="2"/>
      <c r="M69" s="2" t="b">
        <v>1</v>
      </c>
      <c r="N69" s="2" t="b">
        <v>0</v>
      </c>
    </row>
    <row r="70" spans="1:14" x14ac:dyDescent="0.25">
      <c r="A70" s="18" t="s">
        <v>1166</v>
      </c>
      <c r="B70" s="18"/>
      <c r="C70" s="18"/>
      <c r="D70" s="18"/>
      <c r="E70" s="9" t="s">
        <v>1302</v>
      </c>
      <c r="F70" s="2" t="s">
        <v>1303</v>
      </c>
      <c r="G70" s="2" t="s">
        <v>1169</v>
      </c>
      <c r="H70" s="2" t="s">
        <v>1061</v>
      </c>
      <c r="I70" s="2" t="s">
        <v>1035</v>
      </c>
      <c r="J70" s="2"/>
      <c r="K70" s="2" t="b">
        <v>1</v>
      </c>
      <c r="L70" s="2"/>
      <c r="M70" s="2" t="b">
        <v>1</v>
      </c>
      <c r="N70" s="2" t="b">
        <v>0</v>
      </c>
    </row>
    <row r="71" spans="1:14" x14ac:dyDescent="0.25">
      <c r="A71" s="18" t="s">
        <v>1166</v>
      </c>
      <c r="B71" s="18"/>
      <c r="C71" s="18"/>
      <c r="D71" s="18"/>
      <c r="E71" s="9" t="s">
        <v>1304</v>
      </c>
      <c r="F71" s="2" t="s">
        <v>1305</v>
      </c>
      <c r="G71" s="2" t="s">
        <v>1169</v>
      </c>
      <c r="H71" s="2" t="s">
        <v>1061</v>
      </c>
      <c r="I71" s="2" t="s">
        <v>1035</v>
      </c>
      <c r="J71" s="2"/>
      <c r="K71" s="2" t="b">
        <v>1</v>
      </c>
      <c r="L71" s="2"/>
      <c r="M71" s="2" t="b">
        <v>1</v>
      </c>
      <c r="N71" s="2" t="b">
        <v>0</v>
      </c>
    </row>
    <row r="72" spans="1:14" x14ac:dyDescent="0.25">
      <c r="A72" s="18" t="s">
        <v>1166</v>
      </c>
      <c r="B72" s="18"/>
      <c r="C72" s="18"/>
      <c r="D72" s="18"/>
      <c r="E72" s="9" t="s">
        <v>1306</v>
      </c>
      <c r="F72" s="2" t="s">
        <v>1307</v>
      </c>
      <c r="G72" s="2" t="s">
        <v>1169</v>
      </c>
      <c r="H72" s="2" t="s">
        <v>1061</v>
      </c>
      <c r="I72" s="2" t="s">
        <v>1035</v>
      </c>
      <c r="J72" s="2"/>
      <c r="K72" s="2" t="b">
        <v>1</v>
      </c>
      <c r="L72" s="2"/>
      <c r="M72" s="2" t="b">
        <v>1</v>
      </c>
      <c r="N72" s="2" t="b">
        <v>0</v>
      </c>
    </row>
    <row r="73" spans="1:14" x14ac:dyDescent="0.25">
      <c r="A73" s="18" t="s">
        <v>1166</v>
      </c>
      <c r="B73" s="18"/>
      <c r="C73" s="18"/>
      <c r="D73" s="18"/>
      <c r="E73" s="9" t="s">
        <v>1308</v>
      </c>
      <c r="F73" s="2" t="s">
        <v>1309</v>
      </c>
      <c r="G73" s="2" t="s">
        <v>1169</v>
      </c>
      <c r="H73" s="2" t="s">
        <v>1059</v>
      </c>
      <c r="I73" s="2" t="s">
        <v>1035</v>
      </c>
      <c r="J73" s="2"/>
      <c r="K73" s="2" t="b">
        <v>1</v>
      </c>
      <c r="L73" s="2"/>
      <c r="M73" s="2" t="b">
        <v>1</v>
      </c>
      <c r="N73" s="2" t="b">
        <v>0</v>
      </c>
    </row>
    <row r="74" spans="1:14" x14ac:dyDescent="0.25">
      <c r="A74" s="18" t="s">
        <v>1166</v>
      </c>
      <c r="B74" s="18"/>
      <c r="C74" s="18"/>
      <c r="D74" s="18"/>
      <c r="E74" s="9" t="s">
        <v>1310</v>
      </c>
      <c r="F74" s="2" t="s">
        <v>1311</v>
      </c>
      <c r="G74" s="2" t="s">
        <v>1169</v>
      </c>
      <c r="H74" s="2" t="s">
        <v>1061</v>
      </c>
      <c r="I74" s="2" t="s">
        <v>1035</v>
      </c>
      <c r="J74" s="2"/>
      <c r="K74" s="2" t="b">
        <v>1</v>
      </c>
      <c r="L74" s="2"/>
      <c r="M74" s="2" t="b">
        <v>1</v>
      </c>
      <c r="N74" s="2" t="b">
        <v>0</v>
      </c>
    </row>
    <row r="75" spans="1:14" x14ac:dyDescent="0.25">
      <c r="A75" s="18" t="s">
        <v>1166</v>
      </c>
      <c r="B75" s="18"/>
      <c r="C75" s="18"/>
      <c r="D75" s="18"/>
      <c r="E75" s="9" t="s">
        <v>1312</v>
      </c>
      <c r="F75" s="2" t="s">
        <v>1313</v>
      </c>
      <c r="G75" s="2" t="s">
        <v>1169</v>
      </c>
      <c r="H75" s="2" t="s">
        <v>1061</v>
      </c>
      <c r="I75" s="2" t="s">
        <v>1035</v>
      </c>
      <c r="J75" s="2"/>
      <c r="K75" s="2" t="b">
        <v>1</v>
      </c>
      <c r="L75" s="2"/>
      <c r="M75" s="2" t="b">
        <v>1</v>
      </c>
      <c r="N75" s="2" t="b">
        <v>0</v>
      </c>
    </row>
    <row r="76" spans="1:14" x14ac:dyDescent="0.25">
      <c r="A76" s="18" t="s">
        <v>1166</v>
      </c>
      <c r="B76" s="18"/>
      <c r="C76" s="18"/>
      <c r="D76" s="18"/>
      <c r="E76" s="9" t="s">
        <v>1314</v>
      </c>
      <c r="F76" s="2" t="s">
        <v>1315</v>
      </c>
      <c r="G76" s="2" t="s">
        <v>1169</v>
      </c>
      <c r="H76" s="2" t="s">
        <v>1061</v>
      </c>
      <c r="I76" s="2" t="s">
        <v>1035</v>
      </c>
      <c r="J76" s="2"/>
      <c r="K76" s="2" t="b">
        <v>1</v>
      </c>
      <c r="L76" s="2"/>
      <c r="M76" s="2" t="b">
        <v>1</v>
      </c>
      <c r="N76" s="2" t="b">
        <v>0</v>
      </c>
    </row>
    <row r="77" spans="1:14" x14ac:dyDescent="0.25">
      <c r="A77" s="18" t="s">
        <v>1166</v>
      </c>
      <c r="B77" s="18"/>
      <c r="C77" s="18"/>
      <c r="D77" s="18"/>
      <c r="E77" s="9" t="s">
        <v>1316</v>
      </c>
      <c r="F77" s="2" t="s">
        <v>1317</v>
      </c>
      <c r="G77" s="2" t="s">
        <v>1169</v>
      </c>
      <c r="H77" s="2" t="s">
        <v>1061</v>
      </c>
      <c r="I77" s="2" t="s">
        <v>1035</v>
      </c>
      <c r="J77" s="2"/>
      <c r="K77" s="2" t="b">
        <v>1</v>
      </c>
      <c r="L77" s="2"/>
      <c r="M77" s="2" t="b">
        <v>1</v>
      </c>
      <c r="N77" s="2" t="b">
        <v>0</v>
      </c>
    </row>
    <row r="78" spans="1:14" x14ac:dyDescent="0.25">
      <c r="A78" s="18" t="s">
        <v>1166</v>
      </c>
      <c r="B78" s="18"/>
      <c r="C78" s="18"/>
      <c r="D78" s="18"/>
      <c r="E78" s="9" t="s">
        <v>1318</v>
      </c>
      <c r="F78" s="2" t="s">
        <v>1319</v>
      </c>
      <c r="G78" s="2" t="s">
        <v>1169</v>
      </c>
      <c r="H78" s="2" t="s">
        <v>1061</v>
      </c>
      <c r="I78" s="2" t="s">
        <v>1035</v>
      </c>
      <c r="J78" s="2"/>
      <c r="K78" s="2" t="b">
        <v>1</v>
      </c>
      <c r="L78" s="2"/>
      <c r="M78" s="2" t="b">
        <v>1</v>
      </c>
      <c r="N78" s="2" t="b">
        <v>0</v>
      </c>
    </row>
    <row r="79" spans="1:14" x14ac:dyDescent="0.25">
      <c r="A79" s="18" t="s">
        <v>1166</v>
      </c>
      <c r="B79" s="18"/>
      <c r="C79" s="18"/>
      <c r="D79" s="18"/>
      <c r="E79" s="9" t="s">
        <v>1320</v>
      </c>
      <c r="F79" s="2" t="s">
        <v>1321</v>
      </c>
      <c r="G79" s="2" t="s">
        <v>1169</v>
      </c>
      <c r="H79" s="2" t="s">
        <v>1061</v>
      </c>
      <c r="I79" s="2" t="s">
        <v>1035</v>
      </c>
      <c r="J79" s="2"/>
      <c r="K79" s="2" t="b">
        <v>1</v>
      </c>
      <c r="L79" s="2"/>
      <c r="M79" s="2" t="b">
        <v>1</v>
      </c>
      <c r="N79" s="2" t="b">
        <v>0</v>
      </c>
    </row>
    <row r="80" spans="1:14" x14ac:dyDescent="0.25">
      <c r="A80" s="18" t="s">
        <v>1166</v>
      </c>
      <c r="B80" s="18"/>
      <c r="C80" s="18"/>
      <c r="D80" s="18"/>
      <c r="E80" s="9" t="s">
        <v>1322</v>
      </c>
      <c r="F80" s="2" t="s">
        <v>1060</v>
      </c>
      <c r="G80" s="2" t="s">
        <v>1169</v>
      </c>
      <c r="H80" s="2" t="s">
        <v>1059</v>
      </c>
      <c r="I80" s="2" t="s">
        <v>1035</v>
      </c>
      <c r="J80" s="2"/>
      <c r="K80" s="2" t="b">
        <v>1</v>
      </c>
      <c r="L80" s="2"/>
      <c r="M80" s="2" t="b">
        <v>1</v>
      </c>
      <c r="N80" s="2" t="b">
        <v>0</v>
      </c>
    </row>
    <row r="81" spans="1:14" x14ac:dyDescent="0.25">
      <c r="A81" s="18" t="s">
        <v>1166</v>
      </c>
      <c r="B81" s="18"/>
      <c r="C81" s="18"/>
      <c r="D81" s="18"/>
      <c r="E81" s="9" t="s">
        <v>1323</v>
      </c>
      <c r="F81" s="2" t="s">
        <v>1324</v>
      </c>
      <c r="G81" s="2" t="s">
        <v>1169</v>
      </c>
      <c r="H81" s="2" t="s">
        <v>1061</v>
      </c>
      <c r="I81" s="2" t="s">
        <v>1035</v>
      </c>
      <c r="J81" s="2"/>
      <c r="K81" s="2" t="b">
        <v>1</v>
      </c>
      <c r="L81" s="2"/>
      <c r="M81" s="2" t="b">
        <v>1</v>
      </c>
      <c r="N81" s="2" t="b">
        <v>0</v>
      </c>
    </row>
    <row r="82" spans="1:14" x14ac:dyDescent="0.25">
      <c r="A82" s="18" t="s">
        <v>1166</v>
      </c>
      <c r="B82" s="18"/>
      <c r="C82" s="18"/>
      <c r="D82" s="18"/>
      <c r="E82" s="9" t="s">
        <v>1325</v>
      </c>
      <c r="F82" s="2" t="s">
        <v>1326</v>
      </c>
      <c r="G82" s="2" t="s">
        <v>1169</v>
      </c>
      <c r="H82" s="2" t="s">
        <v>1043</v>
      </c>
      <c r="I82" s="2" t="s">
        <v>1035</v>
      </c>
      <c r="J82" s="2"/>
      <c r="K82" s="2" t="b">
        <v>1</v>
      </c>
      <c r="L82" s="2"/>
      <c r="M82" s="2" t="b">
        <v>1</v>
      </c>
      <c r="N82" s="2" t="b">
        <v>0</v>
      </c>
    </row>
    <row r="83" spans="1:14" x14ac:dyDescent="0.25">
      <c r="A83" s="18" t="s">
        <v>1166</v>
      </c>
      <c r="B83" s="18"/>
      <c r="C83" s="18"/>
      <c r="D83" s="18"/>
      <c r="E83" s="9" t="s">
        <v>1327</v>
      </c>
      <c r="F83" s="2" t="s">
        <v>1328</v>
      </c>
      <c r="G83" s="2" t="s">
        <v>1169</v>
      </c>
      <c r="H83" s="2" t="s">
        <v>1043</v>
      </c>
      <c r="I83" s="2" t="s">
        <v>1035</v>
      </c>
      <c r="J83" s="2"/>
      <c r="K83" s="2" t="b">
        <v>1</v>
      </c>
      <c r="L83" s="2"/>
      <c r="M83" s="2" t="b">
        <v>1</v>
      </c>
      <c r="N83" s="2" t="b">
        <v>0</v>
      </c>
    </row>
    <row r="84" spans="1:14" x14ac:dyDescent="0.25">
      <c r="A84" s="18" t="s">
        <v>1166</v>
      </c>
      <c r="B84" s="18"/>
      <c r="C84" s="18"/>
      <c r="D84" s="18"/>
      <c r="E84" s="9" t="s">
        <v>1329</v>
      </c>
      <c r="F84" s="2" t="s">
        <v>1330</v>
      </c>
      <c r="G84" s="2" t="s">
        <v>1169</v>
      </c>
      <c r="H84" s="2" t="s">
        <v>1041</v>
      </c>
      <c r="I84" s="2" t="s">
        <v>1035</v>
      </c>
      <c r="J84" s="2"/>
      <c r="K84" s="2" t="b">
        <v>1</v>
      </c>
      <c r="L84" s="2"/>
      <c r="M84" s="2" t="b">
        <v>1</v>
      </c>
      <c r="N84" s="2" t="b">
        <v>0</v>
      </c>
    </row>
    <row r="85" spans="1:14" x14ac:dyDescent="0.25">
      <c r="A85" s="18" t="s">
        <v>1166</v>
      </c>
      <c r="B85" s="18"/>
      <c r="C85" s="18"/>
      <c r="D85" s="18"/>
      <c r="E85" s="9" t="s">
        <v>1331</v>
      </c>
      <c r="F85" s="2" t="s">
        <v>1332</v>
      </c>
      <c r="G85" s="2" t="s">
        <v>1169</v>
      </c>
      <c r="H85" s="2" t="s">
        <v>1043</v>
      </c>
      <c r="I85" s="2" t="s">
        <v>1035</v>
      </c>
      <c r="J85" s="2"/>
      <c r="K85" s="2" t="b">
        <v>1</v>
      </c>
      <c r="L85" s="2"/>
      <c r="M85" s="2" t="b">
        <v>1</v>
      </c>
      <c r="N85" s="2" t="b">
        <v>0</v>
      </c>
    </row>
    <row r="86" spans="1:14" x14ac:dyDescent="0.25">
      <c r="A86" s="18" t="s">
        <v>1166</v>
      </c>
      <c r="B86" s="18"/>
      <c r="C86" s="18"/>
      <c r="D86" s="18"/>
      <c r="E86" s="9" t="s">
        <v>1333</v>
      </c>
      <c r="F86" s="2" t="s">
        <v>1334</v>
      </c>
      <c r="G86" s="2" t="s">
        <v>1169</v>
      </c>
      <c r="H86" s="2" t="s">
        <v>1043</v>
      </c>
      <c r="I86" s="2" t="s">
        <v>1035</v>
      </c>
      <c r="J86" s="2"/>
      <c r="K86" s="2" t="b">
        <v>1</v>
      </c>
      <c r="L86" s="2"/>
      <c r="M86" s="2" t="b">
        <v>1</v>
      </c>
      <c r="N86" s="2" t="b">
        <v>0</v>
      </c>
    </row>
    <row r="87" spans="1:14" x14ac:dyDescent="0.25">
      <c r="A87" s="18" t="s">
        <v>1166</v>
      </c>
      <c r="B87" s="18"/>
      <c r="C87" s="18"/>
      <c r="D87" s="18"/>
      <c r="E87" s="9" t="s">
        <v>1335</v>
      </c>
      <c r="F87" s="2" t="s">
        <v>1336</v>
      </c>
      <c r="G87" s="2" t="s">
        <v>1169</v>
      </c>
      <c r="H87" s="2" t="s">
        <v>1043</v>
      </c>
      <c r="I87" s="2" t="s">
        <v>1035</v>
      </c>
      <c r="J87" s="2"/>
      <c r="K87" s="2" t="b">
        <v>1</v>
      </c>
      <c r="L87" s="2"/>
      <c r="M87" s="2" t="b">
        <v>1</v>
      </c>
      <c r="N87" s="2" t="b">
        <v>0</v>
      </c>
    </row>
    <row r="88" spans="1:14" x14ac:dyDescent="0.25">
      <c r="A88" s="18" t="s">
        <v>1166</v>
      </c>
      <c r="B88" s="18"/>
      <c r="C88" s="18"/>
      <c r="D88" s="18"/>
      <c r="E88" s="9" t="s">
        <v>1337</v>
      </c>
      <c r="F88" s="2" t="s">
        <v>1338</v>
      </c>
      <c r="G88" s="2" t="s">
        <v>1169</v>
      </c>
      <c r="H88" s="2" t="s">
        <v>1043</v>
      </c>
      <c r="I88" s="2" t="s">
        <v>1035</v>
      </c>
      <c r="J88" s="2"/>
      <c r="K88" s="2" t="b">
        <v>1</v>
      </c>
      <c r="L88" s="2"/>
      <c r="M88" s="2" t="b">
        <v>1</v>
      </c>
      <c r="N88" s="2" t="b">
        <v>0</v>
      </c>
    </row>
    <row r="89" spans="1:14" x14ac:dyDescent="0.25">
      <c r="A89" s="18" t="s">
        <v>1166</v>
      </c>
      <c r="B89" s="18"/>
      <c r="C89" s="18"/>
      <c r="D89" s="18"/>
      <c r="E89" s="9" t="s">
        <v>1339</v>
      </c>
      <c r="F89" s="2" t="s">
        <v>1340</v>
      </c>
      <c r="G89" s="2" t="s">
        <v>1169</v>
      </c>
      <c r="H89" s="2" t="s">
        <v>1043</v>
      </c>
      <c r="I89" s="2" t="s">
        <v>1035</v>
      </c>
      <c r="J89" s="2"/>
      <c r="K89" s="2" t="b">
        <v>1</v>
      </c>
      <c r="L89" s="2"/>
      <c r="M89" s="2" t="b">
        <v>1</v>
      </c>
      <c r="N89" s="2" t="b">
        <v>0</v>
      </c>
    </row>
    <row r="90" spans="1:14" x14ac:dyDescent="0.25">
      <c r="A90" s="18" t="s">
        <v>1166</v>
      </c>
      <c r="B90" s="18"/>
      <c r="C90" s="18"/>
      <c r="D90" s="18"/>
      <c r="E90" s="9" t="s">
        <v>1341</v>
      </c>
      <c r="F90" s="2" t="s">
        <v>1342</v>
      </c>
      <c r="G90" s="2" t="s">
        <v>1169</v>
      </c>
      <c r="H90" s="2" t="s">
        <v>1043</v>
      </c>
      <c r="I90" s="2" t="s">
        <v>1035</v>
      </c>
      <c r="J90" s="2"/>
      <c r="K90" s="2" t="b">
        <v>1</v>
      </c>
      <c r="L90" s="2"/>
      <c r="M90" s="2" t="b">
        <v>1</v>
      </c>
      <c r="N90" s="2" t="b">
        <v>0</v>
      </c>
    </row>
    <row r="91" spans="1:14" x14ac:dyDescent="0.25">
      <c r="A91" s="18" t="s">
        <v>1166</v>
      </c>
      <c r="B91" s="18"/>
      <c r="C91" s="18"/>
      <c r="D91" s="18"/>
      <c r="E91" s="9" t="s">
        <v>1343</v>
      </c>
      <c r="F91" s="2" t="s">
        <v>1042</v>
      </c>
      <c r="G91" s="2" t="s">
        <v>1169</v>
      </c>
      <c r="H91" s="2" t="s">
        <v>1041</v>
      </c>
      <c r="I91" s="2" t="s">
        <v>1035</v>
      </c>
      <c r="J91" s="2"/>
      <c r="K91" s="2" t="b">
        <v>1</v>
      </c>
      <c r="L91" s="2"/>
      <c r="M91" s="2" t="b">
        <v>1</v>
      </c>
      <c r="N91" s="2" t="b">
        <v>0</v>
      </c>
    </row>
    <row r="92" spans="1:14" x14ac:dyDescent="0.25">
      <c r="A92" s="18" t="s">
        <v>1166</v>
      </c>
      <c r="B92" s="18"/>
      <c r="C92" s="18"/>
      <c r="D92" s="18"/>
      <c r="E92" s="9" t="s">
        <v>1344</v>
      </c>
      <c r="F92" s="2" t="s">
        <v>1345</v>
      </c>
      <c r="G92" s="2" t="s">
        <v>1169</v>
      </c>
      <c r="H92" s="2" t="s">
        <v>1043</v>
      </c>
      <c r="I92" s="2" t="s">
        <v>1035</v>
      </c>
      <c r="J92" s="2"/>
      <c r="K92" s="2" t="b">
        <v>1</v>
      </c>
      <c r="L92" s="2"/>
      <c r="M92" s="2" t="b">
        <v>1</v>
      </c>
      <c r="N92" s="2" t="b">
        <v>0</v>
      </c>
    </row>
  </sheetData>
  <dataConsolidate/>
  <phoneticPr fontId="2" type="noConversion"/>
  <conditionalFormatting sqref="E1:E1048576">
    <cfRule type="duplicateValues" dxfId="30" priority="1"/>
  </conditionalFormatting>
  <pageMargins left="0.7" right="0.7" top="0.75" bottom="0.75" header="0.3" footer="0.3"/>
  <pageSetup paperSize="9" orientation="portrait"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512474DE-F560-4A5D-A6EE-D73C8434E73D}">
          <x14:formula1>
            <xm:f>Validation!$A$10:$A$14</xm:f>
          </x14:formula1>
          <xm:sqref>C2:C92</xm:sqref>
        </x14:dataValidation>
        <x14:dataValidation type="list" allowBlank="1" showInputMessage="1" showErrorMessage="1" xr:uid="{A65DC4CD-62FF-4762-A2AE-1D4827025C59}">
          <x14:formula1>
            <xm:f>'CustGroup'!#REF!</xm:f>
          </x14:formula1>
          <xm:sqref>I2:I92</xm:sqref>
        </x14:dataValidation>
        <x14:dataValidation type="list" allowBlank="1" showInputMessage="1" showErrorMessage="1" xr:uid="{464DE130-5D75-48A1-83C3-FA141E1437D4}">
          <x14:formula1>
            <xm:f>Validation!$G$2:$G$3</xm:f>
          </x14:formula1>
          <xm:sqref>K2:K92 M2:M92</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5E907E-19B7-4E1A-9F7F-D7EA3BC14B79}">
  <sheetPr codeName="Sheet16">
    <tabColor theme="4" tint="0.79998168889431442"/>
  </sheetPr>
  <dimension ref="A1:Z92"/>
  <sheetViews>
    <sheetView topLeftCell="O1" workbookViewId="0">
      <pane ySplit="1" topLeftCell="A2" activePane="bottomLeft" state="frozen"/>
      <selection pane="bottomLeft" activeCell="Q23" sqref="Q23"/>
    </sheetView>
  </sheetViews>
  <sheetFormatPr defaultRowHeight="15" outlineLevelCol="1" x14ac:dyDescent="0.25"/>
  <cols>
    <col min="1" max="1" width="13.85546875" hidden="1" customWidth="1" outlineLevel="1"/>
    <col min="2" max="2" width="21" hidden="1" customWidth="1" outlineLevel="1"/>
    <col min="3" max="3" width="13.85546875" hidden="1" customWidth="1" outlineLevel="1"/>
    <col min="4" max="4" width="15.5703125" hidden="1" customWidth="1" outlineLevel="1"/>
    <col min="5" max="5" width="11.28515625" hidden="1" customWidth="1" outlineLevel="1"/>
    <col min="6" max="6" width="11" hidden="1" customWidth="1" outlineLevel="1"/>
    <col min="7" max="8" width="12" hidden="1" customWidth="1" outlineLevel="1"/>
    <col min="9" max="11" width="20" hidden="1" customWidth="1" outlineLevel="1"/>
    <col min="12" max="14" width="19" hidden="1" customWidth="1" outlineLevel="1"/>
    <col min="15" max="15" width="16.7109375" bestFit="1" customWidth="1" collapsed="1"/>
    <col min="16" max="16" width="24.42578125" bestFit="1" customWidth="1"/>
    <col min="17" max="17" width="51.85546875" bestFit="1" customWidth="1"/>
    <col min="18" max="18" width="24" bestFit="1" customWidth="1"/>
    <col min="19" max="19" width="16.28515625" bestFit="1" customWidth="1"/>
    <col min="20" max="20" width="18.42578125" bestFit="1" customWidth="1"/>
    <col min="21" max="21" width="13.85546875" bestFit="1" customWidth="1"/>
    <col min="22" max="22" width="23.140625" bestFit="1" customWidth="1"/>
    <col min="23" max="23" width="14.5703125" bestFit="1" customWidth="1"/>
    <col min="24" max="24" width="22.140625" bestFit="1" customWidth="1"/>
    <col min="25" max="25" width="20.140625" bestFit="1" customWidth="1"/>
    <col min="26" max="26" width="22.140625" bestFit="1" customWidth="1"/>
    <col min="27" max="27" width="38.5703125" customWidth="1"/>
    <col min="28" max="28" width="15.5703125" bestFit="1" customWidth="1"/>
    <col min="29" max="29" width="23.28515625" bestFit="1" customWidth="1"/>
    <col min="30" max="30" width="16.5703125" bestFit="1" customWidth="1"/>
    <col min="31" max="31" width="17.85546875" bestFit="1" customWidth="1"/>
    <col min="32" max="32" width="26.5703125" bestFit="1" customWidth="1"/>
    <col min="33" max="33" width="22.28515625" bestFit="1" customWidth="1"/>
    <col min="34" max="34" width="14.140625" bestFit="1" customWidth="1"/>
    <col min="35" max="35" width="21.5703125" bestFit="1" customWidth="1"/>
    <col min="36" max="36" width="20.5703125" bestFit="1" customWidth="1"/>
    <col min="37" max="37" width="15.5703125" bestFit="1" customWidth="1"/>
  </cols>
  <sheetData>
    <row r="1" spans="1:26" x14ac:dyDescent="0.25">
      <c r="A1" s="47" t="s">
        <v>1148</v>
      </c>
      <c r="B1" s="45" t="s">
        <v>1346</v>
      </c>
      <c r="C1" s="45" t="s">
        <v>1347</v>
      </c>
      <c r="D1" s="45" t="s">
        <v>1348</v>
      </c>
      <c r="E1" s="45" t="s">
        <v>1349</v>
      </c>
      <c r="F1" s="45" t="s">
        <v>1350</v>
      </c>
      <c r="G1" s="45" t="s">
        <v>1351</v>
      </c>
      <c r="H1" s="46" t="s">
        <v>1352</v>
      </c>
      <c r="I1" s="46" t="s">
        <v>1072</v>
      </c>
      <c r="J1" s="46" t="s">
        <v>1353</v>
      </c>
      <c r="K1" s="46" t="s">
        <v>1354</v>
      </c>
      <c r="L1" s="46" t="s">
        <v>1073</v>
      </c>
      <c r="M1" s="46" t="s">
        <v>1355</v>
      </c>
      <c r="N1" s="46" t="s">
        <v>1356</v>
      </c>
      <c r="O1" s="46" t="s">
        <v>1126</v>
      </c>
      <c r="P1" t="s">
        <v>1160</v>
      </c>
      <c r="Q1" t="s">
        <v>1076</v>
      </c>
      <c r="R1" t="s">
        <v>1161</v>
      </c>
      <c r="S1" t="s">
        <v>1357</v>
      </c>
      <c r="T1" t="s">
        <v>1163</v>
      </c>
      <c r="U1" t="s">
        <v>1083</v>
      </c>
      <c r="V1" t="s">
        <v>1150</v>
      </c>
      <c r="W1" t="s">
        <v>1151</v>
      </c>
      <c r="X1" t="s">
        <v>1164</v>
      </c>
      <c r="Y1" t="s">
        <v>1165</v>
      </c>
      <c r="Z1" t="s">
        <v>1358</v>
      </c>
    </row>
    <row r="2" spans="1:26" x14ac:dyDescent="0.25">
      <c r="A2" s="95">
        <f>IF(COUNTIF(LEDGER[LedgerCode],FC_import[[#This Row],[LedgerCode]])&gt;0,0,1)</f>
        <v>1</v>
      </c>
      <c r="B2" s="80">
        <f>IF(COUNTIF(Table_System_Grouping_Codes[groupingCodeCode],FC_import[[#This Row],[GroupingCode]])&gt;0,0,1)</f>
        <v>0</v>
      </c>
      <c r="C2" s="48">
        <f>IF(COUNTIF(CUSTGROUP[CustomGroupingCode],FC_import[[#This Row],[CustomGrouping]])&gt;0,0,1)</f>
        <v>0</v>
      </c>
      <c r="D2" s="48" cm="1">
        <f t="array" ref="D2">IF(FC_import[[#This Row],[AvailableToAllSchools]]=TRUE,0,COUNTA(_xlfn.TEXTSPLIT(FC_import[[#This Row],[SchoolCodes]],",",,TRUE))-SUM(COUNTIF(SCHOOLS[SchoolCode],_xlfn.TEXTSPLIT(FC_import[[#This Row],[SchoolCodes]],",",,TRUE))))</f>
        <v>0</v>
      </c>
      <c r="E2" s="48">
        <f>IF(FC_import[[#This Row],[FinanceCodeTypeCode]]="BUDGET",0,COUNTIF(P:P,P2)-1)</f>
        <v>0</v>
      </c>
      <c r="F2" s="48">
        <f>IF(FC_import[[#This Row],[FinanceCodeTypeCode]]="BUDGET",0,COUNTIF(Q:Q,Q2)-1)</f>
        <v>0</v>
      </c>
      <c r="G2" s="48">
        <f>COUNTIF(Lookup!$A$2:$A$7,R2)-1</f>
        <v>0</v>
      </c>
      <c r="H2" s="43">
        <f>IF(OR(FC_import[[#This Row],[FinanceCodeEnabled]]=TRUE,FC_import[[#This Row],[FinanceCodeEnabled]]=FALSE),0,1)</f>
        <v>0</v>
      </c>
      <c r="I2" s="43">
        <f>IF(LEN(FC_import[[#This Row],[FinanceCode]])&lt;100,0,1)</f>
        <v>0</v>
      </c>
      <c r="J2" s="43">
        <f>IF(TRIM(FC_import[[#This Row],[Title]])="",1,0)</f>
        <v>0</v>
      </c>
      <c r="K2" s="43">
        <f>IF(TRIM(FC_import[[#This Row],[FinanceCode]])="",1,0)</f>
        <v>0</v>
      </c>
      <c r="L2" s="43">
        <f>IF(LEN(FC_import[[#This Row],[Title]])&lt;100,0,1)</f>
        <v>0</v>
      </c>
      <c r="M2" s="43">
        <f>IF(ISBLANK(FC_import[[#This Row],[BalanceToScenario]]),1,0)</f>
        <v>0</v>
      </c>
      <c r="N2" s="43">
        <f>IF(SUBSTITUTE(TEXT(FC_import[[#This Row],[FinanceCode]],10)," ","")=TEXT(FC_import[[#This Row],[FinanceCode]],10),0,1)</f>
        <v>0</v>
      </c>
      <c r="O2" s="43">
        <f t="shared" ref="O2:O33" si="0">SUM(A2:C2,E2:N2)</f>
        <v>1</v>
      </c>
      <c r="P2" t="s">
        <v>1167</v>
      </c>
      <c r="Q2" t="s">
        <v>1168</v>
      </c>
      <c r="R2" t="s">
        <v>1169</v>
      </c>
      <c r="S2" t="s">
        <v>1047</v>
      </c>
      <c r="T2" t="s">
        <v>1035</v>
      </c>
      <c r="U2" s="119"/>
      <c r="V2" t="b">
        <v>1</v>
      </c>
      <c r="X2" t="b">
        <v>1</v>
      </c>
      <c r="Y2" t="b">
        <v>0</v>
      </c>
      <c r="Z2" t="b">
        <f>FALSE</f>
        <v>0</v>
      </c>
    </row>
    <row r="3" spans="1:26" x14ac:dyDescent="0.25">
      <c r="A3" s="43">
        <f>IF(COUNTIF(LEDGER[LedgerCode],FC_import[[#This Row],[LedgerCode]])&gt;0,0,1)</f>
        <v>1</v>
      </c>
      <c r="B3" s="48">
        <f>IF(COUNTIF(Table_System_Grouping_Codes[groupingCodeCode],FC_import[[#This Row],[GroupingCode]])&gt;0,0,1)</f>
        <v>0</v>
      </c>
      <c r="C3" s="43">
        <f>IF(COUNTIF(CUSTGROUP[CustomGroupingCode],FC_import[[#This Row],[CustomGrouping]])&gt;0,0,1)</f>
        <v>0</v>
      </c>
      <c r="D3" s="43" cm="1">
        <f t="array" ref="D3">IF(FC_import[[#This Row],[AvailableToAllSchools]]=TRUE,0,COUNTA(_xlfn.TEXTSPLIT(FC_import[[#This Row],[SchoolCodes]],",",,TRUE))-SUM(COUNTIF(SCHOOLS[SchoolCode],_xlfn.TEXTSPLIT(FC_import[[#This Row],[SchoolCodes]],",",,TRUE))))</f>
        <v>0</v>
      </c>
      <c r="E3" s="43">
        <f>IF(FC_import[[#This Row],[FinanceCodeTypeCode]]="BUDGET",0,COUNTIF(P:P,P3)-1)</f>
        <v>0</v>
      </c>
      <c r="F3" s="43">
        <f>IF(FC_import[[#This Row],[FinanceCodeTypeCode]]="BUDGET",0,COUNTIF(Q:Q,Q3)-1)</f>
        <v>0</v>
      </c>
      <c r="G3" s="43">
        <f>COUNTIF(Lookup!$A$2:$A$7,R3)-1</f>
        <v>0</v>
      </c>
      <c r="H3" s="43">
        <f>IF(OR(FC_import[[#This Row],[FinanceCodeEnabled]]=TRUE,FC_import[[#This Row],[FinanceCodeEnabled]]=FALSE),0,1)</f>
        <v>0</v>
      </c>
      <c r="I3" s="43">
        <f>IF(LEN(FC_import[[#This Row],[FinanceCode]])&lt;100,0,1)</f>
        <v>0</v>
      </c>
      <c r="J3" s="43">
        <f>IF(TRIM(FC_import[[#This Row],[Title]])="",1,0)</f>
        <v>0</v>
      </c>
      <c r="K3" s="43">
        <f>IF(TRIM(FC_import[[#This Row],[FinanceCode]])="",1,0)</f>
        <v>0</v>
      </c>
      <c r="L3" s="43">
        <f>IF(LEN(FC_import[[#This Row],[Title]])&lt;100,0,1)</f>
        <v>0</v>
      </c>
      <c r="M3" s="43">
        <f>IF(ISBLANK(FC_import[[#This Row],[BalanceToScenario]]),1,0)</f>
        <v>0</v>
      </c>
      <c r="N3" s="43">
        <f>IF(SUBSTITUTE(TEXT(FC_import[[#This Row],[FinanceCode]],10)," ","")=TEXT(FC_import[[#This Row],[FinanceCode]],10),0,1)</f>
        <v>0</v>
      </c>
      <c r="O3" s="43">
        <f t="shared" si="0"/>
        <v>1</v>
      </c>
      <c r="P3" t="s">
        <v>1170</v>
      </c>
      <c r="Q3" t="s">
        <v>1171</v>
      </c>
      <c r="R3" t="s">
        <v>1169</v>
      </c>
      <c r="S3" t="s">
        <v>1047</v>
      </c>
      <c r="T3" t="s">
        <v>1035</v>
      </c>
      <c r="U3" s="119"/>
      <c r="V3" t="b">
        <v>1</v>
      </c>
      <c r="X3" t="b">
        <v>1</v>
      </c>
      <c r="Y3" t="b">
        <v>0</v>
      </c>
      <c r="Z3" t="b">
        <f>FALSE</f>
        <v>0</v>
      </c>
    </row>
    <row r="4" spans="1:26" x14ac:dyDescent="0.25">
      <c r="A4" s="43">
        <f>IF(COUNTIF(LEDGER[LedgerCode],FC_import[[#This Row],[LedgerCode]])&gt;0,0,1)</f>
        <v>1</v>
      </c>
      <c r="B4" s="48">
        <f>IF(COUNTIF(Table_System_Grouping_Codes[groupingCodeCode],FC_import[[#This Row],[GroupingCode]])&gt;0,0,1)</f>
        <v>0</v>
      </c>
      <c r="C4" s="43">
        <f>IF(COUNTIF(CUSTGROUP[CustomGroupingCode],FC_import[[#This Row],[CustomGrouping]])&gt;0,0,1)</f>
        <v>0</v>
      </c>
      <c r="D4" s="43" cm="1">
        <f t="array" ref="D4">IF(FC_import[[#This Row],[AvailableToAllSchools]]=TRUE,0,COUNTA(_xlfn.TEXTSPLIT(FC_import[[#This Row],[SchoolCodes]],",",,TRUE))-SUM(COUNTIF(SCHOOLS[SchoolCode],_xlfn.TEXTSPLIT(FC_import[[#This Row],[SchoolCodes]],",",,TRUE))))</f>
        <v>0</v>
      </c>
      <c r="E4" s="43">
        <f>IF(FC_import[[#This Row],[FinanceCodeTypeCode]]="BUDGET",0,COUNTIF(P:P,P4)-1)</f>
        <v>0</v>
      </c>
      <c r="F4" s="43">
        <f>IF(FC_import[[#This Row],[FinanceCodeTypeCode]]="BUDGET",0,COUNTIF(Q:Q,Q4)-1)</f>
        <v>0</v>
      </c>
      <c r="G4" s="43">
        <f>COUNTIF(Lookup!$A$2:$A$7,R4)-1</f>
        <v>0</v>
      </c>
      <c r="H4" s="43">
        <f>IF(OR(FC_import[[#This Row],[FinanceCodeEnabled]]=TRUE,FC_import[[#This Row],[FinanceCodeEnabled]]=FALSE),0,1)</f>
        <v>0</v>
      </c>
      <c r="I4" s="43">
        <f>IF(LEN(FC_import[[#This Row],[FinanceCode]])&lt;100,0,1)</f>
        <v>0</v>
      </c>
      <c r="J4" s="43">
        <f>IF(TRIM(FC_import[[#This Row],[Title]])="",1,0)</f>
        <v>0</v>
      </c>
      <c r="K4" s="43">
        <f>IF(TRIM(FC_import[[#This Row],[FinanceCode]])="",1,0)</f>
        <v>0</v>
      </c>
      <c r="L4" s="43">
        <f>IF(LEN(FC_import[[#This Row],[Title]])&lt;100,0,1)</f>
        <v>0</v>
      </c>
      <c r="M4" s="43">
        <f>IF(ISBLANK(FC_import[[#This Row],[BalanceToScenario]]),1,0)</f>
        <v>0</v>
      </c>
      <c r="N4" s="43">
        <f>IF(SUBSTITUTE(TEXT(FC_import[[#This Row],[FinanceCode]],10)," ","")=TEXT(FC_import[[#This Row],[FinanceCode]],10),0,1)</f>
        <v>0</v>
      </c>
      <c r="O4" s="43">
        <f t="shared" si="0"/>
        <v>1</v>
      </c>
      <c r="P4" t="s">
        <v>1172</v>
      </c>
      <c r="Q4" t="s">
        <v>1173</v>
      </c>
      <c r="R4" t="s">
        <v>1169</v>
      </c>
      <c r="S4" t="s">
        <v>1047</v>
      </c>
      <c r="T4" t="s">
        <v>1035</v>
      </c>
      <c r="U4" s="119"/>
      <c r="V4" t="b">
        <v>1</v>
      </c>
      <c r="X4" t="b">
        <v>1</v>
      </c>
      <c r="Y4" t="b">
        <v>0</v>
      </c>
      <c r="Z4" t="b">
        <f>FALSE</f>
        <v>0</v>
      </c>
    </row>
    <row r="5" spans="1:26" x14ac:dyDescent="0.25">
      <c r="A5" s="43">
        <f>IF(COUNTIF(LEDGER[LedgerCode],FC_import[[#This Row],[LedgerCode]])&gt;0,0,1)</f>
        <v>1</v>
      </c>
      <c r="B5" s="48">
        <f>IF(COUNTIF(Table_System_Grouping_Codes[groupingCodeCode],FC_import[[#This Row],[GroupingCode]])&gt;0,0,1)</f>
        <v>0</v>
      </c>
      <c r="C5" s="43">
        <f>IF(COUNTIF(CUSTGROUP[CustomGroupingCode],FC_import[[#This Row],[CustomGrouping]])&gt;0,0,1)</f>
        <v>0</v>
      </c>
      <c r="D5" s="43" cm="1">
        <f t="array" ref="D5">IF(FC_import[[#This Row],[AvailableToAllSchools]]=TRUE,0,COUNTA(_xlfn.TEXTSPLIT(FC_import[[#This Row],[SchoolCodes]],",",,TRUE))-SUM(COUNTIF(SCHOOLS[SchoolCode],_xlfn.TEXTSPLIT(FC_import[[#This Row],[SchoolCodes]],",",,TRUE))))</f>
        <v>0</v>
      </c>
      <c r="E5" s="43">
        <f>IF(FC_import[[#This Row],[FinanceCodeTypeCode]]="BUDGET",0,COUNTIF(P:P,P5)-1)</f>
        <v>0</v>
      </c>
      <c r="F5" s="43">
        <f>IF(FC_import[[#This Row],[FinanceCodeTypeCode]]="BUDGET",0,COUNTIF(Q:Q,Q5)-1)</f>
        <v>0</v>
      </c>
      <c r="G5" s="43">
        <f>COUNTIF(Lookup!$A$2:$A$7,R5)-1</f>
        <v>0</v>
      </c>
      <c r="H5" s="43">
        <f>IF(OR(FC_import[[#This Row],[FinanceCodeEnabled]]=TRUE,FC_import[[#This Row],[FinanceCodeEnabled]]=FALSE),0,1)</f>
        <v>0</v>
      </c>
      <c r="I5" s="43">
        <f>IF(LEN(FC_import[[#This Row],[FinanceCode]])&lt;100,0,1)</f>
        <v>0</v>
      </c>
      <c r="J5" s="43">
        <f>IF(TRIM(FC_import[[#This Row],[Title]])="",1,0)</f>
        <v>0</v>
      </c>
      <c r="K5" s="43">
        <f>IF(TRIM(FC_import[[#This Row],[FinanceCode]])="",1,0)</f>
        <v>0</v>
      </c>
      <c r="L5" s="43">
        <f>IF(LEN(FC_import[[#This Row],[Title]])&lt;100,0,1)</f>
        <v>0</v>
      </c>
      <c r="M5" s="43">
        <f>IF(ISBLANK(FC_import[[#This Row],[BalanceToScenario]]),1,0)</f>
        <v>0</v>
      </c>
      <c r="N5" s="43">
        <f>IF(SUBSTITUTE(TEXT(FC_import[[#This Row],[FinanceCode]],10)," ","")=TEXT(FC_import[[#This Row],[FinanceCode]],10),0,1)</f>
        <v>0</v>
      </c>
      <c r="O5" s="43">
        <f t="shared" si="0"/>
        <v>1</v>
      </c>
      <c r="P5" t="s">
        <v>1174</v>
      </c>
      <c r="Q5" t="s">
        <v>1175</v>
      </c>
      <c r="R5" t="s">
        <v>1169</v>
      </c>
      <c r="S5" t="s">
        <v>1047</v>
      </c>
      <c r="T5" t="s">
        <v>1035</v>
      </c>
      <c r="U5" s="119"/>
      <c r="V5" t="b">
        <v>1</v>
      </c>
      <c r="X5" t="b">
        <v>1</v>
      </c>
      <c r="Y5" t="b">
        <v>0</v>
      </c>
      <c r="Z5" t="b">
        <f>FALSE</f>
        <v>0</v>
      </c>
    </row>
    <row r="6" spans="1:26" x14ac:dyDescent="0.25">
      <c r="A6" s="43">
        <f>IF(COUNTIF(LEDGER[LedgerCode],FC_import[[#This Row],[LedgerCode]])&gt;0,0,1)</f>
        <v>1</v>
      </c>
      <c r="B6" s="48">
        <f>IF(COUNTIF(Table_System_Grouping_Codes[groupingCodeCode],FC_import[[#This Row],[GroupingCode]])&gt;0,0,1)</f>
        <v>0</v>
      </c>
      <c r="C6" s="43">
        <f>IF(COUNTIF(CUSTGROUP[CustomGroupingCode],FC_import[[#This Row],[CustomGrouping]])&gt;0,0,1)</f>
        <v>0</v>
      </c>
      <c r="D6" s="43" cm="1">
        <f t="array" ref="D6">IF(FC_import[[#This Row],[AvailableToAllSchools]]=TRUE,0,COUNTA(_xlfn.TEXTSPLIT(FC_import[[#This Row],[SchoolCodes]],",",,TRUE))-SUM(COUNTIF(SCHOOLS[SchoolCode],_xlfn.TEXTSPLIT(FC_import[[#This Row],[SchoolCodes]],",",,TRUE))))</f>
        <v>0</v>
      </c>
      <c r="E6" s="43">
        <f>IF(FC_import[[#This Row],[FinanceCodeTypeCode]]="BUDGET",0,COUNTIF(P:P,P6)-1)</f>
        <v>0</v>
      </c>
      <c r="F6" s="43">
        <f>IF(FC_import[[#This Row],[FinanceCodeTypeCode]]="BUDGET",0,COUNTIF(Q:Q,Q6)-1)</f>
        <v>0</v>
      </c>
      <c r="G6" s="43">
        <f>COUNTIF(Lookup!$A$2:$A$7,R6)-1</f>
        <v>0</v>
      </c>
      <c r="H6" s="43">
        <f>IF(OR(FC_import[[#This Row],[FinanceCodeEnabled]]=TRUE,FC_import[[#This Row],[FinanceCodeEnabled]]=FALSE),0,1)</f>
        <v>0</v>
      </c>
      <c r="I6" s="43">
        <f>IF(LEN(FC_import[[#This Row],[FinanceCode]])&lt;100,0,1)</f>
        <v>0</v>
      </c>
      <c r="J6" s="43">
        <f>IF(TRIM(FC_import[[#This Row],[Title]])="",1,0)</f>
        <v>0</v>
      </c>
      <c r="K6" s="43">
        <f>IF(TRIM(FC_import[[#This Row],[FinanceCode]])="",1,0)</f>
        <v>0</v>
      </c>
      <c r="L6" s="43">
        <f>IF(LEN(FC_import[[#This Row],[Title]])&lt;100,0,1)</f>
        <v>0</v>
      </c>
      <c r="M6" s="43">
        <f>IF(ISBLANK(FC_import[[#This Row],[BalanceToScenario]]),1,0)</f>
        <v>0</v>
      </c>
      <c r="N6" s="43">
        <f>IF(SUBSTITUTE(TEXT(FC_import[[#This Row],[FinanceCode]],10)," ","")=TEXT(FC_import[[#This Row],[FinanceCode]],10),0,1)</f>
        <v>0</v>
      </c>
      <c r="O6" s="43">
        <f t="shared" si="0"/>
        <v>1</v>
      </c>
      <c r="P6" t="s">
        <v>1176</v>
      </c>
      <c r="Q6" t="s">
        <v>1177</v>
      </c>
      <c r="R6" t="s">
        <v>1169</v>
      </c>
      <c r="S6" t="s">
        <v>1047</v>
      </c>
      <c r="T6" t="s">
        <v>1035</v>
      </c>
      <c r="U6" s="119"/>
      <c r="V6" t="b">
        <v>1</v>
      </c>
      <c r="X6" t="b">
        <v>1</v>
      </c>
      <c r="Y6" t="b">
        <v>0</v>
      </c>
      <c r="Z6" t="b">
        <f>FALSE</f>
        <v>0</v>
      </c>
    </row>
    <row r="7" spans="1:26" x14ac:dyDescent="0.25">
      <c r="A7" s="43">
        <f>IF(COUNTIF(LEDGER[LedgerCode],FC_import[[#This Row],[LedgerCode]])&gt;0,0,1)</f>
        <v>1</v>
      </c>
      <c r="B7" s="48">
        <f>IF(COUNTIF(Table_System_Grouping_Codes[groupingCodeCode],FC_import[[#This Row],[GroupingCode]])&gt;0,0,1)</f>
        <v>0</v>
      </c>
      <c r="C7" s="43">
        <f>IF(COUNTIF(CUSTGROUP[CustomGroupingCode],FC_import[[#This Row],[CustomGrouping]])&gt;0,0,1)</f>
        <v>0</v>
      </c>
      <c r="D7" s="43" cm="1">
        <f t="array" ref="D7">IF(FC_import[[#This Row],[AvailableToAllSchools]]=TRUE,0,COUNTA(_xlfn.TEXTSPLIT(FC_import[[#This Row],[SchoolCodes]],",",,TRUE))-SUM(COUNTIF(SCHOOLS[SchoolCode],_xlfn.TEXTSPLIT(FC_import[[#This Row],[SchoolCodes]],",",,TRUE))))</f>
        <v>0</v>
      </c>
      <c r="E7" s="43">
        <f>IF(FC_import[[#This Row],[FinanceCodeTypeCode]]="BUDGET",0,COUNTIF(P:P,P7)-1)</f>
        <v>0</v>
      </c>
      <c r="F7" s="43">
        <f>IF(FC_import[[#This Row],[FinanceCodeTypeCode]]="BUDGET",0,COUNTIF(Q:Q,Q7)-1)</f>
        <v>0</v>
      </c>
      <c r="G7" s="43">
        <f>COUNTIF(Lookup!$A$2:$A$7,R7)-1</f>
        <v>0</v>
      </c>
      <c r="H7" s="43">
        <f>IF(OR(FC_import[[#This Row],[FinanceCodeEnabled]]=TRUE,FC_import[[#This Row],[FinanceCodeEnabled]]=FALSE),0,1)</f>
        <v>0</v>
      </c>
      <c r="I7" s="43">
        <f>IF(LEN(FC_import[[#This Row],[FinanceCode]])&lt;100,0,1)</f>
        <v>0</v>
      </c>
      <c r="J7" s="43">
        <f>IF(TRIM(FC_import[[#This Row],[Title]])="",1,0)</f>
        <v>0</v>
      </c>
      <c r="K7" s="43">
        <f>IF(TRIM(FC_import[[#This Row],[FinanceCode]])="",1,0)</f>
        <v>0</v>
      </c>
      <c r="L7" s="43">
        <f>IF(LEN(FC_import[[#This Row],[Title]])&lt;100,0,1)</f>
        <v>0</v>
      </c>
      <c r="M7" s="43">
        <f>IF(ISBLANK(FC_import[[#This Row],[BalanceToScenario]]),1,0)</f>
        <v>0</v>
      </c>
      <c r="N7" s="43">
        <f>IF(SUBSTITUTE(TEXT(FC_import[[#This Row],[FinanceCode]],10)," ","")=TEXT(FC_import[[#This Row],[FinanceCode]],10),0,1)</f>
        <v>0</v>
      </c>
      <c r="O7" s="43">
        <f t="shared" si="0"/>
        <v>1</v>
      </c>
      <c r="P7" t="s">
        <v>1178</v>
      </c>
      <c r="Q7" t="s">
        <v>1179</v>
      </c>
      <c r="R7" t="s">
        <v>1169</v>
      </c>
      <c r="S7" t="s">
        <v>1047</v>
      </c>
      <c r="T7" t="s">
        <v>1035</v>
      </c>
      <c r="U7" s="119"/>
      <c r="V7" t="b">
        <v>1</v>
      </c>
      <c r="X7" t="b">
        <v>1</v>
      </c>
      <c r="Y7" t="b">
        <v>0</v>
      </c>
      <c r="Z7" t="b">
        <f>FALSE</f>
        <v>0</v>
      </c>
    </row>
    <row r="8" spans="1:26" x14ac:dyDescent="0.25">
      <c r="A8" s="43">
        <f>IF(COUNTIF(LEDGER[LedgerCode],FC_import[[#This Row],[LedgerCode]])&gt;0,0,1)</f>
        <v>1</v>
      </c>
      <c r="B8" s="48">
        <f>IF(COUNTIF(Table_System_Grouping_Codes[groupingCodeCode],FC_import[[#This Row],[GroupingCode]])&gt;0,0,1)</f>
        <v>0</v>
      </c>
      <c r="C8" s="43">
        <f>IF(COUNTIF(CUSTGROUP[CustomGroupingCode],FC_import[[#This Row],[CustomGrouping]])&gt;0,0,1)</f>
        <v>0</v>
      </c>
      <c r="D8" s="43" cm="1">
        <f t="array" ref="D8">IF(FC_import[[#This Row],[AvailableToAllSchools]]=TRUE,0,COUNTA(_xlfn.TEXTSPLIT(FC_import[[#This Row],[SchoolCodes]],",",,TRUE))-SUM(COUNTIF(SCHOOLS[SchoolCode],_xlfn.TEXTSPLIT(FC_import[[#This Row],[SchoolCodes]],",",,TRUE))))</f>
        <v>0</v>
      </c>
      <c r="E8" s="43">
        <f>IF(FC_import[[#This Row],[FinanceCodeTypeCode]]="BUDGET",0,COUNTIF(P:P,P8)-1)</f>
        <v>0</v>
      </c>
      <c r="F8" s="43">
        <f>IF(FC_import[[#This Row],[FinanceCodeTypeCode]]="BUDGET",0,COUNTIF(Q:Q,Q8)-1)</f>
        <v>0</v>
      </c>
      <c r="G8" s="43">
        <f>COUNTIF(Lookup!$A$2:$A$7,R8)-1</f>
        <v>0</v>
      </c>
      <c r="H8" s="43">
        <f>IF(OR(FC_import[[#This Row],[FinanceCodeEnabled]]=TRUE,FC_import[[#This Row],[FinanceCodeEnabled]]=FALSE),0,1)</f>
        <v>0</v>
      </c>
      <c r="I8" s="43">
        <f>IF(LEN(FC_import[[#This Row],[FinanceCode]])&lt;100,0,1)</f>
        <v>0</v>
      </c>
      <c r="J8" s="43">
        <f>IF(TRIM(FC_import[[#This Row],[Title]])="",1,0)</f>
        <v>0</v>
      </c>
      <c r="K8" s="43">
        <f>IF(TRIM(FC_import[[#This Row],[FinanceCode]])="",1,0)</f>
        <v>0</v>
      </c>
      <c r="L8" s="43">
        <f>IF(LEN(FC_import[[#This Row],[Title]])&lt;100,0,1)</f>
        <v>0</v>
      </c>
      <c r="M8" s="43">
        <f>IF(ISBLANK(FC_import[[#This Row],[BalanceToScenario]]),1,0)</f>
        <v>0</v>
      </c>
      <c r="N8" s="43">
        <f>IF(SUBSTITUTE(TEXT(FC_import[[#This Row],[FinanceCode]],10)," ","")=TEXT(FC_import[[#This Row],[FinanceCode]],10),0,1)</f>
        <v>0</v>
      </c>
      <c r="O8" s="43">
        <f t="shared" si="0"/>
        <v>1</v>
      </c>
      <c r="P8" t="s">
        <v>1180</v>
      </c>
      <c r="Q8" t="s">
        <v>1181</v>
      </c>
      <c r="R8" t="s">
        <v>1169</v>
      </c>
      <c r="S8" t="s">
        <v>1035</v>
      </c>
      <c r="T8" t="s">
        <v>1035</v>
      </c>
      <c r="U8" s="119"/>
      <c r="V8" t="b">
        <v>1</v>
      </c>
      <c r="X8" t="b">
        <v>1</v>
      </c>
      <c r="Y8" t="b">
        <v>0</v>
      </c>
      <c r="Z8" t="b">
        <f>FALSE</f>
        <v>0</v>
      </c>
    </row>
    <row r="9" spans="1:26" x14ac:dyDescent="0.25">
      <c r="A9" s="43">
        <f>IF(COUNTIF(LEDGER[LedgerCode],FC_import[[#This Row],[LedgerCode]])&gt;0,0,1)</f>
        <v>1</v>
      </c>
      <c r="B9" s="48">
        <f>IF(COUNTIF(Table_System_Grouping_Codes[groupingCodeCode],FC_import[[#This Row],[GroupingCode]])&gt;0,0,1)</f>
        <v>0</v>
      </c>
      <c r="C9" s="43">
        <f>IF(COUNTIF(CUSTGROUP[CustomGroupingCode],FC_import[[#This Row],[CustomGrouping]])&gt;0,0,1)</f>
        <v>0</v>
      </c>
      <c r="D9" s="43" cm="1">
        <f t="array" ref="D9">IF(FC_import[[#This Row],[AvailableToAllSchools]]=TRUE,0,COUNTA(_xlfn.TEXTSPLIT(FC_import[[#This Row],[SchoolCodes]],",",,TRUE))-SUM(COUNTIF(SCHOOLS[SchoolCode],_xlfn.TEXTSPLIT(FC_import[[#This Row],[SchoolCodes]],",",,TRUE))))</f>
        <v>0</v>
      </c>
      <c r="E9" s="43">
        <f>IF(FC_import[[#This Row],[FinanceCodeTypeCode]]="BUDGET",0,COUNTIF(P:P,P9)-1)</f>
        <v>0</v>
      </c>
      <c r="F9" s="43">
        <f>IF(FC_import[[#This Row],[FinanceCodeTypeCode]]="BUDGET",0,COUNTIF(Q:Q,Q9)-1)</f>
        <v>0</v>
      </c>
      <c r="G9" s="43">
        <f>COUNTIF(Lookup!$A$2:$A$7,R9)-1</f>
        <v>0</v>
      </c>
      <c r="H9" s="43">
        <f>IF(OR(FC_import[[#This Row],[FinanceCodeEnabled]]=TRUE,FC_import[[#This Row],[FinanceCodeEnabled]]=FALSE),0,1)</f>
        <v>0</v>
      </c>
      <c r="I9" s="43">
        <f>IF(LEN(FC_import[[#This Row],[FinanceCode]])&lt;100,0,1)</f>
        <v>0</v>
      </c>
      <c r="J9" s="43">
        <f>IF(TRIM(FC_import[[#This Row],[Title]])="",1,0)</f>
        <v>0</v>
      </c>
      <c r="K9" s="43">
        <f>IF(TRIM(FC_import[[#This Row],[FinanceCode]])="",1,0)</f>
        <v>0</v>
      </c>
      <c r="L9" s="43">
        <f>IF(LEN(FC_import[[#This Row],[Title]])&lt;100,0,1)</f>
        <v>0</v>
      </c>
      <c r="M9" s="43">
        <f>IF(ISBLANK(FC_import[[#This Row],[BalanceToScenario]]),1,0)</f>
        <v>0</v>
      </c>
      <c r="N9" s="43">
        <f>IF(SUBSTITUTE(TEXT(FC_import[[#This Row],[FinanceCode]],10)," ","")=TEXT(FC_import[[#This Row],[FinanceCode]],10),0,1)</f>
        <v>0</v>
      </c>
      <c r="O9" s="43">
        <f t="shared" si="0"/>
        <v>1</v>
      </c>
      <c r="P9" t="s">
        <v>1182</v>
      </c>
      <c r="Q9" t="s">
        <v>1183</v>
      </c>
      <c r="R9" t="s">
        <v>1169</v>
      </c>
      <c r="S9" t="s">
        <v>1047</v>
      </c>
      <c r="T9" t="s">
        <v>1035</v>
      </c>
      <c r="U9" s="119"/>
      <c r="V9" t="b">
        <v>1</v>
      </c>
      <c r="X9" t="b">
        <v>1</v>
      </c>
      <c r="Y9" t="b">
        <v>0</v>
      </c>
      <c r="Z9" t="b">
        <f>FALSE</f>
        <v>0</v>
      </c>
    </row>
    <row r="10" spans="1:26" x14ac:dyDescent="0.25">
      <c r="A10" s="43">
        <f>IF(COUNTIF(LEDGER[LedgerCode],FC_import[[#This Row],[LedgerCode]])&gt;0,0,1)</f>
        <v>1</v>
      </c>
      <c r="B10" s="48">
        <f>IF(COUNTIF(Table_System_Grouping_Codes[groupingCodeCode],FC_import[[#This Row],[GroupingCode]])&gt;0,0,1)</f>
        <v>0</v>
      </c>
      <c r="C10" s="43">
        <f>IF(COUNTIF(CUSTGROUP[CustomGroupingCode],FC_import[[#This Row],[CustomGrouping]])&gt;0,0,1)</f>
        <v>0</v>
      </c>
      <c r="D10" s="43" cm="1">
        <f t="array" ref="D10">IF(FC_import[[#This Row],[AvailableToAllSchools]]=TRUE,0,COUNTA(_xlfn.TEXTSPLIT(FC_import[[#This Row],[SchoolCodes]],",",,TRUE))-SUM(COUNTIF(SCHOOLS[SchoolCode],_xlfn.TEXTSPLIT(FC_import[[#This Row],[SchoolCodes]],",",,TRUE))))</f>
        <v>0</v>
      </c>
      <c r="E10" s="43">
        <f>IF(FC_import[[#This Row],[FinanceCodeTypeCode]]="BUDGET",0,COUNTIF(P:P,P10)-1)</f>
        <v>0</v>
      </c>
      <c r="F10" s="43">
        <f>IF(FC_import[[#This Row],[FinanceCodeTypeCode]]="BUDGET",0,COUNTIF(Q:Q,Q10)-1)</f>
        <v>0</v>
      </c>
      <c r="G10" s="43">
        <f>COUNTIF(Lookup!$A$2:$A$7,R10)-1</f>
        <v>0</v>
      </c>
      <c r="H10" s="43">
        <f>IF(OR(FC_import[[#This Row],[FinanceCodeEnabled]]=TRUE,FC_import[[#This Row],[FinanceCodeEnabled]]=FALSE),0,1)</f>
        <v>0</v>
      </c>
      <c r="I10" s="43">
        <f>IF(LEN(FC_import[[#This Row],[FinanceCode]])&lt;100,0,1)</f>
        <v>0</v>
      </c>
      <c r="J10" s="43">
        <f>IF(TRIM(FC_import[[#This Row],[Title]])="",1,0)</f>
        <v>0</v>
      </c>
      <c r="K10" s="43">
        <f>IF(TRIM(FC_import[[#This Row],[FinanceCode]])="",1,0)</f>
        <v>0</v>
      </c>
      <c r="L10" s="43">
        <f>IF(LEN(FC_import[[#This Row],[Title]])&lt;100,0,1)</f>
        <v>0</v>
      </c>
      <c r="M10" s="43">
        <f>IF(ISBLANK(FC_import[[#This Row],[BalanceToScenario]]),1,0)</f>
        <v>0</v>
      </c>
      <c r="N10" s="43">
        <f>IF(SUBSTITUTE(TEXT(FC_import[[#This Row],[FinanceCode]],10)," ","")=TEXT(FC_import[[#This Row],[FinanceCode]],10),0,1)</f>
        <v>0</v>
      </c>
      <c r="O10" s="43">
        <f t="shared" si="0"/>
        <v>1</v>
      </c>
      <c r="P10" t="s">
        <v>1184</v>
      </c>
      <c r="Q10" t="s">
        <v>1185</v>
      </c>
      <c r="R10" t="s">
        <v>1169</v>
      </c>
      <c r="S10" t="s">
        <v>1047</v>
      </c>
      <c r="T10" t="s">
        <v>1035</v>
      </c>
      <c r="U10" s="119"/>
      <c r="V10" t="b">
        <v>1</v>
      </c>
      <c r="X10" t="b">
        <v>1</v>
      </c>
      <c r="Y10" t="b">
        <v>0</v>
      </c>
      <c r="Z10" t="b">
        <f>FALSE</f>
        <v>0</v>
      </c>
    </row>
    <row r="11" spans="1:26" x14ac:dyDescent="0.25">
      <c r="A11" s="43">
        <f>IF(COUNTIF(LEDGER[LedgerCode],FC_import[[#This Row],[LedgerCode]])&gt;0,0,1)</f>
        <v>1</v>
      </c>
      <c r="B11" s="48">
        <f>IF(COUNTIF(Table_System_Grouping_Codes[groupingCodeCode],FC_import[[#This Row],[GroupingCode]])&gt;0,0,1)</f>
        <v>0</v>
      </c>
      <c r="C11" s="43">
        <f>IF(COUNTIF(CUSTGROUP[CustomGroupingCode],FC_import[[#This Row],[CustomGrouping]])&gt;0,0,1)</f>
        <v>0</v>
      </c>
      <c r="D11" s="43" cm="1">
        <f t="array" ref="D11">IF(FC_import[[#This Row],[AvailableToAllSchools]]=TRUE,0,COUNTA(_xlfn.TEXTSPLIT(FC_import[[#This Row],[SchoolCodes]],",",,TRUE))-SUM(COUNTIF(SCHOOLS[SchoolCode],_xlfn.TEXTSPLIT(FC_import[[#This Row],[SchoolCodes]],",",,TRUE))))</f>
        <v>0</v>
      </c>
      <c r="E11" s="43">
        <f>IF(FC_import[[#This Row],[FinanceCodeTypeCode]]="BUDGET",0,COUNTIF(P:P,P11)-1)</f>
        <v>0</v>
      </c>
      <c r="F11" s="43">
        <f>IF(FC_import[[#This Row],[FinanceCodeTypeCode]]="BUDGET",0,COUNTIF(Q:Q,Q11)-1)</f>
        <v>0</v>
      </c>
      <c r="G11" s="43">
        <f>COUNTIF(Lookup!$A$2:$A$7,R11)-1</f>
        <v>0</v>
      </c>
      <c r="H11" s="43">
        <f>IF(OR(FC_import[[#This Row],[FinanceCodeEnabled]]=TRUE,FC_import[[#This Row],[FinanceCodeEnabled]]=FALSE),0,1)</f>
        <v>0</v>
      </c>
      <c r="I11" s="43">
        <f>IF(LEN(FC_import[[#This Row],[FinanceCode]])&lt;100,0,1)</f>
        <v>0</v>
      </c>
      <c r="J11" s="43">
        <f>IF(TRIM(FC_import[[#This Row],[Title]])="",1,0)</f>
        <v>0</v>
      </c>
      <c r="K11" s="43">
        <f>IF(TRIM(FC_import[[#This Row],[FinanceCode]])="",1,0)</f>
        <v>0</v>
      </c>
      <c r="L11" s="43">
        <f>IF(LEN(FC_import[[#This Row],[Title]])&lt;100,0,1)</f>
        <v>0</v>
      </c>
      <c r="M11" s="43">
        <f>IF(ISBLANK(FC_import[[#This Row],[BalanceToScenario]]),1,0)</f>
        <v>0</v>
      </c>
      <c r="N11" s="43">
        <f>IF(SUBSTITUTE(TEXT(FC_import[[#This Row],[FinanceCode]],10)," ","")=TEXT(FC_import[[#This Row],[FinanceCode]],10),0,1)</f>
        <v>0</v>
      </c>
      <c r="O11" s="43">
        <f t="shared" si="0"/>
        <v>1</v>
      </c>
      <c r="P11" t="s">
        <v>1186</v>
      </c>
      <c r="Q11" t="s">
        <v>1187</v>
      </c>
      <c r="R11" t="s">
        <v>1169</v>
      </c>
      <c r="S11" t="s">
        <v>1047</v>
      </c>
      <c r="T11" t="s">
        <v>1035</v>
      </c>
      <c r="U11" s="119"/>
      <c r="V11" t="b">
        <v>1</v>
      </c>
      <c r="X11" t="b">
        <v>1</v>
      </c>
      <c r="Y11" t="b">
        <v>0</v>
      </c>
      <c r="Z11" t="b">
        <f>FALSE</f>
        <v>0</v>
      </c>
    </row>
    <row r="12" spans="1:26" x14ac:dyDescent="0.25">
      <c r="A12" s="43">
        <f>IF(COUNTIF(LEDGER[LedgerCode],FC_import[[#This Row],[LedgerCode]])&gt;0,0,1)</f>
        <v>1</v>
      </c>
      <c r="B12" s="48">
        <f>IF(COUNTIF(Table_System_Grouping_Codes[groupingCodeCode],FC_import[[#This Row],[GroupingCode]])&gt;0,0,1)</f>
        <v>0</v>
      </c>
      <c r="C12" s="43">
        <f>IF(COUNTIF(CUSTGROUP[CustomGroupingCode],FC_import[[#This Row],[CustomGrouping]])&gt;0,0,1)</f>
        <v>0</v>
      </c>
      <c r="D12" s="43" cm="1">
        <f t="array" ref="D12">IF(FC_import[[#This Row],[AvailableToAllSchools]]=TRUE,0,COUNTA(_xlfn.TEXTSPLIT(FC_import[[#This Row],[SchoolCodes]],",",,TRUE))-SUM(COUNTIF(SCHOOLS[SchoolCode],_xlfn.TEXTSPLIT(FC_import[[#This Row],[SchoolCodes]],",",,TRUE))))</f>
        <v>0</v>
      </c>
      <c r="E12" s="43">
        <f>IF(FC_import[[#This Row],[FinanceCodeTypeCode]]="BUDGET",0,COUNTIF(P:P,P12)-1)</f>
        <v>0</v>
      </c>
      <c r="F12" s="43">
        <f>IF(FC_import[[#This Row],[FinanceCodeTypeCode]]="BUDGET",0,COUNTIF(Q:Q,Q12)-1)</f>
        <v>0</v>
      </c>
      <c r="G12" s="43">
        <f>COUNTIF(Lookup!$A$2:$A$7,R12)-1</f>
        <v>0</v>
      </c>
      <c r="H12" s="43">
        <f>IF(OR(FC_import[[#This Row],[FinanceCodeEnabled]]=TRUE,FC_import[[#This Row],[FinanceCodeEnabled]]=FALSE),0,1)</f>
        <v>0</v>
      </c>
      <c r="I12" s="43">
        <f>IF(LEN(FC_import[[#This Row],[FinanceCode]])&lt;100,0,1)</f>
        <v>0</v>
      </c>
      <c r="J12" s="43">
        <f>IF(TRIM(FC_import[[#This Row],[Title]])="",1,0)</f>
        <v>0</v>
      </c>
      <c r="K12" s="43">
        <f>IF(TRIM(FC_import[[#This Row],[FinanceCode]])="",1,0)</f>
        <v>0</v>
      </c>
      <c r="L12" s="43">
        <f>IF(LEN(FC_import[[#This Row],[Title]])&lt;100,0,1)</f>
        <v>0</v>
      </c>
      <c r="M12" s="43">
        <f>IF(ISBLANK(FC_import[[#This Row],[BalanceToScenario]]),1,0)</f>
        <v>0</v>
      </c>
      <c r="N12" s="43">
        <f>IF(SUBSTITUTE(TEXT(FC_import[[#This Row],[FinanceCode]],10)," ","")=TEXT(FC_import[[#This Row],[FinanceCode]],10),0,1)</f>
        <v>0</v>
      </c>
      <c r="O12" s="43">
        <f t="shared" si="0"/>
        <v>1</v>
      </c>
      <c r="P12" t="s">
        <v>1188</v>
      </c>
      <c r="Q12" t="s">
        <v>1189</v>
      </c>
      <c r="R12" t="s">
        <v>1169</v>
      </c>
      <c r="S12" t="s">
        <v>1047</v>
      </c>
      <c r="T12" t="s">
        <v>1035</v>
      </c>
      <c r="U12" s="119"/>
      <c r="V12" t="b">
        <v>1</v>
      </c>
      <c r="X12" t="b">
        <v>1</v>
      </c>
      <c r="Y12" t="b">
        <v>0</v>
      </c>
      <c r="Z12" t="b">
        <f>FALSE</f>
        <v>0</v>
      </c>
    </row>
    <row r="13" spans="1:26" x14ac:dyDescent="0.25">
      <c r="A13" s="43">
        <f>IF(COUNTIF(LEDGER[LedgerCode],FC_import[[#This Row],[LedgerCode]])&gt;0,0,1)</f>
        <v>1</v>
      </c>
      <c r="B13" s="48">
        <f>IF(COUNTIF(Table_System_Grouping_Codes[groupingCodeCode],FC_import[[#This Row],[GroupingCode]])&gt;0,0,1)</f>
        <v>0</v>
      </c>
      <c r="C13" s="43">
        <f>IF(COUNTIF(CUSTGROUP[CustomGroupingCode],FC_import[[#This Row],[CustomGrouping]])&gt;0,0,1)</f>
        <v>0</v>
      </c>
      <c r="D13" s="43" cm="1">
        <f t="array" ref="D13">IF(FC_import[[#This Row],[AvailableToAllSchools]]=TRUE,0,COUNTA(_xlfn.TEXTSPLIT(FC_import[[#This Row],[SchoolCodes]],",",,TRUE))-SUM(COUNTIF(SCHOOLS[SchoolCode],_xlfn.TEXTSPLIT(FC_import[[#This Row],[SchoolCodes]],",",,TRUE))))</f>
        <v>0</v>
      </c>
      <c r="E13" s="43">
        <f>IF(FC_import[[#This Row],[FinanceCodeTypeCode]]="BUDGET",0,COUNTIF(P:P,P13)-1)</f>
        <v>0</v>
      </c>
      <c r="F13" s="43">
        <f>IF(FC_import[[#This Row],[FinanceCodeTypeCode]]="BUDGET",0,COUNTIF(Q:Q,Q13)-1)</f>
        <v>0</v>
      </c>
      <c r="G13" s="43">
        <f>COUNTIF(Lookup!$A$2:$A$7,R13)-1</f>
        <v>0</v>
      </c>
      <c r="H13" s="43">
        <f>IF(OR(FC_import[[#This Row],[FinanceCodeEnabled]]=TRUE,FC_import[[#This Row],[FinanceCodeEnabled]]=FALSE),0,1)</f>
        <v>0</v>
      </c>
      <c r="I13" s="43">
        <f>IF(LEN(FC_import[[#This Row],[FinanceCode]])&lt;100,0,1)</f>
        <v>0</v>
      </c>
      <c r="J13" s="43">
        <f>IF(TRIM(FC_import[[#This Row],[Title]])="",1,0)</f>
        <v>0</v>
      </c>
      <c r="K13" s="43">
        <f>IF(TRIM(FC_import[[#This Row],[FinanceCode]])="",1,0)</f>
        <v>0</v>
      </c>
      <c r="L13" s="43">
        <f>IF(LEN(FC_import[[#This Row],[Title]])&lt;100,0,1)</f>
        <v>0</v>
      </c>
      <c r="M13" s="43">
        <f>IF(ISBLANK(FC_import[[#This Row],[BalanceToScenario]]),1,0)</f>
        <v>0</v>
      </c>
      <c r="N13" s="43">
        <f>IF(SUBSTITUTE(TEXT(FC_import[[#This Row],[FinanceCode]],10)," ","")=TEXT(FC_import[[#This Row],[FinanceCode]],10),0,1)</f>
        <v>0</v>
      </c>
      <c r="O13" s="43">
        <f t="shared" si="0"/>
        <v>1</v>
      </c>
      <c r="P13" t="s">
        <v>1190</v>
      </c>
      <c r="Q13" t="s">
        <v>1191</v>
      </c>
      <c r="R13" t="s">
        <v>1169</v>
      </c>
      <c r="S13" t="s">
        <v>1065</v>
      </c>
      <c r="T13" t="s">
        <v>1035</v>
      </c>
      <c r="U13" s="119"/>
      <c r="V13" t="b">
        <v>1</v>
      </c>
      <c r="X13" t="b">
        <v>1</v>
      </c>
      <c r="Y13" t="b">
        <v>0</v>
      </c>
      <c r="Z13" t="b">
        <f>FALSE</f>
        <v>0</v>
      </c>
    </row>
    <row r="14" spans="1:26" x14ac:dyDescent="0.25">
      <c r="A14" s="43">
        <f>IF(COUNTIF(LEDGER[LedgerCode],FC_import[[#This Row],[LedgerCode]])&gt;0,0,1)</f>
        <v>1</v>
      </c>
      <c r="B14" s="48">
        <f>IF(COUNTIF(Table_System_Grouping_Codes[groupingCodeCode],FC_import[[#This Row],[GroupingCode]])&gt;0,0,1)</f>
        <v>0</v>
      </c>
      <c r="C14" s="43">
        <f>IF(COUNTIF(CUSTGROUP[CustomGroupingCode],FC_import[[#This Row],[CustomGrouping]])&gt;0,0,1)</f>
        <v>0</v>
      </c>
      <c r="D14" s="43" cm="1">
        <f t="array" ref="D14">IF(FC_import[[#This Row],[AvailableToAllSchools]]=TRUE,0,COUNTA(_xlfn.TEXTSPLIT(FC_import[[#This Row],[SchoolCodes]],",",,TRUE))-SUM(COUNTIF(SCHOOLS[SchoolCode],_xlfn.TEXTSPLIT(FC_import[[#This Row],[SchoolCodes]],",",,TRUE))))</f>
        <v>0</v>
      </c>
      <c r="E14" s="43">
        <f>IF(FC_import[[#This Row],[FinanceCodeTypeCode]]="BUDGET",0,COUNTIF(P:P,P14)-1)</f>
        <v>0</v>
      </c>
      <c r="F14" s="43">
        <f>IF(FC_import[[#This Row],[FinanceCodeTypeCode]]="BUDGET",0,COUNTIF(Q:Q,Q14)-1)</f>
        <v>0</v>
      </c>
      <c r="G14" s="43">
        <f>COUNTIF(Lookup!$A$2:$A$7,R14)-1</f>
        <v>0</v>
      </c>
      <c r="H14" s="43">
        <f>IF(OR(FC_import[[#This Row],[FinanceCodeEnabled]]=TRUE,FC_import[[#This Row],[FinanceCodeEnabled]]=FALSE),0,1)</f>
        <v>0</v>
      </c>
      <c r="I14" s="43">
        <f>IF(LEN(FC_import[[#This Row],[FinanceCode]])&lt;100,0,1)</f>
        <v>0</v>
      </c>
      <c r="J14" s="43">
        <f>IF(TRIM(FC_import[[#This Row],[Title]])="",1,0)</f>
        <v>0</v>
      </c>
      <c r="K14" s="43">
        <f>IF(TRIM(FC_import[[#This Row],[FinanceCode]])="",1,0)</f>
        <v>0</v>
      </c>
      <c r="L14" s="43">
        <f>IF(LEN(FC_import[[#This Row],[Title]])&lt;100,0,1)</f>
        <v>0</v>
      </c>
      <c r="M14" s="43">
        <f>IF(ISBLANK(FC_import[[#This Row],[BalanceToScenario]]),1,0)</f>
        <v>0</v>
      </c>
      <c r="N14" s="43">
        <f>IF(SUBSTITUTE(TEXT(FC_import[[#This Row],[FinanceCode]],10)," ","")=TEXT(FC_import[[#This Row],[FinanceCode]],10),0,1)</f>
        <v>0</v>
      </c>
      <c r="O14" s="43">
        <f t="shared" si="0"/>
        <v>1</v>
      </c>
      <c r="P14" t="s">
        <v>1192</v>
      </c>
      <c r="Q14" t="s">
        <v>1193</v>
      </c>
      <c r="R14" t="s">
        <v>1169</v>
      </c>
      <c r="S14" t="s">
        <v>1065</v>
      </c>
      <c r="T14" t="s">
        <v>1035</v>
      </c>
      <c r="U14" s="119"/>
      <c r="V14" t="b">
        <v>1</v>
      </c>
      <c r="X14" t="b">
        <v>1</v>
      </c>
      <c r="Y14" t="b">
        <v>0</v>
      </c>
      <c r="Z14" t="b">
        <f>FALSE</f>
        <v>0</v>
      </c>
    </row>
    <row r="15" spans="1:26" x14ac:dyDescent="0.25">
      <c r="A15" s="43">
        <f>IF(COUNTIF(LEDGER[LedgerCode],FC_import[[#This Row],[LedgerCode]])&gt;0,0,1)</f>
        <v>1</v>
      </c>
      <c r="B15" s="48">
        <f>IF(COUNTIF(Table_System_Grouping_Codes[groupingCodeCode],FC_import[[#This Row],[GroupingCode]])&gt;0,0,1)</f>
        <v>0</v>
      </c>
      <c r="C15" s="43">
        <f>IF(COUNTIF(CUSTGROUP[CustomGroupingCode],FC_import[[#This Row],[CustomGrouping]])&gt;0,0,1)</f>
        <v>0</v>
      </c>
      <c r="D15" s="43" cm="1">
        <f t="array" ref="D15">IF(FC_import[[#This Row],[AvailableToAllSchools]]=TRUE,0,COUNTA(_xlfn.TEXTSPLIT(FC_import[[#This Row],[SchoolCodes]],",",,TRUE))-SUM(COUNTIF(SCHOOLS[SchoolCode],_xlfn.TEXTSPLIT(FC_import[[#This Row],[SchoolCodes]],",",,TRUE))))</f>
        <v>0</v>
      </c>
      <c r="E15" s="43">
        <f>IF(FC_import[[#This Row],[FinanceCodeTypeCode]]="BUDGET",0,COUNTIF(P:P,P15)-1)</f>
        <v>0</v>
      </c>
      <c r="F15" s="43">
        <f>IF(FC_import[[#This Row],[FinanceCodeTypeCode]]="BUDGET",0,COUNTIF(Q:Q,Q15)-1)</f>
        <v>0</v>
      </c>
      <c r="G15" s="43">
        <f>COUNTIF(Lookup!$A$2:$A$7,R15)-1</f>
        <v>0</v>
      </c>
      <c r="H15" s="43">
        <f>IF(OR(FC_import[[#This Row],[FinanceCodeEnabled]]=TRUE,FC_import[[#This Row],[FinanceCodeEnabled]]=FALSE),0,1)</f>
        <v>0</v>
      </c>
      <c r="I15" s="43">
        <f>IF(LEN(FC_import[[#This Row],[FinanceCode]])&lt;100,0,1)</f>
        <v>0</v>
      </c>
      <c r="J15" s="43">
        <f>IF(TRIM(FC_import[[#This Row],[Title]])="",1,0)</f>
        <v>0</v>
      </c>
      <c r="K15" s="43">
        <f>IF(TRIM(FC_import[[#This Row],[FinanceCode]])="",1,0)</f>
        <v>0</v>
      </c>
      <c r="L15" s="43">
        <f>IF(LEN(FC_import[[#This Row],[Title]])&lt;100,0,1)</f>
        <v>0</v>
      </c>
      <c r="M15" s="43">
        <f>IF(ISBLANK(FC_import[[#This Row],[BalanceToScenario]]),1,0)</f>
        <v>0</v>
      </c>
      <c r="N15" s="43">
        <f>IF(SUBSTITUTE(TEXT(FC_import[[#This Row],[FinanceCode]],10)," ","")=TEXT(FC_import[[#This Row],[FinanceCode]],10),0,1)</f>
        <v>0</v>
      </c>
      <c r="O15" s="43">
        <f t="shared" si="0"/>
        <v>1</v>
      </c>
      <c r="P15" t="s">
        <v>1194</v>
      </c>
      <c r="Q15" t="s">
        <v>1195</v>
      </c>
      <c r="R15" t="s">
        <v>1169</v>
      </c>
      <c r="S15" t="s">
        <v>1065</v>
      </c>
      <c r="T15" t="s">
        <v>1035</v>
      </c>
      <c r="U15" s="119"/>
      <c r="V15" t="b">
        <v>1</v>
      </c>
      <c r="X15" t="b">
        <v>1</v>
      </c>
      <c r="Y15" t="b">
        <v>0</v>
      </c>
      <c r="Z15" t="b">
        <f>FALSE</f>
        <v>0</v>
      </c>
    </row>
    <row r="16" spans="1:26" x14ac:dyDescent="0.25">
      <c r="A16" s="43">
        <f>IF(COUNTIF(LEDGER[LedgerCode],FC_import[[#This Row],[LedgerCode]])&gt;0,0,1)</f>
        <v>1</v>
      </c>
      <c r="B16" s="48">
        <f>IF(COUNTIF(Table_System_Grouping_Codes[groupingCodeCode],FC_import[[#This Row],[GroupingCode]])&gt;0,0,1)</f>
        <v>0</v>
      </c>
      <c r="C16" s="43">
        <f>IF(COUNTIF(CUSTGROUP[CustomGroupingCode],FC_import[[#This Row],[CustomGrouping]])&gt;0,0,1)</f>
        <v>0</v>
      </c>
      <c r="D16" s="43" cm="1">
        <f t="array" ref="D16">IF(FC_import[[#This Row],[AvailableToAllSchools]]=TRUE,0,COUNTA(_xlfn.TEXTSPLIT(FC_import[[#This Row],[SchoolCodes]],",",,TRUE))-SUM(COUNTIF(SCHOOLS[SchoolCode],_xlfn.TEXTSPLIT(FC_import[[#This Row],[SchoolCodes]],",",,TRUE))))</f>
        <v>0</v>
      </c>
      <c r="E16" s="43">
        <f>IF(FC_import[[#This Row],[FinanceCodeTypeCode]]="BUDGET",0,COUNTIF(P:P,P16)-1)</f>
        <v>0</v>
      </c>
      <c r="F16" s="43">
        <f>IF(FC_import[[#This Row],[FinanceCodeTypeCode]]="BUDGET",0,COUNTIF(Q:Q,Q16)-1)</f>
        <v>0</v>
      </c>
      <c r="G16" s="43">
        <f>COUNTIF(Lookup!$A$2:$A$7,R16)-1</f>
        <v>0</v>
      </c>
      <c r="H16" s="43">
        <f>IF(OR(FC_import[[#This Row],[FinanceCodeEnabled]]=TRUE,FC_import[[#This Row],[FinanceCodeEnabled]]=FALSE),0,1)</f>
        <v>0</v>
      </c>
      <c r="I16" s="43">
        <f>IF(LEN(FC_import[[#This Row],[FinanceCode]])&lt;100,0,1)</f>
        <v>0</v>
      </c>
      <c r="J16" s="43">
        <f>IF(TRIM(FC_import[[#This Row],[Title]])="",1,0)</f>
        <v>0</v>
      </c>
      <c r="K16" s="43">
        <f>IF(TRIM(FC_import[[#This Row],[FinanceCode]])="",1,0)</f>
        <v>0</v>
      </c>
      <c r="L16" s="43">
        <f>IF(LEN(FC_import[[#This Row],[Title]])&lt;100,0,1)</f>
        <v>0</v>
      </c>
      <c r="M16" s="43">
        <f>IF(ISBLANK(FC_import[[#This Row],[BalanceToScenario]]),1,0)</f>
        <v>0</v>
      </c>
      <c r="N16" s="43">
        <f>IF(SUBSTITUTE(TEXT(FC_import[[#This Row],[FinanceCode]],10)," ","")=TEXT(FC_import[[#This Row],[FinanceCode]],10),0,1)</f>
        <v>0</v>
      </c>
      <c r="O16" s="43">
        <f t="shared" si="0"/>
        <v>1</v>
      </c>
      <c r="P16" t="s">
        <v>1196</v>
      </c>
      <c r="Q16" t="s">
        <v>1197</v>
      </c>
      <c r="R16" t="s">
        <v>1169</v>
      </c>
      <c r="S16" t="s">
        <v>1065</v>
      </c>
      <c r="T16" t="s">
        <v>1035</v>
      </c>
      <c r="U16" s="119"/>
      <c r="V16" t="b">
        <v>1</v>
      </c>
      <c r="X16" t="b">
        <v>1</v>
      </c>
      <c r="Y16" t="b">
        <v>0</v>
      </c>
      <c r="Z16" t="b">
        <f>FALSE</f>
        <v>0</v>
      </c>
    </row>
    <row r="17" spans="1:26" x14ac:dyDescent="0.25">
      <c r="A17" s="43">
        <f>IF(COUNTIF(LEDGER[LedgerCode],FC_import[[#This Row],[LedgerCode]])&gt;0,0,1)</f>
        <v>1</v>
      </c>
      <c r="B17" s="48">
        <f>IF(COUNTIF(Table_System_Grouping_Codes[groupingCodeCode],FC_import[[#This Row],[GroupingCode]])&gt;0,0,1)</f>
        <v>0</v>
      </c>
      <c r="C17" s="43">
        <f>IF(COUNTIF(CUSTGROUP[CustomGroupingCode],FC_import[[#This Row],[CustomGrouping]])&gt;0,0,1)</f>
        <v>0</v>
      </c>
      <c r="D17" s="43" cm="1">
        <f t="array" ref="D17">IF(FC_import[[#This Row],[AvailableToAllSchools]]=TRUE,0,COUNTA(_xlfn.TEXTSPLIT(FC_import[[#This Row],[SchoolCodes]],",",,TRUE))-SUM(COUNTIF(SCHOOLS[SchoolCode],_xlfn.TEXTSPLIT(FC_import[[#This Row],[SchoolCodes]],",",,TRUE))))</f>
        <v>0</v>
      </c>
      <c r="E17" s="43">
        <f>IF(FC_import[[#This Row],[FinanceCodeTypeCode]]="BUDGET",0,COUNTIF(P:P,P17)-1)</f>
        <v>0</v>
      </c>
      <c r="F17" s="43">
        <f>IF(FC_import[[#This Row],[FinanceCodeTypeCode]]="BUDGET",0,COUNTIF(Q:Q,Q17)-1)</f>
        <v>0</v>
      </c>
      <c r="G17" s="43">
        <f>COUNTIF(Lookup!$A$2:$A$7,R17)-1</f>
        <v>0</v>
      </c>
      <c r="H17" s="43">
        <f>IF(OR(FC_import[[#This Row],[FinanceCodeEnabled]]=TRUE,FC_import[[#This Row],[FinanceCodeEnabled]]=FALSE),0,1)</f>
        <v>0</v>
      </c>
      <c r="I17" s="43">
        <f>IF(LEN(FC_import[[#This Row],[FinanceCode]])&lt;100,0,1)</f>
        <v>0</v>
      </c>
      <c r="J17" s="43">
        <f>IF(TRIM(FC_import[[#This Row],[Title]])="",1,0)</f>
        <v>0</v>
      </c>
      <c r="K17" s="43">
        <f>IF(TRIM(FC_import[[#This Row],[FinanceCode]])="",1,0)</f>
        <v>0</v>
      </c>
      <c r="L17" s="43">
        <f>IF(LEN(FC_import[[#This Row],[Title]])&lt;100,0,1)</f>
        <v>0</v>
      </c>
      <c r="M17" s="43">
        <f>IF(ISBLANK(FC_import[[#This Row],[BalanceToScenario]]),1,0)</f>
        <v>0</v>
      </c>
      <c r="N17" s="43">
        <f>IF(SUBSTITUTE(TEXT(FC_import[[#This Row],[FinanceCode]],10)," ","")=TEXT(FC_import[[#This Row],[FinanceCode]],10),0,1)</f>
        <v>0</v>
      </c>
      <c r="O17" s="43">
        <f t="shared" si="0"/>
        <v>1</v>
      </c>
      <c r="P17" t="s">
        <v>1198</v>
      </c>
      <c r="Q17" t="s">
        <v>1199</v>
      </c>
      <c r="R17" t="s">
        <v>1169</v>
      </c>
      <c r="S17" t="s">
        <v>1065</v>
      </c>
      <c r="T17" t="s">
        <v>1035</v>
      </c>
      <c r="U17" s="119"/>
      <c r="V17" t="b">
        <v>1</v>
      </c>
      <c r="X17" t="b">
        <v>1</v>
      </c>
      <c r="Y17" t="b">
        <v>0</v>
      </c>
      <c r="Z17" t="b">
        <f>FALSE</f>
        <v>0</v>
      </c>
    </row>
    <row r="18" spans="1:26" x14ac:dyDescent="0.25">
      <c r="A18" s="43">
        <f>IF(COUNTIF(LEDGER[LedgerCode],FC_import[[#This Row],[LedgerCode]])&gt;0,0,1)</f>
        <v>1</v>
      </c>
      <c r="B18" s="48">
        <f>IF(COUNTIF(Table_System_Grouping_Codes[groupingCodeCode],FC_import[[#This Row],[GroupingCode]])&gt;0,0,1)</f>
        <v>0</v>
      </c>
      <c r="C18" s="43">
        <f>IF(COUNTIF(CUSTGROUP[CustomGroupingCode],FC_import[[#This Row],[CustomGrouping]])&gt;0,0,1)</f>
        <v>0</v>
      </c>
      <c r="D18" s="43" cm="1">
        <f t="array" ref="D18">IF(FC_import[[#This Row],[AvailableToAllSchools]]=TRUE,0,COUNTA(_xlfn.TEXTSPLIT(FC_import[[#This Row],[SchoolCodes]],",",,TRUE))-SUM(COUNTIF(SCHOOLS[SchoolCode],_xlfn.TEXTSPLIT(FC_import[[#This Row],[SchoolCodes]],",",,TRUE))))</f>
        <v>0</v>
      </c>
      <c r="E18" s="43">
        <f>IF(FC_import[[#This Row],[FinanceCodeTypeCode]]="BUDGET",0,COUNTIF(P:P,P18)-1)</f>
        <v>0</v>
      </c>
      <c r="F18" s="43">
        <f>IF(FC_import[[#This Row],[FinanceCodeTypeCode]]="BUDGET",0,COUNTIF(Q:Q,Q18)-1)</f>
        <v>0</v>
      </c>
      <c r="G18" s="43">
        <f>COUNTIF(Lookup!$A$2:$A$7,R18)-1</f>
        <v>0</v>
      </c>
      <c r="H18" s="43">
        <f>IF(OR(FC_import[[#This Row],[FinanceCodeEnabled]]=TRUE,FC_import[[#This Row],[FinanceCodeEnabled]]=FALSE),0,1)</f>
        <v>0</v>
      </c>
      <c r="I18" s="43">
        <f>IF(LEN(FC_import[[#This Row],[FinanceCode]])&lt;100,0,1)</f>
        <v>0</v>
      </c>
      <c r="J18" s="43">
        <f>IF(TRIM(FC_import[[#This Row],[Title]])="",1,0)</f>
        <v>0</v>
      </c>
      <c r="K18" s="43">
        <f>IF(TRIM(FC_import[[#This Row],[FinanceCode]])="",1,0)</f>
        <v>0</v>
      </c>
      <c r="L18" s="43">
        <f>IF(LEN(FC_import[[#This Row],[Title]])&lt;100,0,1)</f>
        <v>0</v>
      </c>
      <c r="M18" s="43">
        <f>IF(ISBLANK(FC_import[[#This Row],[BalanceToScenario]]),1,0)</f>
        <v>0</v>
      </c>
      <c r="N18" s="43">
        <f>IF(SUBSTITUTE(TEXT(FC_import[[#This Row],[FinanceCode]],10)," ","")=TEXT(FC_import[[#This Row],[FinanceCode]],10),0,1)</f>
        <v>0</v>
      </c>
      <c r="O18" s="43">
        <f t="shared" si="0"/>
        <v>1</v>
      </c>
      <c r="P18" t="s">
        <v>1200</v>
      </c>
      <c r="Q18" t="s">
        <v>1201</v>
      </c>
      <c r="R18" t="s">
        <v>1169</v>
      </c>
      <c r="S18" t="s">
        <v>1065</v>
      </c>
      <c r="T18" t="s">
        <v>1035</v>
      </c>
      <c r="U18" s="119"/>
      <c r="V18" t="b">
        <v>1</v>
      </c>
      <c r="X18" t="b">
        <v>1</v>
      </c>
      <c r="Y18" t="b">
        <v>0</v>
      </c>
      <c r="Z18" t="b">
        <f>FALSE</f>
        <v>0</v>
      </c>
    </row>
    <row r="19" spans="1:26" x14ac:dyDescent="0.25">
      <c r="A19" s="43">
        <f>IF(COUNTIF(LEDGER[LedgerCode],FC_import[[#This Row],[LedgerCode]])&gt;0,0,1)</f>
        <v>1</v>
      </c>
      <c r="B19" s="48">
        <f>IF(COUNTIF(Table_System_Grouping_Codes[groupingCodeCode],FC_import[[#This Row],[GroupingCode]])&gt;0,0,1)</f>
        <v>0</v>
      </c>
      <c r="C19" s="43">
        <f>IF(COUNTIF(CUSTGROUP[CustomGroupingCode],FC_import[[#This Row],[CustomGrouping]])&gt;0,0,1)</f>
        <v>0</v>
      </c>
      <c r="D19" s="43" cm="1">
        <f t="array" ref="D19">IF(FC_import[[#This Row],[AvailableToAllSchools]]=TRUE,0,COUNTA(_xlfn.TEXTSPLIT(FC_import[[#This Row],[SchoolCodes]],",",,TRUE))-SUM(COUNTIF(SCHOOLS[SchoolCode],_xlfn.TEXTSPLIT(FC_import[[#This Row],[SchoolCodes]],",",,TRUE))))</f>
        <v>0</v>
      </c>
      <c r="E19" s="43">
        <f>IF(FC_import[[#This Row],[FinanceCodeTypeCode]]="BUDGET",0,COUNTIF(P:P,P19)-1)</f>
        <v>0</v>
      </c>
      <c r="F19" s="43">
        <f>IF(FC_import[[#This Row],[FinanceCodeTypeCode]]="BUDGET",0,COUNTIF(Q:Q,Q19)-1)</f>
        <v>0</v>
      </c>
      <c r="G19" s="43">
        <f>COUNTIF(Lookup!$A$2:$A$7,R19)-1</f>
        <v>0</v>
      </c>
      <c r="H19" s="43">
        <f>IF(OR(FC_import[[#This Row],[FinanceCodeEnabled]]=TRUE,FC_import[[#This Row],[FinanceCodeEnabled]]=FALSE),0,1)</f>
        <v>0</v>
      </c>
      <c r="I19" s="43">
        <f>IF(LEN(FC_import[[#This Row],[FinanceCode]])&lt;100,0,1)</f>
        <v>0</v>
      </c>
      <c r="J19" s="43">
        <f>IF(TRIM(FC_import[[#This Row],[Title]])="",1,0)</f>
        <v>0</v>
      </c>
      <c r="K19" s="43">
        <f>IF(TRIM(FC_import[[#This Row],[FinanceCode]])="",1,0)</f>
        <v>0</v>
      </c>
      <c r="L19" s="43">
        <f>IF(LEN(FC_import[[#This Row],[Title]])&lt;100,0,1)</f>
        <v>0</v>
      </c>
      <c r="M19" s="43">
        <f>IF(ISBLANK(FC_import[[#This Row],[BalanceToScenario]]),1,0)</f>
        <v>0</v>
      </c>
      <c r="N19" s="43">
        <f>IF(SUBSTITUTE(TEXT(FC_import[[#This Row],[FinanceCode]],10)," ","")=TEXT(FC_import[[#This Row],[FinanceCode]],10),0,1)</f>
        <v>0</v>
      </c>
      <c r="O19" s="43">
        <f t="shared" si="0"/>
        <v>1</v>
      </c>
      <c r="P19" t="s">
        <v>1202</v>
      </c>
      <c r="Q19" t="s">
        <v>1203</v>
      </c>
      <c r="R19" t="s">
        <v>1169</v>
      </c>
      <c r="S19" t="s">
        <v>1035</v>
      </c>
      <c r="T19" t="s">
        <v>1035</v>
      </c>
      <c r="U19" s="119"/>
      <c r="V19" t="b">
        <v>1</v>
      </c>
      <c r="X19" t="b">
        <v>1</v>
      </c>
      <c r="Y19" t="b">
        <v>0</v>
      </c>
      <c r="Z19" t="b">
        <f>FALSE</f>
        <v>0</v>
      </c>
    </row>
    <row r="20" spans="1:26" x14ac:dyDescent="0.25">
      <c r="A20" s="43">
        <f>IF(COUNTIF(LEDGER[LedgerCode],FC_import[[#This Row],[LedgerCode]])&gt;0,0,1)</f>
        <v>1</v>
      </c>
      <c r="B20" s="48">
        <f>IF(COUNTIF(Table_System_Grouping_Codes[groupingCodeCode],FC_import[[#This Row],[GroupingCode]])&gt;0,0,1)</f>
        <v>0</v>
      </c>
      <c r="C20" s="43">
        <f>IF(COUNTIF(CUSTGROUP[CustomGroupingCode],FC_import[[#This Row],[CustomGrouping]])&gt;0,0,1)</f>
        <v>0</v>
      </c>
      <c r="D20" s="43" cm="1">
        <f t="array" ref="D20">IF(FC_import[[#This Row],[AvailableToAllSchools]]=TRUE,0,COUNTA(_xlfn.TEXTSPLIT(FC_import[[#This Row],[SchoolCodes]],",",,TRUE))-SUM(COUNTIF(SCHOOLS[SchoolCode],_xlfn.TEXTSPLIT(FC_import[[#This Row],[SchoolCodes]],",",,TRUE))))</f>
        <v>0</v>
      </c>
      <c r="E20" s="43">
        <f>IF(FC_import[[#This Row],[FinanceCodeTypeCode]]="BUDGET",0,COUNTIF(P:P,P20)-1)</f>
        <v>0</v>
      </c>
      <c r="F20" s="43">
        <f>IF(FC_import[[#This Row],[FinanceCodeTypeCode]]="BUDGET",0,COUNTIF(Q:Q,Q20)-1)</f>
        <v>0</v>
      </c>
      <c r="G20" s="43">
        <f>COUNTIF(Lookup!$A$2:$A$7,R20)-1</f>
        <v>0</v>
      </c>
      <c r="H20" s="43">
        <f>IF(OR(FC_import[[#This Row],[FinanceCodeEnabled]]=TRUE,FC_import[[#This Row],[FinanceCodeEnabled]]=FALSE),0,1)</f>
        <v>0</v>
      </c>
      <c r="I20" s="43">
        <f>IF(LEN(FC_import[[#This Row],[FinanceCode]])&lt;100,0,1)</f>
        <v>0</v>
      </c>
      <c r="J20" s="43">
        <f>IF(TRIM(FC_import[[#This Row],[Title]])="",1,0)</f>
        <v>0</v>
      </c>
      <c r="K20" s="43">
        <f>IF(TRIM(FC_import[[#This Row],[FinanceCode]])="",1,0)</f>
        <v>0</v>
      </c>
      <c r="L20" s="43">
        <f>IF(LEN(FC_import[[#This Row],[Title]])&lt;100,0,1)</f>
        <v>0</v>
      </c>
      <c r="M20" s="43">
        <f>IF(ISBLANK(FC_import[[#This Row],[BalanceToScenario]]),1,0)</f>
        <v>0</v>
      </c>
      <c r="N20" s="43">
        <f>IF(SUBSTITUTE(TEXT(FC_import[[#This Row],[FinanceCode]],10)," ","")=TEXT(FC_import[[#This Row],[FinanceCode]],10),0,1)</f>
        <v>0</v>
      </c>
      <c r="O20" s="43">
        <f t="shared" si="0"/>
        <v>1</v>
      </c>
      <c r="P20" t="s">
        <v>1204</v>
      </c>
      <c r="Q20" t="s">
        <v>1205</v>
      </c>
      <c r="R20" t="s">
        <v>1169</v>
      </c>
      <c r="S20" t="s">
        <v>1065</v>
      </c>
      <c r="T20" t="s">
        <v>1035</v>
      </c>
      <c r="U20" s="119"/>
      <c r="V20" t="b">
        <v>1</v>
      </c>
      <c r="X20" t="b">
        <v>1</v>
      </c>
      <c r="Y20" t="b">
        <v>0</v>
      </c>
      <c r="Z20" t="b">
        <f>FALSE</f>
        <v>0</v>
      </c>
    </row>
    <row r="21" spans="1:26" x14ac:dyDescent="0.25">
      <c r="A21" s="43">
        <f>IF(COUNTIF(LEDGER[LedgerCode],FC_import[[#This Row],[LedgerCode]])&gt;0,0,1)</f>
        <v>1</v>
      </c>
      <c r="B21" s="48">
        <f>IF(COUNTIF(Table_System_Grouping_Codes[groupingCodeCode],FC_import[[#This Row],[GroupingCode]])&gt;0,0,1)</f>
        <v>0</v>
      </c>
      <c r="C21" s="43">
        <f>IF(COUNTIF(CUSTGROUP[CustomGroupingCode],FC_import[[#This Row],[CustomGrouping]])&gt;0,0,1)</f>
        <v>0</v>
      </c>
      <c r="D21" s="43" cm="1">
        <f t="array" ref="D21">IF(FC_import[[#This Row],[AvailableToAllSchools]]=TRUE,0,COUNTA(_xlfn.TEXTSPLIT(FC_import[[#This Row],[SchoolCodes]],",",,TRUE))-SUM(COUNTIF(SCHOOLS[SchoolCode],_xlfn.TEXTSPLIT(FC_import[[#This Row],[SchoolCodes]],",",,TRUE))))</f>
        <v>0</v>
      </c>
      <c r="E21" s="43">
        <f>IF(FC_import[[#This Row],[FinanceCodeTypeCode]]="BUDGET",0,COUNTIF(P:P,P21)-1)</f>
        <v>0</v>
      </c>
      <c r="F21" s="43">
        <f>IF(FC_import[[#This Row],[FinanceCodeTypeCode]]="BUDGET",0,COUNTIF(Q:Q,Q21)-1)</f>
        <v>0</v>
      </c>
      <c r="G21" s="43">
        <f>COUNTIF(Lookup!$A$2:$A$7,R21)-1</f>
        <v>0</v>
      </c>
      <c r="H21" s="43">
        <f>IF(OR(FC_import[[#This Row],[FinanceCodeEnabled]]=TRUE,FC_import[[#This Row],[FinanceCodeEnabled]]=FALSE),0,1)</f>
        <v>0</v>
      </c>
      <c r="I21" s="43">
        <f>IF(LEN(FC_import[[#This Row],[FinanceCode]])&lt;100,0,1)</f>
        <v>0</v>
      </c>
      <c r="J21" s="43">
        <f>IF(TRIM(FC_import[[#This Row],[Title]])="",1,0)</f>
        <v>0</v>
      </c>
      <c r="K21" s="43">
        <f>IF(TRIM(FC_import[[#This Row],[FinanceCode]])="",1,0)</f>
        <v>0</v>
      </c>
      <c r="L21" s="43">
        <f>IF(LEN(FC_import[[#This Row],[Title]])&lt;100,0,1)</f>
        <v>0</v>
      </c>
      <c r="M21" s="43">
        <f>IF(ISBLANK(FC_import[[#This Row],[BalanceToScenario]]),1,0)</f>
        <v>0</v>
      </c>
      <c r="N21" s="43">
        <f>IF(SUBSTITUTE(TEXT(FC_import[[#This Row],[FinanceCode]],10)," ","")=TEXT(FC_import[[#This Row],[FinanceCode]],10),0,1)</f>
        <v>0</v>
      </c>
      <c r="O21" s="43">
        <f t="shared" si="0"/>
        <v>1</v>
      </c>
      <c r="P21" t="s">
        <v>1206</v>
      </c>
      <c r="Q21" t="s">
        <v>1207</v>
      </c>
      <c r="R21" t="s">
        <v>1169</v>
      </c>
      <c r="S21" t="s">
        <v>1065</v>
      </c>
      <c r="T21" t="s">
        <v>1035</v>
      </c>
      <c r="U21" s="119"/>
      <c r="V21" t="b">
        <v>1</v>
      </c>
      <c r="X21" t="b">
        <v>1</v>
      </c>
      <c r="Y21" t="b">
        <v>0</v>
      </c>
      <c r="Z21" t="b">
        <f>FALSE</f>
        <v>0</v>
      </c>
    </row>
    <row r="22" spans="1:26" x14ac:dyDescent="0.25">
      <c r="A22" s="43">
        <f>IF(COUNTIF(LEDGER[LedgerCode],FC_import[[#This Row],[LedgerCode]])&gt;0,0,1)</f>
        <v>1</v>
      </c>
      <c r="B22" s="48">
        <f>IF(COUNTIF(Table_System_Grouping_Codes[groupingCodeCode],FC_import[[#This Row],[GroupingCode]])&gt;0,0,1)</f>
        <v>0</v>
      </c>
      <c r="C22" s="43">
        <f>IF(COUNTIF(CUSTGROUP[CustomGroupingCode],FC_import[[#This Row],[CustomGrouping]])&gt;0,0,1)</f>
        <v>0</v>
      </c>
      <c r="D22" s="43" cm="1">
        <f t="array" ref="D22">IF(FC_import[[#This Row],[AvailableToAllSchools]]=TRUE,0,COUNTA(_xlfn.TEXTSPLIT(FC_import[[#This Row],[SchoolCodes]],",",,TRUE))-SUM(COUNTIF(SCHOOLS[SchoolCode],_xlfn.TEXTSPLIT(FC_import[[#This Row],[SchoolCodes]],",",,TRUE))))</f>
        <v>0</v>
      </c>
      <c r="E22" s="43">
        <f>IF(FC_import[[#This Row],[FinanceCodeTypeCode]]="BUDGET",0,COUNTIF(P:P,P22)-1)</f>
        <v>0</v>
      </c>
      <c r="F22" s="43">
        <f>IF(FC_import[[#This Row],[FinanceCodeTypeCode]]="BUDGET",0,COUNTIF(Q:Q,Q22)-1)</f>
        <v>0</v>
      </c>
      <c r="G22" s="43">
        <f>COUNTIF(Lookup!$A$2:$A$7,R22)-1</f>
        <v>0</v>
      </c>
      <c r="H22" s="43">
        <f>IF(OR(FC_import[[#This Row],[FinanceCodeEnabled]]=TRUE,FC_import[[#This Row],[FinanceCodeEnabled]]=FALSE),0,1)</f>
        <v>0</v>
      </c>
      <c r="I22" s="43">
        <f>IF(LEN(FC_import[[#This Row],[FinanceCode]])&lt;100,0,1)</f>
        <v>0</v>
      </c>
      <c r="J22" s="43">
        <f>IF(TRIM(FC_import[[#This Row],[Title]])="",1,0)</f>
        <v>0</v>
      </c>
      <c r="K22" s="43">
        <f>IF(TRIM(FC_import[[#This Row],[FinanceCode]])="",1,0)</f>
        <v>0</v>
      </c>
      <c r="L22" s="43">
        <f>IF(LEN(FC_import[[#This Row],[Title]])&lt;100,0,1)</f>
        <v>0</v>
      </c>
      <c r="M22" s="43">
        <f>IF(ISBLANK(FC_import[[#This Row],[BalanceToScenario]]),1,0)</f>
        <v>0</v>
      </c>
      <c r="N22" s="43">
        <f>IF(SUBSTITUTE(TEXT(FC_import[[#This Row],[FinanceCode]],10)," ","")=TEXT(FC_import[[#This Row],[FinanceCode]],10),0,1)</f>
        <v>0</v>
      </c>
      <c r="O22" s="43">
        <f t="shared" si="0"/>
        <v>1</v>
      </c>
      <c r="P22" t="s">
        <v>1208</v>
      </c>
      <c r="Q22" t="s">
        <v>1209</v>
      </c>
      <c r="R22" t="s">
        <v>1169</v>
      </c>
      <c r="S22" t="s">
        <v>1065</v>
      </c>
      <c r="T22" t="s">
        <v>1035</v>
      </c>
      <c r="U22" s="119"/>
      <c r="V22" t="b">
        <v>1</v>
      </c>
      <c r="X22" t="b">
        <v>1</v>
      </c>
      <c r="Y22" t="b">
        <v>0</v>
      </c>
      <c r="Z22" t="b">
        <f>FALSE</f>
        <v>0</v>
      </c>
    </row>
    <row r="23" spans="1:26" x14ac:dyDescent="0.25">
      <c r="A23" s="43">
        <f>IF(COUNTIF(LEDGER[LedgerCode],FC_import[[#This Row],[LedgerCode]])&gt;0,0,1)</f>
        <v>1</v>
      </c>
      <c r="B23" s="48">
        <f>IF(COUNTIF(Table_System_Grouping_Codes[groupingCodeCode],FC_import[[#This Row],[GroupingCode]])&gt;0,0,1)</f>
        <v>0</v>
      </c>
      <c r="C23" s="43">
        <f>IF(COUNTIF(CUSTGROUP[CustomGroupingCode],FC_import[[#This Row],[CustomGrouping]])&gt;0,0,1)</f>
        <v>0</v>
      </c>
      <c r="D23" s="43" cm="1">
        <f t="array" ref="D23">IF(FC_import[[#This Row],[AvailableToAllSchools]]=TRUE,0,COUNTA(_xlfn.TEXTSPLIT(FC_import[[#This Row],[SchoolCodes]],",",,TRUE))-SUM(COUNTIF(SCHOOLS[SchoolCode],_xlfn.TEXTSPLIT(FC_import[[#This Row],[SchoolCodes]],",",,TRUE))))</f>
        <v>0</v>
      </c>
      <c r="E23" s="43">
        <f>IF(FC_import[[#This Row],[FinanceCodeTypeCode]]="BUDGET",0,COUNTIF(P:P,P23)-1)</f>
        <v>0</v>
      </c>
      <c r="F23" s="43">
        <f>IF(FC_import[[#This Row],[FinanceCodeTypeCode]]="BUDGET",0,COUNTIF(Q:Q,Q23)-1)</f>
        <v>0</v>
      </c>
      <c r="G23" s="43">
        <f>COUNTIF(Lookup!$A$2:$A$7,R23)-1</f>
        <v>0</v>
      </c>
      <c r="H23" s="43">
        <f>IF(OR(FC_import[[#This Row],[FinanceCodeEnabled]]=TRUE,FC_import[[#This Row],[FinanceCodeEnabled]]=FALSE),0,1)</f>
        <v>0</v>
      </c>
      <c r="I23" s="43">
        <f>IF(LEN(FC_import[[#This Row],[FinanceCode]])&lt;100,0,1)</f>
        <v>0</v>
      </c>
      <c r="J23" s="43">
        <f>IF(TRIM(FC_import[[#This Row],[Title]])="",1,0)</f>
        <v>0</v>
      </c>
      <c r="K23" s="43">
        <f>IF(TRIM(FC_import[[#This Row],[FinanceCode]])="",1,0)</f>
        <v>0</v>
      </c>
      <c r="L23" s="43">
        <f>IF(LEN(FC_import[[#This Row],[Title]])&lt;100,0,1)</f>
        <v>0</v>
      </c>
      <c r="M23" s="43">
        <f>IF(ISBLANK(FC_import[[#This Row],[BalanceToScenario]]),1,0)</f>
        <v>0</v>
      </c>
      <c r="N23" s="43">
        <f>IF(SUBSTITUTE(TEXT(FC_import[[#This Row],[FinanceCode]],10)," ","")=TEXT(FC_import[[#This Row],[FinanceCode]],10),0,1)</f>
        <v>0</v>
      </c>
      <c r="O23" s="43">
        <f t="shared" si="0"/>
        <v>1</v>
      </c>
      <c r="P23" t="s">
        <v>1210</v>
      </c>
      <c r="Q23" t="s">
        <v>1211</v>
      </c>
      <c r="R23" t="s">
        <v>1169</v>
      </c>
      <c r="S23" t="s">
        <v>1065</v>
      </c>
      <c r="T23" t="s">
        <v>1035</v>
      </c>
      <c r="U23" s="119"/>
      <c r="V23" t="b">
        <v>1</v>
      </c>
      <c r="X23" t="b">
        <v>1</v>
      </c>
      <c r="Y23" t="b">
        <v>0</v>
      </c>
      <c r="Z23" t="b">
        <f>FALSE</f>
        <v>0</v>
      </c>
    </row>
    <row r="24" spans="1:26" x14ac:dyDescent="0.25">
      <c r="A24" s="43">
        <f>IF(COUNTIF(LEDGER[LedgerCode],FC_import[[#This Row],[LedgerCode]])&gt;0,0,1)</f>
        <v>1</v>
      </c>
      <c r="B24" s="48">
        <f>IF(COUNTIF(Table_System_Grouping_Codes[groupingCodeCode],FC_import[[#This Row],[GroupingCode]])&gt;0,0,1)</f>
        <v>0</v>
      </c>
      <c r="C24" s="43">
        <f>IF(COUNTIF(CUSTGROUP[CustomGroupingCode],FC_import[[#This Row],[CustomGrouping]])&gt;0,0,1)</f>
        <v>0</v>
      </c>
      <c r="D24" s="43" cm="1">
        <f t="array" ref="D24">IF(FC_import[[#This Row],[AvailableToAllSchools]]=TRUE,0,COUNTA(_xlfn.TEXTSPLIT(FC_import[[#This Row],[SchoolCodes]],",",,TRUE))-SUM(COUNTIF(SCHOOLS[SchoolCode],_xlfn.TEXTSPLIT(FC_import[[#This Row],[SchoolCodes]],",",,TRUE))))</f>
        <v>0</v>
      </c>
      <c r="E24" s="43">
        <f>IF(FC_import[[#This Row],[FinanceCodeTypeCode]]="BUDGET",0,COUNTIF(P:P,P24)-1)</f>
        <v>0</v>
      </c>
      <c r="F24" s="43">
        <f>IF(FC_import[[#This Row],[FinanceCodeTypeCode]]="BUDGET",0,COUNTIF(Q:Q,Q24)-1)</f>
        <v>0</v>
      </c>
      <c r="G24" s="43">
        <f>COUNTIF(Lookup!$A$2:$A$7,R24)-1</f>
        <v>0</v>
      </c>
      <c r="H24" s="43">
        <f>IF(OR(FC_import[[#This Row],[FinanceCodeEnabled]]=TRUE,FC_import[[#This Row],[FinanceCodeEnabled]]=FALSE),0,1)</f>
        <v>0</v>
      </c>
      <c r="I24" s="43">
        <f>IF(LEN(FC_import[[#This Row],[FinanceCode]])&lt;100,0,1)</f>
        <v>0</v>
      </c>
      <c r="J24" s="43">
        <f>IF(TRIM(FC_import[[#This Row],[Title]])="",1,0)</f>
        <v>0</v>
      </c>
      <c r="K24" s="43">
        <f>IF(TRIM(FC_import[[#This Row],[FinanceCode]])="",1,0)</f>
        <v>0</v>
      </c>
      <c r="L24" s="43">
        <f>IF(LEN(FC_import[[#This Row],[Title]])&lt;100,0,1)</f>
        <v>0</v>
      </c>
      <c r="M24" s="43">
        <f>IF(ISBLANK(FC_import[[#This Row],[BalanceToScenario]]),1,0)</f>
        <v>0</v>
      </c>
      <c r="N24" s="43">
        <f>IF(SUBSTITUTE(TEXT(FC_import[[#This Row],[FinanceCode]],10)," ","")=TEXT(FC_import[[#This Row],[FinanceCode]],10),0,1)</f>
        <v>0</v>
      </c>
      <c r="O24" s="43">
        <f t="shared" si="0"/>
        <v>1</v>
      </c>
      <c r="P24" t="s">
        <v>1212</v>
      </c>
      <c r="Q24" t="s">
        <v>1213</v>
      </c>
      <c r="R24" t="s">
        <v>1169</v>
      </c>
      <c r="S24" t="s">
        <v>1065</v>
      </c>
      <c r="T24" t="s">
        <v>1035</v>
      </c>
      <c r="U24" s="119"/>
      <c r="V24" t="b">
        <v>1</v>
      </c>
      <c r="X24" t="b">
        <v>1</v>
      </c>
      <c r="Y24" t="b">
        <v>0</v>
      </c>
      <c r="Z24" t="b">
        <f>FALSE</f>
        <v>0</v>
      </c>
    </row>
    <row r="25" spans="1:26" x14ac:dyDescent="0.25">
      <c r="A25" s="43">
        <f>IF(COUNTIF(LEDGER[LedgerCode],FC_import[[#This Row],[LedgerCode]])&gt;0,0,1)</f>
        <v>1</v>
      </c>
      <c r="B25" s="48">
        <f>IF(COUNTIF(Table_System_Grouping_Codes[groupingCodeCode],FC_import[[#This Row],[GroupingCode]])&gt;0,0,1)</f>
        <v>0</v>
      </c>
      <c r="C25" s="43">
        <f>IF(COUNTIF(CUSTGROUP[CustomGroupingCode],FC_import[[#This Row],[CustomGrouping]])&gt;0,0,1)</f>
        <v>0</v>
      </c>
      <c r="D25" s="43" cm="1">
        <f t="array" ref="D25">IF(FC_import[[#This Row],[AvailableToAllSchools]]=TRUE,0,COUNTA(_xlfn.TEXTSPLIT(FC_import[[#This Row],[SchoolCodes]],",",,TRUE))-SUM(COUNTIF(SCHOOLS[SchoolCode],_xlfn.TEXTSPLIT(FC_import[[#This Row],[SchoolCodes]],",",,TRUE))))</f>
        <v>0</v>
      </c>
      <c r="E25" s="43">
        <f>IF(FC_import[[#This Row],[FinanceCodeTypeCode]]="BUDGET",0,COUNTIF(P:P,P25)-1)</f>
        <v>0</v>
      </c>
      <c r="F25" s="43">
        <f>IF(FC_import[[#This Row],[FinanceCodeTypeCode]]="BUDGET",0,COUNTIF(Q:Q,Q25)-1)</f>
        <v>0</v>
      </c>
      <c r="G25" s="43">
        <f>COUNTIF(Lookup!$A$2:$A$7,R25)-1</f>
        <v>0</v>
      </c>
      <c r="H25" s="43">
        <f>IF(OR(FC_import[[#This Row],[FinanceCodeEnabled]]=TRUE,FC_import[[#This Row],[FinanceCodeEnabled]]=FALSE),0,1)</f>
        <v>0</v>
      </c>
      <c r="I25" s="43">
        <f>IF(LEN(FC_import[[#This Row],[FinanceCode]])&lt;100,0,1)</f>
        <v>0</v>
      </c>
      <c r="J25" s="43">
        <f>IF(TRIM(FC_import[[#This Row],[Title]])="",1,0)</f>
        <v>0</v>
      </c>
      <c r="K25" s="43">
        <f>IF(TRIM(FC_import[[#This Row],[FinanceCode]])="",1,0)</f>
        <v>0</v>
      </c>
      <c r="L25" s="43">
        <f>IF(LEN(FC_import[[#This Row],[Title]])&lt;100,0,1)</f>
        <v>0</v>
      </c>
      <c r="M25" s="43">
        <f>IF(ISBLANK(FC_import[[#This Row],[BalanceToScenario]]),1,0)</f>
        <v>0</v>
      </c>
      <c r="N25" s="43">
        <f>IF(SUBSTITUTE(TEXT(FC_import[[#This Row],[FinanceCode]],10)," ","")=TEXT(FC_import[[#This Row],[FinanceCode]],10),0,1)</f>
        <v>0</v>
      </c>
      <c r="O25" s="43">
        <f t="shared" si="0"/>
        <v>1</v>
      </c>
      <c r="P25" t="s">
        <v>1214</v>
      </c>
      <c r="Q25" t="s">
        <v>1215</v>
      </c>
      <c r="R25" t="s">
        <v>1169</v>
      </c>
      <c r="S25" t="s">
        <v>1065</v>
      </c>
      <c r="T25" t="s">
        <v>1035</v>
      </c>
      <c r="U25" s="119"/>
      <c r="V25" t="b">
        <v>1</v>
      </c>
      <c r="X25" t="b">
        <v>1</v>
      </c>
      <c r="Y25" t="b">
        <v>0</v>
      </c>
      <c r="Z25" t="b">
        <f>FALSE</f>
        <v>0</v>
      </c>
    </row>
    <row r="26" spans="1:26" x14ac:dyDescent="0.25">
      <c r="A26" s="43">
        <f>IF(COUNTIF(LEDGER[LedgerCode],FC_import[[#This Row],[LedgerCode]])&gt;0,0,1)</f>
        <v>1</v>
      </c>
      <c r="B26" s="48">
        <f>IF(COUNTIF(Table_System_Grouping_Codes[groupingCodeCode],FC_import[[#This Row],[GroupingCode]])&gt;0,0,1)</f>
        <v>0</v>
      </c>
      <c r="C26" s="43">
        <f>IF(COUNTIF(CUSTGROUP[CustomGroupingCode],FC_import[[#This Row],[CustomGrouping]])&gt;0,0,1)</f>
        <v>0</v>
      </c>
      <c r="D26" s="43" cm="1">
        <f t="array" ref="D26">IF(FC_import[[#This Row],[AvailableToAllSchools]]=TRUE,0,COUNTA(_xlfn.TEXTSPLIT(FC_import[[#This Row],[SchoolCodes]],",",,TRUE))-SUM(COUNTIF(SCHOOLS[SchoolCode],_xlfn.TEXTSPLIT(FC_import[[#This Row],[SchoolCodes]],",",,TRUE))))</f>
        <v>0</v>
      </c>
      <c r="E26" s="43">
        <f>IF(FC_import[[#This Row],[FinanceCodeTypeCode]]="BUDGET",0,COUNTIF(P:P,P26)-1)</f>
        <v>0</v>
      </c>
      <c r="F26" s="43">
        <f>IF(FC_import[[#This Row],[FinanceCodeTypeCode]]="BUDGET",0,COUNTIF(Q:Q,Q26)-1)</f>
        <v>0</v>
      </c>
      <c r="G26" s="43">
        <f>COUNTIF(Lookup!$A$2:$A$7,R26)-1</f>
        <v>0</v>
      </c>
      <c r="H26" s="43">
        <f>IF(OR(FC_import[[#This Row],[FinanceCodeEnabled]]=TRUE,FC_import[[#This Row],[FinanceCodeEnabled]]=FALSE),0,1)</f>
        <v>0</v>
      </c>
      <c r="I26" s="43">
        <f>IF(LEN(FC_import[[#This Row],[FinanceCode]])&lt;100,0,1)</f>
        <v>0</v>
      </c>
      <c r="J26" s="43">
        <f>IF(TRIM(FC_import[[#This Row],[Title]])="",1,0)</f>
        <v>0</v>
      </c>
      <c r="K26" s="43">
        <f>IF(TRIM(FC_import[[#This Row],[FinanceCode]])="",1,0)</f>
        <v>0</v>
      </c>
      <c r="L26" s="43">
        <f>IF(LEN(FC_import[[#This Row],[Title]])&lt;100,0,1)</f>
        <v>0</v>
      </c>
      <c r="M26" s="43">
        <f>IF(ISBLANK(FC_import[[#This Row],[BalanceToScenario]]),1,0)</f>
        <v>0</v>
      </c>
      <c r="N26" s="43">
        <f>IF(SUBSTITUTE(TEXT(FC_import[[#This Row],[FinanceCode]],10)," ","")=TEXT(FC_import[[#This Row],[FinanceCode]],10),0,1)</f>
        <v>0</v>
      </c>
      <c r="O26" s="43">
        <f t="shared" si="0"/>
        <v>1</v>
      </c>
      <c r="P26" t="s">
        <v>1216</v>
      </c>
      <c r="Q26" t="s">
        <v>1217</v>
      </c>
      <c r="R26" t="s">
        <v>1169</v>
      </c>
      <c r="S26" t="s">
        <v>1063</v>
      </c>
      <c r="T26" t="s">
        <v>1035</v>
      </c>
      <c r="U26" s="119"/>
      <c r="V26" t="b">
        <v>1</v>
      </c>
      <c r="X26" t="b">
        <v>1</v>
      </c>
      <c r="Y26" t="b">
        <v>0</v>
      </c>
      <c r="Z26" t="b">
        <f>FALSE</f>
        <v>0</v>
      </c>
    </row>
    <row r="27" spans="1:26" x14ac:dyDescent="0.25">
      <c r="A27" s="43">
        <f>IF(COUNTIF(LEDGER[LedgerCode],FC_import[[#This Row],[LedgerCode]])&gt;0,0,1)</f>
        <v>1</v>
      </c>
      <c r="B27" s="48">
        <f>IF(COUNTIF(Table_System_Grouping_Codes[groupingCodeCode],FC_import[[#This Row],[GroupingCode]])&gt;0,0,1)</f>
        <v>0</v>
      </c>
      <c r="C27" s="43">
        <f>IF(COUNTIF(CUSTGROUP[CustomGroupingCode],FC_import[[#This Row],[CustomGrouping]])&gt;0,0,1)</f>
        <v>0</v>
      </c>
      <c r="D27" s="43" cm="1">
        <f t="array" ref="D27">IF(FC_import[[#This Row],[AvailableToAllSchools]]=TRUE,0,COUNTA(_xlfn.TEXTSPLIT(FC_import[[#This Row],[SchoolCodes]],",",,TRUE))-SUM(COUNTIF(SCHOOLS[SchoolCode],_xlfn.TEXTSPLIT(FC_import[[#This Row],[SchoolCodes]],",",,TRUE))))</f>
        <v>0</v>
      </c>
      <c r="E27" s="43">
        <f>IF(FC_import[[#This Row],[FinanceCodeTypeCode]]="BUDGET",0,COUNTIF(P:P,P27)-1)</f>
        <v>0</v>
      </c>
      <c r="F27" s="43">
        <f>IF(FC_import[[#This Row],[FinanceCodeTypeCode]]="BUDGET",0,COUNTIF(Q:Q,Q27)-1)</f>
        <v>0</v>
      </c>
      <c r="G27" s="43">
        <f>COUNTIF(Lookup!$A$2:$A$7,R27)-1</f>
        <v>0</v>
      </c>
      <c r="H27" s="43">
        <f>IF(OR(FC_import[[#This Row],[FinanceCodeEnabled]]=TRUE,FC_import[[#This Row],[FinanceCodeEnabled]]=FALSE),0,1)</f>
        <v>0</v>
      </c>
      <c r="I27" s="43">
        <f>IF(LEN(FC_import[[#This Row],[FinanceCode]])&lt;100,0,1)</f>
        <v>0</v>
      </c>
      <c r="J27" s="43">
        <f>IF(TRIM(FC_import[[#This Row],[Title]])="",1,0)</f>
        <v>0</v>
      </c>
      <c r="K27" s="43">
        <f>IF(TRIM(FC_import[[#This Row],[FinanceCode]])="",1,0)</f>
        <v>0</v>
      </c>
      <c r="L27" s="43">
        <f>IF(LEN(FC_import[[#This Row],[Title]])&lt;100,0,1)</f>
        <v>0</v>
      </c>
      <c r="M27" s="43">
        <f>IF(ISBLANK(FC_import[[#This Row],[BalanceToScenario]]),1,0)</f>
        <v>0</v>
      </c>
      <c r="N27" s="43">
        <f>IF(SUBSTITUTE(TEXT(FC_import[[#This Row],[FinanceCode]],10)," ","")=TEXT(FC_import[[#This Row],[FinanceCode]],10),0,1)</f>
        <v>0</v>
      </c>
      <c r="O27" s="43">
        <f t="shared" si="0"/>
        <v>1</v>
      </c>
      <c r="P27" t="s">
        <v>1218</v>
      </c>
      <c r="Q27" t="s">
        <v>1219</v>
      </c>
      <c r="R27" t="s">
        <v>1169</v>
      </c>
      <c r="S27" t="s">
        <v>1065</v>
      </c>
      <c r="T27" t="s">
        <v>1035</v>
      </c>
      <c r="U27" s="119"/>
      <c r="V27" t="b">
        <v>1</v>
      </c>
      <c r="X27" t="b">
        <v>1</v>
      </c>
      <c r="Y27" t="b">
        <v>0</v>
      </c>
      <c r="Z27" t="b">
        <f>FALSE</f>
        <v>0</v>
      </c>
    </row>
    <row r="28" spans="1:26" x14ac:dyDescent="0.25">
      <c r="A28" s="43">
        <f>IF(COUNTIF(LEDGER[LedgerCode],FC_import[[#This Row],[LedgerCode]])&gt;0,0,1)</f>
        <v>1</v>
      </c>
      <c r="B28" s="48">
        <f>IF(COUNTIF(Table_System_Grouping_Codes[groupingCodeCode],FC_import[[#This Row],[GroupingCode]])&gt;0,0,1)</f>
        <v>0</v>
      </c>
      <c r="C28" s="43">
        <f>IF(COUNTIF(CUSTGROUP[CustomGroupingCode],FC_import[[#This Row],[CustomGrouping]])&gt;0,0,1)</f>
        <v>0</v>
      </c>
      <c r="D28" s="43" cm="1">
        <f t="array" ref="D28">IF(FC_import[[#This Row],[AvailableToAllSchools]]=TRUE,0,COUNTA(_xlfn.TEXTSPLIT(FC_import[[#This Row],[SchoolCodes]],",",,TRUE))-SUM(COUNTIF(SCHOOLS[SchoolCode],_xlfn.TEXTSPLIT(FC_import[[#This Row],[SchoolCodes]],",",,TRUE))))</f>
        <v>0</v>
      </c>
      <c r="E28" s="43">
        <f>IF(FC_import[[#This Row],[FinanceCodeTypeCode]]="BUDGET",0,COUNTIF(P:P,P28)-1)</f>
        <v>0</v>
      </c>
      <c r="F28" s="43">
        <f>IF(FC_import[[#This Row],[FinanceCodeTypeCode]]="BUDGET",0,COUNTIF(Q:Q,Q28)-1)</f>
        <v>0</v>
      </c>
      <c r="G28" s="43">
        <f>COUNTIF(Lookup!$A$2:$A$7,R28)-1</f>
        <v>0</v>
      </c>
      <c r="H28" s="43">
        <f>IF(OR(FC_import[[#This Row],[FinanceCodeEnabled]]=TRUE,FC_import[[#This Row],[FinanceCodeEnabled]]=FALSE),0,1)</f>
        <v>0</v>
      </c>
      <c r="I28" s="43">
        <f>IF(LEN(FC_import[[#This Row],[FinanceCode]])&lt;100,0,1)</f>
        <v>0</v>
      </c>
      <c r="J28" s="43">
        <f>IF(TRIM(FC_import[[#This Row],[Title]])="",1,0)</f>
        <v>0</v>
      </c>
      <c r="K28" s="43">
        <f>IF(TRIM(FC_import[[#This Row],[FinanceCode]])="",1,0)</f>
        <v>0</v>
      </c>
      <c r="L28" s="43">
        <f>IF(LEN(FC_import[[#This Row],[Title]])&lt;100,0,1)</f>
        <v>0</v>
      </c>
      <c r="M28" s="43">
        <f>IF(ISBLANK(FC_import[[#This Row],[BalanceToScenario]]),1,0)</f>
        <v>0</v>
      </c>
      <c r="N28" s="43">
        <f>IF(SUBSTITUTE(TEXT(FC_import[[#This Row],[FinanceCode]],10)," ","")=TEXT(FC_import[[#This Row],[FinanceCode]],10),0,1)</f>
        <v>0</v>
      </c>
      <c r="O28" s="43">
        <f t="shared" si="0"/>
        <v>1</v>
      </c>
      <c r="P28" t="s">
        <v>1220</v>
      </c>
      <c r="Q28" t="s">
        <v>1221</v>
      </c>
      <c r="R28" t="s">
        <v>1169</v>
      </c>
      <c r="S28" t="s">
        <v>1065</v>
      </c>
      <c r="T28" t="s">
        <v>1035</v>
      </c>
      <c r="U28" s="119"/>
      <c r="V28" t="b">
        <v>1</v>
      </c>
      <c r="X28" t="b">
        <v>1</v>
      </c>
      <c r="Y28" t="b">
        <v>0</v>
      </c>
      <c r="Z28" t="b">
        <f>FALSE</f>
        <v>0</v>
      </c>
    </row>
    <row r="29" spans="1:26" x14ac:dyDescent="0.25">
      <c r="A29" s="43">
        <f>IF(COUNTIF(LEDGER[LedgerCode],FC_import[[#This Row],[LedgerCode]])&gt;0,0,1)</f>
        <v>1</v>
      </c>
      <c r="B29" s="48">
        <f>IF(COUNTIF(Table_System_Grouping_Codes[groupingCodeCode],FC_import[[#This Row],[GroupingCode]])&gt;0,0,1)</f>
        <v>0</v>
      </c>
      <c r="C29" s="43">
        <f>IF(COUNTIF(CUSTGROUP[CustomGroupingCode],FC_import[[#This Row],[CustomGrouping]])&gt;0,0,1)</f>
        <v>0</v>
      </c>
      <c r="D29" s="43" cm="1">
        <f t="array" ref="D29">IF(FC_import[[#This Row],[AvailableToAllSchools]]=TRUE,0,COUNTA(_xlfn.TEXTSPLIT(FC_import[[#This Row],[SchoolCodes]],",",,TRUE))-SUM(COUNTIF(SCHOOLS[SchoolCode],_xlfn.TEXTSPLIT(FC_import[[#This Row],[SchoolCodes]],",",,TRUE))))</f>
        <v>0</v>
      </c>
      <c r="E29" s="43">
        <f>IF(FC_import[[#This Row],[FinanceCodeTypeCode]]="BUDGET",0,COUNTIF(P:P,P29)-1)</f>
        <v>0</v>
      </c>
      <c r="F29" s="43">
        <f>IF(FC_import[[#This Row],[FinanceCodeTypeCode]]="BUDGET",0,COUNTIF(Q:Q,Q29)-1)</f>
        <v>0</v>
      </c>
      <c r="G29" s="43">
        <f>COUNTIF(Lookup!$A$2:$A$7,R29)-1</f>
        <v>0</v>
      </c>
      <c r="H29" s="43">
        <f>IF(OR(FC_import[[#This Row],[FinanceCodeEnabled]]=TRUE,FC_import[[#This Row],[FinanceCodeEnabled]]=FALSE),0,1)</f>
        <v>0</v>
      </c>
      <c r="I29" s="43">
        <f>IF(LEN(FC_import[[#This Row],[FinanceCode]])&lt;100,0,1)</f>
        <v>0</v>
      </c>
      <c r="J29" s="43">
        <f>IF(TRIM(FC_import[[#This Row],[Title]])="",1,0)</f>
        <v>0</v>
      </c>
      <c r="K29" s="43">
        <f>IF(TRIM(FC_import[[#This Row],[FinanceCode]])="",1,0)</f>
        <v>0</v>
      </c>
      <c r="L29" s="43">
        <f>IF(LEN(FC_import[[#This Row],[Title]])&lt;100,0,1)</f>
        <v>0</v>
      </c>
      <c r="M29" s="43">
        <f>IF(ISBLANK(FC_import[[#This Row],[BalanceToScenario]]),1,0)</f>
        <v>0</v>
      </c>
      <c r="N29" s="43">
        <f>IF(SUBSTITUTE(TEXT(FC_import[[#This Row],[FinanceCode]],10)," ","")=TEXT(FC_import[[#This Row],[FinanceCode]],10),0,1)</f>
        <v>0</v>
      </c>
      <c r="O29" s="43">
        <f t="shared" si="0"/>
        <v>1</v>
      </c>
      <c r="P29" t="s">
        <v>1222</v>
      </c>
      <c r="Q29" t="s">
        <v>1223</v>
      </c>
      <c r="R29" t="s">
        <v>1169</v>
      </c>
      <c r="S29" t="s">
        <v>1065</v>
      </c>
      <c r="T29" t="s">
        <v>1035</v>
      </c>
      <c r="U29" s="119"/>
      <c r="V29" t="b">
        <v>1</v>
      </c>
      <c r="X29" t="b">
        <v>1</v>
      </c>
      <c r="Y29" t="b">
        <v>0</v>
      </c>
      <c r="Z29" t="b">
        <f>FALSE</f>
        <v>0</v>
      </c>
    </row>
    <row r="30" spans="1:26" x14ac:dyDescent="0.25">
      <c r="A30" s="43">
        <f>IF(COUNTIF(LEDGER[LedgerCode],FC_import[[#This Row],[LedgerCode]])&gt;0,0,1)</f>
        <v>1</v>
      </c>
      <c r="B30" s="48">
        <f>IF(COUNTIF(Table_System_Grouping_Codes[groupingCodeCode],FC_import[[#This Row],[GroupingCode]])&gt;0,0,1)</f>
        <v>0</v>
      </c>
      <c r="C30" s="43">
        <f>IF(COUNTIF(CUSTGROUP[CustomGroupingCode],FC_import[[#This Row],[CustomGrouping]])&gt;0,0,1)</f>
        <v>0</v>
      </c>
      <c r="D30" s="43" cm="1">
        <f t="array" ref="D30">IF(FC_import[[#This Row],[AvailableToAllSchools]]=TRUE,0,COUNTA(_xlfn.TEXTSPLIT(FC_import[[#This Row],[SchoolCodes]],",",,TRUE))-SUM(COUNTIF(SCHOOLS[SchoolCode],_xlfn.TEXTSPLIT(FC_import[[#This Row],[SchoolCodes]],",",,TRUE))))</f>
        <v>0</v>
      </c>
      <c r="E30" s="43">
        <f>IF(FC_import[[#This Row],[FinanceCodeTypeCode]]="BUDGET",0,COUNTIF(P:P,P30)-1)</f>
        <v>0</v>
      </c>
      <c r="F30" s="43">
        <f>IF(FC_import[[#This Row],[FinanceCodeTypeCode]]="BUDGET",0,COUNTIF(Q:Q,Q30)-1)</f>
        <v>0</v>
      </c>
      <c r="G30" s="43">
        <f>COUNTIF(Lookup!$A$2:$A$7,R30)-1</f>
        <v>0</v>
      </c>
      <c r="H30" s="43">
        <f>IF(OR(FC_import[[#This Row],[FinanceCodeEnabled]]=TRUE,FC_import[[#This Row],[FinanceCodeEnabled]]=FALSE),0,1)</f>
        <v>0</v>
      </c>
      <c r="I30" s="43">
        <f>IF(LEN(FC_import[[#This Row],[FinanceCode]])&lt;100,0,1)</f>
        <v>0</v>
      </c>
      <c r="J30" s="43">
        <f>IF(TRIM(FC_import[[#This Row],[Title]])="",1,0)</f>
        <v>0</v>
      </c>
      <c r="K30" s="43">
        <f>IF(TRIM(FC_import[[#This Row],[FinanceCode]])="",1,0)</f>
        <v>0</v>
      </c>
      <c r="L30" s="43">
        <f>IF(LEN(FC_import[[#This Row],[Title]])&lt;100,0,1)</f>
        <v>0</v>
      </c>
      <c r="M30" s="43">
        <f>IF(ISBLANK(FC_import[[#This Row],[BalanceToScenario]]),1,0)</f>
        <v>0</v>
      </c>
      <c r="N30" s="43">
        <f>IF(SUBSTITUTE(TEXT(FC_import[[#This Row],[FinanceCode]],10)," ","")=TEXT(FC_import[[#This Row],[FinanceCode]],10),0,1)</f>
        <v>0</v>
      </c>
      <c r="O30" s="43">
        <f t="shared" si="0"/>
        <v>1</v>
      </c>
      <c r="P30" t="s">
        <v>1224</v>
      </c>
      <c r="Q30" t="s">
        <v>1225</v>
      </c>
      <c r="R30" t="s">
        <v>1169</v>
      </c>
      <c r="S30" t="s">
        <v>1065</v>
      </c>
      <c r="T30" t="s">
        <v>1035</v>
      </c>
      <c r="U30" s="119"/>
      <c r="V30" t="b">
        <v>1</v>
      </c>
      <c r="X30" t="b">
        <v>1</v>
      </c>
      <c r="Y30" t="b">
        <v>0</v>
      </c>
      <c r="Z30" t="b">
        <f>FALSE</f>
        <v>0</v>
      </c>
    </row>
    <row r="31" spans="1:26" x14ac:dyDescent="0.25">
      <c r="A31" s="43">
        <f>IF(COUNTIF(LEDGER[LedgerCode],FC_import[[#This Row],[LedgerCode]])&gt;0,0,1)</f>
        <v>1</v>
      </c>
      <c r="B31" s="48">
        <f>IF(COUNTIF(Table_System_Grouping_Codes[groupingCodeCode],FC_import[[#This Row],[GroupingCode]])&gt;0,0,1)</f>
        <v>0</v>
      </c>
      <c r="C31" s="43">
        <f>IF(COUNTIF(CUSTGROUP[CustomGroupingCode],FC_import[[#This Row],[CustomGrouping]])&gt;0,0,1)</f>
        <v>0</v>
      </c>
      <c r="D31" s="43" cm="1">
        <f t="array" ref="D31">IF(FC_import[[#This Row],[AvailableToAllSchools]]=TRUE,0,COUNTA(_xlfn.TEXTSPLIT(FC_import[[#This Row],[SchoolCodes]],",",,TRUE))-SUM(COUNTIF(SCHOOLS[SchoolCode],_xlfn.TEXTSPLIT(FC_import[[#This Row],[SchoolCodes]],",",,TRUE))))</f>
        <v>0</v>
      </c>
      <c r="E31" s="43">
        <f>IF(FC_import[[#This Row],[FinanceCodeTypeCode]]="BUDGET",0,COUNTIF(P:P,P31)-1)</f>
        <v>0</v>
      </c>
      <c r="F31" s="43">
        <f>IF(FC_import[[#This Row],[FinanceCodeTypeCode]]="BUDGET",0,COUNTIF(Q:Q,Q31)-1)</f>
        <v>0</v>
      </c>
      <c r="G31" s="43">
        <f>COUNTIF(Lookup!$A$2:$A$7,R31)-1</f>
        <v>0</v>
      </c>
      <c r="H31" s="43">
        <f>IF(OR(FC_import[[#This Row],[FinanceCodeEnabled]]=TRUE,FC_import[[#This Row],[FinanceCodeEnabled]]=FALSE),0,1)</f>
        <v>0</v>
      </c>
      <c r="I31" s="43">
        <f>IF(LEN(FC_import[[#This Row],[FinanceCode]])&lt;100,0,1)</f>
        <v>0</v>
      </c>
      <c r="J31" s="43">
        <f>IF(TRIM(FC_import[[#This Row],[Title]])="",1,0)</f>
        <v>0</v>
      </c>
      <c r="K31" s="43">
        <f>IF(TRIM(FC_import[[#This Row],[FinanceCode]])="",1,0)</f>
        <v>0</v>
      </c>
      <c r="L31" s="43">
        <f>IF(LEN(FC_import[[#This Row],[Title]])&lt;100,0,1)</f>
        <v>0</v>
      </c>
      <c r="M31" s="43">
        <f>IF(ISBLANK(FC_import[[#This Row],[BalanceToScenario]]),1,0)</f>
        <v>0</v>
      </c>
      <c r="N31" s="43">
        <f>IF(SUBSTITUTE(TEXT(FC_import[[#This Row],[FinanceCode]],10)," ","")=TEXT(FC_import[[#This Row],[FinanceCode]],10),0,1)</f>
        <v>0</v>
      </c>
      <c r="O31" s="43">
        <f t="shared" si="0"/>
        <v>1</v>
      </c>
      <c r="P31" t="s">
        <v>1226</v>
      </c>
      <c r="Q31" t="s">
        <v>1227</v>
      </c>
      <c r="R31" t="s">
        <v>1169</v>
      </c>
      <c r="S31" t="s">
        <v>1065</v>
      </c>
      <c r="T31" t="s">
        <v>1035</v>
      </c>
      <c r="U31" s="119"/>
      <c r="V31" t="b">
        <v>1</v>
      </c>
      <c r="X31" t="b">
        <v>1</v>
      </c>
      <c r="Y31" t="b">
        <v>0</v>
      </c>
      <c r="Z31" t="b">
        <f>FALSE</f>
        <v>0</v>
      </c>
    </row>
    <row r="32" spans="1:26" x14ac:dyDescent="0.25">
      <c r="A32" s="43">
        <f>IF(COUNTIF(LEDGER[LedgerCode],FC_import[[#This Row],[LedgerCode]])&gt;0,0,1)</f>
        <v>1</v>
      </c>
      <c r="B32" s="48">
        <f>IF(COUNTIF(Table_System_Grouping_Codes[groupingCodeCode],FC_import[[#This Row],[GroupingCode]])&gt;0,0,1)</f>
        <v>0</v>
      </c>
      <c r="C32" s="43">
        <f>IF(COUNTIF(CUSTGROUP[CustomGroupingCode],FC_import[[#This Row],[CustomGrouping]])&gt;0,0,1)</f>
        <v>0</v>
      </c>
      <c r="D32" s="43" cm="1">
        <f t="array" ref="D32">IF(FC_import[[#This Row],[AvailableToAllSchools]]=TRUE,0,COUNTA(_xlfn.TEXTSPLIT(FC_import[[#This Row],[SchoolCodes]],",",,TRUE))-SUM(COUNTIF(SCHOOLS[SchoolCode],_xlfn.TEXTSPLIT(FC_import[[#This Row],[SchoolCodes]],",",,TRUE))))</f>
        <v>0</v>
      </c>
      <c r="E32" s="43">
        <f>IF(FC_import[[#This Row],[FinanceCodeTypeCode]]="BUDGET",0,COUNTIF(P:P,P32)-1)</f>
        <v>0</v>
      </c>
      <c r="F32" s="43">
        <f>IF(FC_import[[#This Row],[FinanceCodeTypeCode]]="BUDGET",0,COUNTIF(Q:Q,Q32)-1)</f>
        <v>0</v>
      </c>
      <c r="G32" s="43">
        <f>COUNTIF(Lookup!$A$2:$A$7,R32)-1</f>
        <v>0</v>
      </c>
      <c r="H32" s="43">
        <f>IF(OR(FC_import[[#This Row],[FinanceCodeEnabled]]=TRUE,FC_import[[#This Row],[FinanceCodeEnabled]]=FALSE),0,1)</f>
        <v>0</v>
      </c>
      <c r="I32" s="43">
        <f>IF(LEN(FC_import[[#This Row],[FinanceCode]])&lt;100,0,1)</f>
        <v>0</v>
      </c>
      <c r="J32" s="43">
        <f>IF(TRIM(FC_import[[#This Row],[Title]])="",1,0)</f>
        <v>0</v>
      </c>
      <c r="K32" s="43">
        <f>IF(TRIM(FC_import[[#This Row],[FinanceCode]])="",1,0)</f>
        <v>0</v>
      </c>
      <c r="L32" s="43">
        <f>IF(LEN(FC_import[[#This Row],[Title]])&lt;100,0,1)</f>
        <v>0</v>
      </c>
      <c r="M32" s="43">
        <f>IF(ISBLANK(FC_import[[#This Row],[BalanceToScenario]]),1,0)</f>
        <v>0</v>
      </c>
      <c r="N32" s="43">
        <f>IF(SUBSTITUTE(TEXT(FC_import[[#This Row],[FinanceCode]],10)," ","")=TEXT(FC_import[[#This Row],[FinanceCode]],10),0,1)</f>
        <v>0</v>
      </c>
      <c r="O32" s="43">
        <f t="shared" si="0"/>
        <v>1</v>
      </c>
      <c r="P32" t="s">
        <v>1228</v>
      </c>
      <c r="Q32" t="s">
        <v>1229</v>
      </c>
      <c r="R32" t="s">
        <v>1169</v>
      </c>
      <c r="S32" t="s">
        <v>1065</v>
      </c>
      <c r="T32" t="s">
        <v>1035</v>
      </c>
      <c r="U32" s="119"/>
      <c r="V32" t="b">
        <v>1</v>
      </c>
      <c r="X32" t="b">
        <v>1</v>
      </c>
      <c r="Y32" t="b">
        <v>0</v>
      </c>
      <c r="Z32" t="b">
        <f>FALSE</f>
        <v>0</v>
      </c>
    </row>
    <row r="33" spans="1:26" x14ac:dyDescent="0.25">
      <c r="A33" s="43">
        <f>IF(COUNTIF(LEDGER[LedgerCode],FC_import[[#This Row],[LedgerCode]])&gt;0,0,1)</f>
        <v>1</v>
      </c>
      <c r="B33" s="48">
        <f>IF(COUNTIF(Table_System_Grouping_Codes[groupingCodeCode],FC_import[[#This Row],[GroupingCode]])&gt;0,0,1)</f>
        <v>0</v>
      </c>
      <c r="C33" s="43">
        <f>IF(COUNTIF(CUSTGROUP[CustomGroupingCode],FC_import[[#This Row],[CustomGrouping]])&gt;0,0,1)</f>
        <v>0</v>
      </c>
      <c r="D33" s="43" cm="1">
        <f t="array" ref="D33">IF(FC_import[[#This Row],[AvailableToAllSchools]]=TRUE,0,COUNTA(_xlfn.TEXTSPLIT(FC_import[[#This Row],[SchoolCodes]],",",,TRUE))-SUM(COUNTIF(SCHOOLS[SchoolCode],_xlfn.TEXTSPLIT(FC_import[[#This Row],[SchoolCodes]],",",,TRUE))))</f>
        <v>0</v>
      </c>
      <c r="E33" s="43">
        <f>IF(FC_import[[#This Row],[FinanceCodeTypeCode]]="BUDGET",0,COUNTIF(P:P,P33)-1)</f>
        <v>0</v>
      </c>
      <c r="F33" s="43">
        <f>IF(FC_import[[#This Row],[FinanceCodeTypeCode]]="BUDGET",0,COUNTIF(Q:Q,Q33)-1)</f>
        <v>0</v>
      </c>
      <c r="G33" s="43">
        <f>COUNTIF(Lookup!$A$2:$A$7,R33)-1</f>
        <v>0</v>
      </c>
      <c r="H33" s="43">
        <f>IF(OR(FC_import[[#This Row],[FinanceCodeEnabled]]=TRUE,FC_import[[#This Row],[FinanceCodeEnabled]]=FALSE),0,1)</f>
        <v>0</v>
      </c>
      <c r="I33" s="43">
        <f>IF(LEN(FC_import[[#This Row],[FinanceCode]])&lt;100,0,1)</f>
        <v>0</v>
      </c>
      <c r="J33" s="43">
        <f>IF(TRIM(FC_import[[#This Row],[Title]])="",1,0)</f>
        <v>0</v>
      </c>
      <c r="K33" s="43">
        <f>IF(TRIM(FC_import[[#This Row],[FinanceCode]])="",1,0)</f>
        <v>0</v>
      </c>
      <c r="L33" s="43">
        <f>IF(LEN(FC_import[[#This Row],[Title]])&lt;100,0,1)</f>
        <v>0</v>
      </c>
      <c r="M33" s="43">
        <f>IF(ISBLANK(FC_import[[#This Row],[BalanceToScenario]]),1,0)</f>
        <v>0</v>
      </c>
      <c r="N33" s="43">
        <f>IF(SUBSTITUTE(TEXT(FC_import[[#This Row],[FinanceCode]],10)," ","")=TEXT(FC_import[[#This Row],[FinanceCode]],10),0,1)</f>
        <v>0</v>
      </c>
      <c r="O33" s="43">
        <f t="shared" si="0"/>
        <v>1</v>
      </c>
      <c r="P33" t="s">
        <v>1230</v>
      </c>
      <c r="Q33" t="s">
        <v>1064</v>
      </c>
      <c r="R33" t="s">
        <v>1169</v>
      </c>
      <c r="S33" t="s">
        <v>1063</v>
      </c>
      <c r="T33" t="s">
        <v>1035</v>
      </c>
      <c r="U33" s="119"/>
      <c r="V33" t="b">
        <v>1</v>
      </c>
      <c r="X33" t="b">
        <v>1</v>
      </c>
      <c r="Y33" t="b">
        <v>0</v>
      </c>
      <c r="Z33" t="b">
        <f>FALSE</f>
        <v>0</v>
      </c>
    </row>
    <row r="34" spans="1:26" x14ac:dyDescent="0.25">
      <c r="A34" s="43">
        <f>IF(COUNTIF(LEDGER[LedgerCode],FC_import[[#This Row],[LedgerCode]])&gt;0,0,1)</f>
        <v>1</v>
      </c>
      <c r="B34" s="48">
        <f>IF(COUNTIF(Table_System_Grouping_Codes[groupingCodeCode],FC_import[[#This Row],[GroupingCode]])&gt;0,0,1)</f>
        <v>0</v>
      </c>
      <c r="C34" s="43">
        <f>IF(COUNTIF(CUSTGROUP[CustomGroupingCode],FC_import[[#This Row],[CustomGrouping]])&gt;0,0,1)</f>
        <v>0</v>
      </c>
      <c r="D34" s="43" cm="1">
        <f t="array" ref="D34">IF(FC_import[[#This Row],[AvailableToAllSchools]]=TRUE,0,COUNTA(_xlfn.TEXTSPLIT(FC_import[[#This Row],[SchoolCodes]],",",,TRUE))-SUM(COUNTIF(SCHOOLS[SchoolCode],_xlfn.TEXTSPLIT(FC_import[[#This Row],[SchoolCodes]],",",,TRUE))))</f>
        <v>0</v>
      </c>
      <c r="E34" s="43">
        <f>IF(FC_import[[#This Row],[FinanceCodeTypeCode]]="BUDGET",0,COUNTIF(P:P,P34)-1)</f>
        <v>0</v>
      </c>
      <c r="F34" s="43">
        <f>IF(FC_import[[#This Row],[FinanceCodeTypeCode]]="BUDGET",0,COUNTIF(Q:Q,Q34)-1)</f>
        <v>0</v>
      </c>
      <c r="G34" s="43">
        <f>COUNTIF(Lookup!$A$2:$A$7,R34)-1</f>
        <v>0</v>
      </c>
      <c r="H34" s="43">
        <f>IF(OR(FC_import[[#This Row],[FinanceCodeEnabled]]=TRUE,FC_import[[#This Row],[FinanceCodeEnabled]]=FALSE),0,1)</f>
        <v>0</v>
      </c>
      <c r="I34" s="43">
        <f>IF(LEN(FC_import[[#This Row],[FinanceCode]])&lt;100,0,1)</f>
        <v>0</v>
      </c>
      <c r="J34" s="43">
        <f>IF(TRIM(FC_import[[#This Row],[Title]])="",1,0)</f>
        <v>0</v>
      </c>
      <c r="K34" s="43">
        <f>IF(TRIM(FC_import[[#This Row],[FinanceCode]])="",1,0)</f>
        <v>0</v>
      </c>
      <c r="L34" s="43">
        <f>IF(LEN(FC_import[[#This Row],[Title]])&lt;100,0,1)</f>
        <v>0</v>
      </c>
      <c r="M34" s="43">
        <f>IF(ISBLANK(FC_import[[#This Row],[BalanceToScenario]]),1,0)</f>
        <v>0</v>
      </c>
      <c r="N34" s="43">
        <f>IF(SUBSTITUTE(TEXT(FC_import[[#This Row],[FinanceCode]],10)," ","")=TEXT(FC_import[[#This Row],[FinanceCode]],10),0,1)</f>
        <v>0</v>
      </c>
      <c r="O34" s="43">
        <f t="shared" ref="O34:O65" si="1">SUM(A34:C34,E34:N34)</f>
        <v>1</v>
      </c>
      <c r="P34" t="s">
        <v>1231</v>
      </c>
      <c r="Q34" t="s">
        <v>1232</v>
      </c>
      <c r="R34" t="s">
        <v>1169</v>
      </c>
      <c r="S34" t="s">
        <v>1065</v>
      </c>
      <c r="T34" t="s">
        <v>1035</v>
      </c>
      <c r="U34" s="119"/>
      <c r="V34" t="b">
        <v>1</v>
      </c>
      <c r="X34" t="b">
        <v>1</v>
      </c>
      <c r="Y34" t="b">
        <v>0</v>
      </c>
      <c r="Z34" t="b">
        <f>FALSE</f>
        <v>0</v>
      </c>
    </row>
    <row r="35" spans="1:26" x14ac:dyDescent="0.25">
      <c r="A35" s="43">
        <f>IF(COUNTIF(LEDGER[LedgerCode],FC_import[[#This Row],[LedgerCode]])&gt;0,0,1)</f>
        <v>1</v>
      </c>
      <c r="B35" s="48">
        <f>IF(COUNTIF(Table_System_Grouping_Codes[groupingCodeCode],FC_import[[#This Row],[GroupingCode]])&gt;0,0,1)</f>
        <v>0</v>
      </c>
      <c r="C35" s="43">
        <f>IF(COUNTIF(CUSTGROUP[CustomGroupingCode],FC_import[[#This Row],[CustomGrouping]])&gt;0,0,1)</f>
        <v>0</v>
      </c>
      <c r="D35" s="43" cm="1">
        <f t="array" ref="D35">IF(FC_import[[#This Row],[AvailableToAllSchools]]=TRUE,0,COUNTA(_xlfn.TEXTSPLIT(FC_import[[#This Row],[SchoolCodes]],",",,TRUE))-SUM(COUNTIF(SCHOOLS[SchoolCode],_xlfn.TEXTSPLIT(FC_import[[#This Row],[SchoolCodes]],",",,TRUE))))</f>
        <v>0</v>
      </c>
      <c r="E35" s="43">
        <f>IF(FC_import[[#This Row],[FinanceCodeTypeCode]]="BUDGET",0,COUNTIF(P:P,P35)-1)</f>
        <v>0</v>
      </c>
      <c r="F35" s="43">
        <f>IF(FC_import[[#This Row],[FinanceCodeTypeCode]]="BUDGET",0,COUNTIF(Q:Q,Q35)-1)</f>
        <v>0</v>
      </c>
      <c r="G35" s="43">
        <f>COUNTIF(Lookup!$A$2:$A$7,R35)-1</f>
        <v>0</v>
      </c>
      <c r="H35" s="43">
        <f>IF(OR(FC_import[[#This Row],[FinanceCodeEnabled]]=TRUE,FC_import[[#This Row],[FinanceCodeEnabled]]=FALSE),0,1)</f>
        <v>0</v>
      </c>
      <c r="I35" s="43">
        <f>IF(LEN(FC_import[[#This Row],[FinanceCode]])&lt;100,0,1)</f>
        <v>0</v>
      </c>
      <c r="J35" s="43">
        <f>IF(TRIM(FC_import[[#This Row],[Title]])="",1,0)</f>
        <v>0</v>
      </c>
      <c r="K35" s="43">
        <f>IF(TRIM(FC_import[[#This Row],[FinanceCode]])="",1,0)</f>
        <v>0</v>
      </c>
      <c r="L35" s="43">
        <f>IF(LEN(FC_import[[#This Row],[Title]])&lt;100,0,1)</f>
        <v>0</v>
      </c>
      <c r="M35" s="43">
        <f>IF(ISBLANK(FC_import[[#This Row],[BalanceToScenario]]),1,0)</f>
        <v>0</v>
      </c>
      <c r="N35" s="43">
        <f>IF(SUBSTITUTE(TEXT(FC_import[[#This Row],[FinanceCode]],10)," ","")=TEXT(FC_import[[#This Row],[FinanceCode]],10),0,1)</f>
        <v>0</v>
      </c>
      <c r="O35" s="43">
        <f t="shared" si="1"/>
        <v>1</v>
      </c>
      <c r="P35" t="s">
        <v>1233</v>
      </c>
      <c r="Q35" t="s">
        <v>1234</v>
      </c>
      <c r="R35" t="s">
        <v>1169</v>
      </c>
      <c r="S35" t="s">
        <v>1047</v>
      </c>
      <c r="T35" t="s">
        <v>1035</v>
      </c>
      <c r="U35" s="119"/>
      <c r="V35" t="b">
        <v>1</v>
      </c>
      <c r="X35" t="b">
        <v>1</v>
      </c>
      <c r="Y35" t="b">
        <v>0</v>
      </c>
      <c r="Z35" t="b">
        <f>FALSE</f>
        <v>0</v>
      </c>
    </row>
    <row r="36" spans="1:26" x14ac:dyDescent="0.25">
      <c r="A36" s="43">
        <f>IF(COUNTIF(LEDGER[LedgerCode],FC_import[[#This Row],[LedgerCode]])&gt;0,0,1)</f>
        <v>1</v>
      </c>
      <c r="B36" s="48">
        <f>IF(COUNTIF(Table_System_Grouping_Codes[groupingCodeCode],FC_import[[#This Row],[GroupingCode]])&gt;0,0,1)</f>
        <v>0</v>
      </c>
      <c r="C36" s="43">
        <f>IF(COUNTIF(CUSTGROUP[CustomGroupingCode],FC_import[[#This Row],[CustomGrouping]])&gt;0,0,1)</f>
        <v>0</v>
      </c>
      <c r="D36" s="43" cm="1">
        <f t="array" ref="D36">IF(FC_import[[#This Row],[AvailableToAllSchools]]=TRUE,0,COUNTA(_xlfn.TEXTSPLIT(FC_import[[#This Row],[SchoolCodes]],",",,TRUE))-SUM(COUNTIF(SCHOOLS[SchoolCode],_xlfn.TEXTSPLIT(FC_import[[#This Row],[SchoolCodes]],",",,TRUE))))</f>
        <v>0</v>
      </c>
      <c r="E36" s="43">
        <f>IF(FC_import[[#This Row],[FinanceCodeTypeCode]]="BUDGET",0,COUNTIF(P:P,P36)-1)</f>
        <v>0</v>
      </c>
      <c r="F36" s="43">
        <f>IF(FC_import[[#This Row],[FinanceCodeTypeCode]]="BUDGET",0,COUNTIF(Q:Q,Q36)-1)</f>
        <v>0</v>
      </c>
      <c r="G36" s="43">
        <f>COUNTIF(Lookup!$A$2:$A$7,R36)-1</f>
        <v>0</v>
      </c>
      <c r="H36" s="43">
        <f>IF(OR(FC_import[[#This Row],[FinanceCodeEnabled]]=TRUE,FC_import[[#This Row],[FinanceCodeEnabled]]=FALSE),0,1)</f>
        <v>0</v>
      </c>
      <c r="I36" s="43">
        <f>IF(LEN(FC_import[[#This Row],[FinanceCode]])&lt;100,0,1)</f>
        <v>0</v>
      </c>
      <c r="J36" s="43">
        <f>IF(TRIM(FC_import[[#This Row],[Title]])="",1,0)</f>
        <v>0</v>
      </c>
      <c r="K36" s="43">
        <f>IF(TRIM(FC_import[[#This Row],[FinanceCode]])="",1,0)</f>
        <v>0</v>
      </c>
      <c r="L36" s="43">
        <f>IF(LEN(FC_import[[#This Row],[Title]])&lt;100,0,1)</f>
        <v>0</v>
      </c>
      <c r="M36" s="43">
        <f>IF(ISBLANK(FC_import[[#This Row],[BalanceToScenario]]),1,0)</f>
        <v>0</v>
      </c>
      <c r="N36" s="43">
        <f>IF(SUBSTITUTE(TEXT(FC_import[[#This Row],[FinanceCode]],10)," ","")=TEXT(FC_import[[#This Row],[FinanceCode]],10),0,1)</f>
        <v>0</v>
      </c>
      <c r="O36" s="43">
        <f t="shared" si="1"/>
        <v>1</v>
      </c>
      <c r="P36" t="s">
        <v>1235</v>
      </c>
      <c r="Q36" t="s">
        <v>1236</v>
      </c>
      <c r="R36" t="s">
        <v>1169</v>
      </c>
      <c r="S36" t="s">
        <v>1047</v>
      </c>
      <c r="T36" t="s">
        <v>1035</v>
      </c>
      <c r="U36" s="119"/>
      <c r="V36" t="b">
        <v>1</v>
      </c>
      <c r="X36" t="b">
        <v>1</v>
      </c>
      <c r="Y36" t="b">
        <v>0</v>
      </c>
      <c r="Z36" t="b">
        <f>FALSE</f>
        <v>0</v>
      </c>
    </row>
    <row r="37" spans="1:26" x14ac:dyDescent="0.25">
      <c r="A37" s="43">
        <f>IF(COUNTIF(LEDGER[LedgerCode],FC_import[[#This Row],[LedgerCode]])&gt;0,0,1)</f>
        <v>1</v>
      </c>
      <c r="B37" s="48">
        <f>IF(COUNTIF(Table_System_Grouping_Codes[groupingCodeCode],FC_import[[#This Row],[GroupingCode]])&gt;0,0,1)</f>
        <v>0</v>
      </c>
      <c r="C37" s="43">
        <f>IF(COUNTIF(CUSTGROUP[CustomGroupingCode],FC_import[[#This Row],[CustomGrouping]])&gt;0,0,1)</f>
        <v>0</v>
      </c>
      <c r="D37" s="43" cm="1">
        <f t="array" ref="D37">IF(FC_import[[#This Row],[AvailableToAllSchools]]=TRUE,0,COUNTA(_xlfn.TEXTSPLIT(FC_import[[#This Row],[SchoolCodes]],",",,TRUE))-SUM(COUNTIF(SCHOOLS[SchoolCode],_xlfn.TEXTSPLIT(FC_import[[#This Row],[SchoolCodes]],",",,TRUE))))</f>
        <v>0</v>
      </c>
      <c r="E37" s="43">
        <f>IF(FC_import[[#This Row],[FinanceCodeTypeCode]]="BUDGET",0,COUNTIF(P:P,P37)-1)</f>
        <v>0</v>
      </c>
      <c r="F37" s="43">
        <f>IF(FC_import[[#This Row],[FinanceCodeTypeCode]]="BUDGET",0,COUNTIF(Q:Q,Q37)-1)</f>
        <v>0</v>
      </c>
      <c r="G37" s="43">
        <f>COUNTIF(Lookup!$A$2:$A$7,R37)-1</f>
        <v>0</v>
      </c>
      <c r="H37" s="43">
        <f>IF(OR(FC_import[[#This Row],[FinanceCodeEnabled]]=TRUE,FC_import[[#This Row],[FinanceCodeEnabled]]=FALSE),0,1)</f>
        <v>0</v>
      </c>
      <c r="I37" s="43">
        <f>IF(LEN(FC_import[[#This Row],[FinanceCode]])&lt;100,0,1)</f>
        <v>0</v>
      </c>
      <c r="J37" s="43">
        <f>IF(TRIM(FC_import[[#This Row],[Title]])="",1,0)</f>
        <v>0</v>
      </c>
      <c r="K37" s="43">
        <f>IF(TRIM(FC_import[[#This Row],[FinanceCode]])="",1,0)</f>
        <v>0</v>
      </c>
      <c r="L37" s="43">
        <f>IF(LEN(FC_import[[#This Row],[Title]])&lt;100,0,1)</f>
        <v>0</v>
      </c>
      <c r="M37" s="43">
        <f>IF(ISBLANK(FC_import[[#This Row],[BalanceToScenario]]),1,0)</f>
        <v>0</v>
      </c>
      <c r="N37" s="43">
        <f>IF(SUBSTITUTE(TEXT(FC_import[[#This Row],[FinanceCode]],10)," ","")=TEXT(FC_import[[#This Row],[FinanceCode]],10),0,1)</f>
        <v>0</v>
      </c>
      <c r="O37" s="43">
        <f t="shared" si="1"/>
        <v>1</v>
      </c>
      <c r="P37" t="s">
        <v>1237</v>
      </c>
      <c r="Q37" t="s">
        <v>1238</v>
      </c>
      <c r="R37" t="s">
        <v>1169</v>
      </c>
      <c r="S37" t="s">
        <v>1045</v>
      </c>
      <c r="T37" t="s">
        <v>1035</v>
      </c>
      <c r="U37" s="119"/>
      <c r="V37" t="b">
        <v>1</v>
      </c>
      <c r="X37" t="b">
        <v>1</v>
      </c>
      <c r="Y37" t="b">
        <v>0</v>
      </c>
      <c r="Z37" t="b">
        <f>FALSE</f>
        <v>0</v>
      </c>
    </row>
    <row r="38" spans="1:26" x14ac:dyDescent="0.25">
      <c r="A38" s="43">
        <f>IF(COUNTIF(LEDGER[LedgerCode],FC_import[[#This Row],[LedgerCode]])&gt;0,0,1)</f>
        <v>1</v>
      </c>
      <c r="B38" s="48">
        <f>IF(COUNTIF(Table_System_Grouping_Codes[groupingCodeCode],FC_import[[#This Row],[GroupingCode]])&gt;0,0,1)</f>
        <v>0</v>
      </c>
      <c r="C38" s="43">
        <f>IF(COUNTIF(CUSTGROUP[CustomGroupingCode],FC_import[[#This Row],[CustomGrouping]])&gt;0,0,1)</f>
        <v>0</v>
      </c>
      <c r="D38" s="43" cm="1">
        <f t="array" ref="D38">IF(FC_import[[#This Row],[AvailableToAllSchools]]=TRUE,0,COUNTA(_xlfn.TEXTSPLIT(FC_import[[#This Row],[SchoolCodes]],",",,TRUE))-SUM(COUNTIF(SCHOOLS[SchoolCode],_xlfn.TEXTSPLIT(FC_import[[#This Row],[SchoolCodes]],",",,TRUE))))</f>
        <v>0</v>
      </c>
      <c r="E38" s="43">
        <f>IF(FC_import[[#This Row],[FinanceCodeTypeCode]]="BUDGET",0,COUNTIF(P:P,P38)-1)</f>
        <v>0</v>
      </c>
      <c r="F38" s="43">
        <f>IF(FC_import[[#This Row],[FinanceCodeTypeCode]]="BUDGET",0,COUNTIF(Q:Q,Q38)-1)</f>
        <v>0</v>
      </c>
      <c r="G38" s="43">
        <f>COUNTIF(Lookup!$A$2:$A$7,R38)-1</f>
        <v>0</v>
      </c>
      <c r="H38" s="43">
        <f>IF(OR(FC_import[[#This Row],[FinanceCodeEnabled]]=TRUE,FC_import[[#This Row],[FinanceCodeEnabled]]=FALSE),0,1)</f>
        <v>0</v>
      </c>
      <c r="I38" s="43">
        <f>IF(LEN(FC_import[[#This Row],[FinanceCode]])&lt;100,0,1)</f>
        <v>0</v>
      </c>
      <c r="J38" s="43">
        <f>IF(TRIM(FC_import[[#This Row],[Title]])="",1,0)</f>
        <v>0</v>
      </c>
      <c r="K38" s="43">
        <f>IF(TRIM(FC_import[[#This Row],[FinanceCode]])="",1,0)</f>
        <v>0</v>
      </c>
      <c r="L38" s="43">
        <f>IF(LEN(FC_import[[#This Row],[Title]])&lt;100,0,1)</f>
        <v>0</v>
      </c>
      <c r="M38" s="43">
        <f>IF(ISBLANK(FC_import[[#This Row],[BalanceToScenario]]),1,0)</f>
        <v>0</v>
      </c>
      <c r="N38" s="43">
        <f>IF(SUBSTITUTE(TEXT(FC_import[[#This Row],[FinanceCode]],10)," ","")=TEXT(FC_import[[#This Row],[FinanceCode]],10),0,1)</f>
        <v>0</v>
      </c>
      <c r="O38" s="43">
        <f t="shared" si="1"/>
        <v>1</v>
      </c>
      <c r="P38" t="s">
        <v>1239</v>
      </c>
      <c r="Q38" t="s">
        <v>1240</v>
      </c>
      <c r="R38" t="s">
        <v>1169</v>
      </c>
      <c r="S38" t="s">
        <v>1047</v>
      </c>
      <c r="T38" t="s">
        <v>1035</v>
      </c>
      <c r="U38" s="119"/>
      <c r="V38" t="b">
        <v>1</v>
      </c>
      <c r="X38" t="b">
        <v>1</v>
      </c>
      <c r="Y38" t="b">
        <v>0</v>
      </c>
      <c r="Z38" t="b">
        <f>FALSE</f>
        <v>0</v>
      </c>
    </row>
    <row r="39" spans="1:26" x14ac:dyDescent="0.25">
      <c r="A39" s="43">
        <f>IF(COUNTIF(LEDGER[LedgerCode],FC_import[[#This Row],[LedgerCode]])&gt;0,0,1)</f>
        <v>1</v>
      </c>
      <c r="B39" s="48">
        <f>IF(COUNTIF(Table_System_Grouping_Codes[groupingCodeCode],FC_import[[#This Row],[GroupingCode]])&gt;0,0,1)</f>
        <v>0</v>
      </c>
      <c r="C39" s="43">
        <f>IF(COUNTIF(CUSTGROUP[CustomGroupingCode],FC_import[[#This Row],[CustomGrouping]])&gt;0,0,1)</f>
        <v>0</v>
      </c>
      <c r="D39" s="43" cm="1">
        <f t="array" ref="D39">IF(FC_import[[#This Row],[AvailableToAllSchools]]=TRUE,0,COUNTA(_xlfn.TEXTSPLIT(FC_import[[#This Row],[SchoolCodes]],",",,TRUE))-SUM(COUNTIF(SCHOOLS[SchoolCode],_xlfn.TEXTSPLIT(FC_import[[#This Row],[SchoolCodes]],",",,TRUE))))</f>
        <v>0</v>
      </c>
      <c r="E39" s="43">
        <f>IF(FC_import[[#This Row],[FinanceCodeTypeCode]]="BUDGET",0,COUNTIF(P:P,P39)-1)</f>
        <v>0</v>
      </c>
      <c r="F39" s="43">
        <f>IF(FC_import[[#This Row],[FinanceCodeTypeCode]]="BUDGET",0,COUNTIF(Q:Q,Q39)-1)</f>
        <v>0</v>
      </c>
      <c r="G39" s="43">
        <f>COUNTIF(Lookup!$A$2:$A$7,R39)-1</f>
        <v>0</v>
      </c>
      <c r="H39" s="43">
        <f>IF(OR(FC_import[[#This Row],[FinanceCodeEnabled]]=TRUE,FC_import[[#This Row],[FinanceCodeEnabled]]=FALSE),0,1)</f>
        <v>0</v>
      </c>
      <c r="I39" s="43">
        <f>IF(LEN(FC_import[[#This Row],[FinanceCode]])&lt;100,0,1)</f>
        <v>0</v>
      </c>
      <c r="J39" s="43">
        <f>IF(TRIM(FC_import[[#This Row],[Title]])="",1,0)</f>
        <v>0</v>
      </c>
      <c r="K39" s="43">
        <f>IF(TRIM(FC_import[[#This Row],[FinanceCode]])="",1,0)</f>
        <v>0</v>
      </c>
      <c r="L39" s="43">
        <f>IF(LEN(FC_import[[#This Row],[Title]])&lt;100,0,1)</f>
        <v>0</v>
      </c>
      <c r="M39" s="43">
        <f>IF(ISBLANK(FC_import[[#This Row],[BalanceToScenario]]),1,0)</f>
        <v>0</v>
      </c>
      <c r="N39" s="43">
        <f>IF(SUBSTITUTE(TEXT(FC_import[[#This Row],[FinanceCode]],10)," ","")=TEXT(FC_import[[#This Row],[FinanceCode]],10),0,1)</f>
        <v>0</v>
      </c>
      <c r="O39" s="43">
        <f t="shared" si="1"/>
        <v>1</v>
      </c>
      <c r="P39" t="s">
        <v>1241</v>
      </c>
      <c r="Q39" t="s">
        <v>1242</v>
      </c>
      <c r="R39" t="s">
        <v>1169</v>
      </c>
      <c r="S39" t="s">
        <v>1047</v>
      </c>
      <c r="T39" t="s">
        <v>1035</v>
      </c>
      <c r="U39" s="119"/>
      <c r="V39" t="b">
        <v>1</v>
      </c>
      <c r="X39" t="b">
        <v>1</v>
      </c>
      <c r="Y39" t="b">
        <v>0</v>
      </c>
      <c r="Z39" t="b">
        <f>FALSE</f>
        <v>0</v>
      </c>
    </row>
    <row r="40" spans="1:26" x14ac:dyDescent="0.25">
      <c r="A40" s="43">
        <f>IF(COUNTIF(LEDGER[LedgerCode],FC_import[[#This Row],[LedgerCode]])&gt;0,0,1)</f>
        <v>1</v>
      </c>
      <c r="B40" s="48">
        <f>IF(COUNTIF(Table_System_Grouping_Codes[groupingCodeCode],FC_import[[#This Row],[GroupingCode]])&gt;0,0,1)</f>
        <v>0</v>
      </c>
      <c r="C40" s="43">
        <f>IF(COUNTIF(CUSTGROUP[CustomGroupingCode],FC_import[[#This Row],[CustomGrouping]])&gt;0,0,1)</f>
        <v>0</v>
      </c>
      <c r="D40" s="43" cm="1">
        <f t="array" ref="D40">IF(FC_import[[#This Row],[AvailableToAllSchools]]=TRUE,0,COUNTA(_xlfn.TEXTSPLIT(FC_import[[#This Row],[SchoolCodes]],",",,TRUE))-SUM(COUNTIF(SCHOOLS[SchoolCode],_xlfn.TEXTSPLIT(FC_import[[#This Row],[SchoolCodes]],",",,TRUE))))</f>
        <v>0</v>
      </c>
      <c r="E40" s="43">
        <f>IF(FC_import[[#This Row],[FinanceCodeTypeCode]]="BUDGET",0,COUNTIF(P:P,P40)-1)</f>
        <v>0</v>
      </c>
      <c r="F40" s="43">
        <f>IF(FC_import[[#This Row],[FinanceCodeTypeCode]]="BUDGET",0,COUNTIF(Q:Q,Q40)-1)</f>
        <v>0</v>
      </c>
      <c r="G40" s="43">
        <f>COUNTIF(Lookup!$A$2:$A$7,R40)-1</f>
        <v>0</v>
      </c>
      <c r="H40" s="43">
        <f>IF(OR(FC_import[[#This Row],[FinanceCodeEnabled]]=TRUE,FC_import[[#This Row],[FinanceCodeEnabled]]=FALSE),0,1)</f>
        <v>0</v>
      </c>
      <c r="I40" s="43">
        <f>IF(LEN(FC_import[[#This Row],[FinanceCode]])&lt;100,0,1)</f>
        <v>0</v>
      </c>
      <c r="J40" s="43">
        <f>IF(TRIM(FC_import[[#This Row],[Title]])="",1,0)</f>
        <v>0</v>
      </c>
      <c r="K40" s="43">
        <f>IF(TRIM(FC_import[[#This Row],[FinanceCode]])="",1,0)</f>
        <v>0</v>
      </c>
      <c r="L40" s="43">
        <f>IF(LEN(FC_import[[#This Row],[Title]])&lt;100,0,1)</f>
        <v>0</v>
      </c>
      <c r="M40" s="43">
        <f>IF(ISBLANK(FC_import[[#This Row],[BalanceToScenario]]),1,0)</f>
        <v>0</v>
      </c>
      <c r="N40" s="43">
        <f>IF(SUBSTITUTE(TEXT(FC_import[[#This Row],[FinanceCode]],10)," ","")=TEXT(FC_import[[#This Row],[FinanceCode]],10),0,1)</f>
        <v>0</v>
      </c>
      <c r="O40" s="43">
        <f t="shared" si="1"/>
        <v>1</v>
      </c>
      <c r="P40" t="s">
        <v>1243</v>
      </c>
      <c r="Q40" t="s">
        <v>1244</v>
      </c>
      <c r="R40" t="s">
        <v>1169</v>
      </c>
      <c r="S40" t="s">
        <v>1047</v>
      </c>
      <c r="T40" t="s">
        <v>1035</v>
      </c>
      <c r="U40" s="119"/>
      <c r="V40" t="b">
        <v>1</v>
      </c>
      <c r="X40" t="b">
        <v>1</v>
      </c>
      <c r="Y40" t="b">
        <v>0</v>
      </c>
      <c r="Z40" t="b">
        <f>FALSE</f>
        <v>0</v>
      </c>
    </row>
    <row r="41" spans="1:26" x14ac:dyDescent="0.25">
      <c r="A41" s="43">
        <f>IF(COUNTIF(LEDGER[LedgerCode],FC_import[[#This Row],[LedgerCode]])&gt;0,0,1)</f>
        <v>1</v>
      </c>
      <c r="B41" s="48">
        <f>IF(COUNTIF(Table_System_Grouping_Codes[groupingCodeCode],FC_import[[#This Row],[GroupingCode]])&gt;0,0,1)</f>
        <v>0</v>
      </c>
      <c r="C41" s="43">
        <f>IF(COUNTIF(CUSTGROUP[CustomGroupingCode],FC_import[[#This Row],[CustomGrouping]])&gt;0,0,1)</f>
        <v>0</v>
      </c>
      <c r="D41" s="43" cm="1">
        <f t="array" ref="D41">IF(FC_import[[#This Row],[AvailableToAllSchools]]=TRUE,0,COUNTA(_xlfn.TEXTSPLIT(FC_import[[#This Row],[SchoolCodes]],",",,TRUE))-SUM(COUNTIF(SCHOOLS[SchoolCode],_xlfn.TEXTSPLIT(FC_import[[#This Row],[SchoolCodes]],",",,TRUE))))</f>
        <v>0</v>
      </c>
      <c r="E41" s="43">
        <f>IF(FC_import[[#This Row],[FinanceCodeTypeCode]]="BUDGET",0,COUNTIF(P:P,P41)-1)</f>
        <v>0</v>
      </c>
      <c r="F41" s="43">
        <f>IF(FC_import[[#This Row],[FinanceCodeTypeCode]]="BUDGET",0,COUNTIF(Q:Q,Q41)-1)</f>
        <v>0</v>
      </c>
      <c r="G41" s="43">
        <f>COUNTIF(Lookup!$A$2:$A$7,R41)-1</f>
        <v>0</v>
      </c>
      <c r="H41" s="43">
        <f>IF(OR(FC_import[[#This Row],[FinanceCodeEnabled]]=TRUE,FC_import[[#This Row],[FinanceCodeEnabled]]=FALSE),0,1)</f>
        <v>0</v>
      </c>
      <c r="I41" s="43">
        <f>IF(LEN(FC_import[[#This Row],[FinanceCode]])&lt;100,0,1)</f>
        <v>0</v>
      </c>
      <c r="J41" s="43">
        <f>IF(TRIM(FC_import[[#This Row],[Title]])="",1,0)</f>
        <v>0</v>
      </c>
      <c r="K41" s="43">
        <f>IF(TRIM(FC_import[[#This Row],[FinanceCode]])="",1,0)</f>
        <v>0</v>
      </c>
      <c r="L41" s="43">
        <f>IF(LEN(FC_import[[#This Row],[Title]])&lt;100,0,1)</f>
        <v>0</v>
      </c>
      <c r="M41" s="43">
        <f>IF(ISBLANK(FC_import[[#This Row],[BalanceToScenario]]),1,0)</f>
        <v>0</v>
      </c>
      <c r="N41" s="43">
        <f>IF(SUBSTITUTE(TEXT(FC_import[[#This Row],[FinanceCode]],10)," ","")=TEXT(FC_import[[#This Row],[FinanceCode]],10),0,1)</f>
        <v>0</v>
      </c>
      <c r="O41" s="43">
        <f t="shared" si="1"/>
        <v>1</v>
      </c>
      <c r="P41" t="s">
        <v>1245</v>
      </c>
      <c r="Q41" t="s">
        <v>1246</v>
      </c>
      <c r="R41" t="s">
        <v>1169</v>
      </c>
      <c r="S41" t="s">
        <v>1047</v>
      </c>
      <c r="T41" t="s">
        <v>1035</v>
      </c>
      <c r="U41" s="119"/>
      <c r="V41" t="b">
        <v>1</v>
      </c>
      <c r="X41" t="b">
        <v>1</v>
      </c>
      <c r="Y41" t="b">
        <v>0</v>
      </c>
      <c r="Z41" t="b">
        <f>FALSE</f>
        <v>0</v>
      </c>
    </row>
    <row r="42" spans="1:26" x14ac:dyDescent="0.25">
      <c r="A42" s="43">
        <f>IF(COUNTIF(LEDGER[LedgerCode],FC_import[[#This Row],[LedgerCode]])&gt;0,0,1)</f>
        <v>1</v>
      </c>
      <c r="B42" s="48">
        <f>IF(COUNTIF(Table_System_Grouping_Codes[groupingCodeCode],FC_import[[#This Row],[GroupingCode]])&gt;0,0,1)</f>
        <v>0</v>
      </c>
      <c r="C42" s="43">
        <f>IF(COUNTIF(CUSTGROUP[CustomGroupingCode],FC_import[[#This Row],[CustomGrouping]])&gt;0,0,1)</f>
        <v>0</v>
      </c>
      <c r="D42" s="43" cm="1">
        <f t="array" ref="D42">IF(FC_import[[#This Row],[AvailableToAllSchools]]=TRUE,0,COUNTA(_xlfn.TEXTSPLIT(FC_import[[#This Row],[SchoolCodes]],",",,TRUE))-SUM(COUNTIF(SCHOOLS[SchoolCode],_xlfn.TEXTSPLIT(FC_import[[#This Row],[SchoolCodes]],",",,TRUE))))</f>
        <v>0</v>
      </c>
      <c r="E42" s="43">
        <f>IF(FC_import[[#This Row],[FinanceCodeTypeCode]]="BUDGET",0,COUNTIF(P:P,P42)-1)</f>
        <v>0</v>
      </c>
      <c r="F42" s="43">
        <f>IF(FC_import[[#This Row],[FinanceCodeTypeCode]]="BUDGET",0,COUNTIF(Q:Q,Q42)-1)</f>
        <v>0</v>
      </c>
      <c r="G42" s="43">
        <f>COUNTIF(Lookup!$A$2:$A$7,R42)-1</f>
        <v>0</v>
      </c>
      <c r="H42" s="43">
        <f>IF(OR(FC_import[[#This Row],[FinanceCodeEnabled]]=TRUE,FC_import[[#This Row],[FinanceCodeEnabled]]=FALSE),0,1)</f>
        <v>0</v>
      </c>
      <c r="I42" s="43">
        <f>IF(LEN(FC_import[[#This Row],[FinanceCode]])&lt;100,0,1)</f>
        <v>0</v>
      </c>
      <c r="J42" s="43">
        <f>IF(TRIM(FC_import[[#This Row],[Title]])="",1,0)</f>
        <v>0</v>
      </c>
      <c r="K42" s="43">
        <f>IF(TRIM(FC_import[[#This Row],[FinanceCode]])="",1,0)</f>
        <v>0</v>
      </c>
      <c r="L42" s="43">
        <f>IF(LEN(FC_import[[#This Row],[Title]])&lt;100,0,1)</f>
        <v>0</v>
      </c>
      <c r="M42" s="43">
        <f>IF(ISBLANK(FC_import[[#This Row],[BalanceToScenario]]),1,0)</f>
        <v>0</v>
      </c>
      <c r="N42" s="43">
        <f>IF(SUBSTITUTE(TEXT(FC_import[[#This Row],[FinanceCode]],10)," ","")=TEXT(FC_import[[#This Row],[FinanceCode]],10),0,1)</f>
        <v>0</v>
      </c>
      <c r="O42" s="43">
        <f t="shared" si="1"/>
        <v>1</v>
      </c>
      <c r="P42" t="s">
        <v>1247</v>
      </c>
      <c r="Q42" t="s">
        <v>1248</v>
      </c>
      <c r="R42" t="s">
        <v>1169</v>
      </c>
      <c r="S42" t="s">
        <v>1047</v>
      </c>
      <c r="T42" t="s">
        <v>1035</v>
      </c>
      <c r="U42" s="119"/>
      <c r="V42" t="b">
        <v>1</v>
      </c>
      <c r="X42" t="b">
        <v>1</v>
      </c>
      <c r="Y42" t="b">
        <v>0</v>
      </c>
      <c r="Z42" t="b">
        <f>FALSE</f>
        <v>0</v>
      </c>
    </row>
    <row r="43" spans="1:26" x14ac:dyDescent="0.25">
      <c r="A43" s="43">
        <f>IF(COUNTIF(LEDGER[LedgerCode],FC_import[[#This Row],[LedgerCode]])&gt;0,0,1)</f>
        <v>1</v>
      </c>
      <c r="B43" s="48">
        <f>IF(COUNTIF(Table_System_Grouping_Codes[groupingCodeCode],FC_import[[#This Row],[GroupingCode]])&gt;0,0,1)</f>
        <v>0</v>
      </c>
      <c r="C43" s="43">
        <f>IF(COUNTIF(CUSTGROUP[CustomGroupingCode],FC_import[[#This Row],[CustomGrouping]])&gt;0,0,1)</f>
        <v>0</v>
      </c>
      <c r="D43" s="43" cm="1">
        <f t="array" ref="D43">IF(FC_import[[#This Row],[AvailableToAllSchools]]=TRUE,0,COUNTA(_xlfn.TEXTSPLIT(FC_import[[#This Row],[SchoolCodes]],",",,TRUE))-SUM(COUNTIF(SCHOOLS[SchoolCode],_xlfn.TEXTSPLIT(FC_import[[#This Row],[SchoolCodes]],",",,TRUE))))</f>
        <v>0</v>
      </c>
      <c r="E43" s="43">
        <f>IF(FC_import[[#This Row],[FinanceCodeTypeCode]]="BUDGET",0,COUNTIF(P:P,P43)-1)</f>
        <v>0</v>
      </c>
      <c r="F43" s="43">
        <f>IF(FC_import[[#This Row],[FinanceCodeTypeCode]]="BUDGET",0,COUNTIF(Q:Q,Q43)-1)</f>
        <v>0</v>
      </c>
      <c r="G43" s="43">
        <f>COUNTIF(Lookup!$A$2:$A$7,R43)-1</f>
        <v>0</v>
      </c>
      <c r="H43" s="43">
        <f>IF(OR(FC_import[[#This Row],[FinanceCodeEnabled]]=TRUE,FC_import[[#This Row],[FinanceCodeEnabled]]=FALSE),0,1)</f>
        <v>0</v>
      </c>
      <c r="I43" s="43">
        <f>IF(LEN(FC_import[[#This Row],[FinanceCode]])&lt;100,0,1)</f>
        <v>0</v>
      </c>
      <c r="J43" s="43">
        <f>IF(TRIM(FC_import[[#This Row],[Title]])="",1,0)</f>
        <v>0</v>
      </c>
      <c r="K43" s="43">
        <f>IF(TRIM(FC_import[[#This Row],[FinanceCode]])="",1,0)</f>
        <v>0</v>
      </c>
      <c r="L43" s="43">
        <f>IF(LEN(FC_import[[#This Row],[Title]])&lt;100,0,1)</f>
        <v>0</v>
      </c>
      <c r="M43" s="43">
        <f>IF(ISBLANK(FC_import[[#This Row],[BalanceToScenario]]),1,0)</f>
        <v>0</v>
      </c>
      <c r="N43" s="43">
        <f>IF(SUBSTITUTE(TEXT(FC_import[[#This Row],[FinanceCode]],10)," ","")=TEXT(FC_import[[#This Row],[FinanceCode]],10),0,1)</f>
        <v>0</v>
      </c>
      <c r="O43" s="43">
        <f t="shared" si="1"/>
        <v>1</v>
      </c>
      <c r="P43" t="s">
        <v>1249</v>
      </c>
      <c r="Q43" t="s">
        <v>1250</v>
      </c>
      <c r="R43" t="s">
        <v>1169</v>
      </c>
      <c r="S43" t="s">
        <v>1047</v>
      </c>
      <c r="T43" t="s">
        <v>1035</v>
      </c>
      <c r="U43" s="119"/>
      <c r="V43" t="b">
        <v>1</v>
      </c>
      <c r="X43" t="b">
        <v>1</v>
      </c>
      <c r="Y43" t="b">
        <v>0</v>
      </c>
      <c r="Z43" t="b">
        <f>FALSE</f>
        <v>0</v>
      </c>
    </row>
    <row r="44" spans="1:26" x14ac:dyDescent="0.25">
      <c r="A44" s="43">
        <f>IF(COUNTIF(LEDGER[LedgerCode],FC_import[[#This Row],[LedgerCode]])&gt;0,0,1)</f>
        <v>1</v>
      </c>
      <c r="B44" s="48">
        <f>IF(COUNTIF(Table_System_Grouping_Codes[groupingCodeCode],FC_import[[#This Row],[GroupingCode]])&gt;0,0,1)</f>
        <v>0</v>
      </c>
      <c r="C44" s="43">
        <f>IF(COUNTIF(CUSTGROUP[CustomGroupingCode],FC_import[[#This Row],[CustomGrouping]])&gt;0,0,1)</f>
        <v>0</v>
      </c>
      <c r="D44" s="43" cm="1">
        <f t="array" ref="D44">IF(FC_import[[#This Row],[AvailableToAllSchools]]=TRUE,0,COUNTA(_xlfn.TEXTSPLIT(FC_import[[#This Row],[SchoolCodes]],",",,TRUE))-SUM(COUNTIF(SCHOOLS[SchoolCode],_xlfn.TEXTSPLIT(FC_import[[#This Row],[SchoolCodes]],",",,TRUE))))</f>
        <v>0</v>
      </c>
      <c r="E44" s="43">
        <f>IF(FC_import[[#This Row],[FinanceCodeTypeCode]]="BUDGET",0,COUNTIF(P:P,P44)-1)</f>
        <v>0</v>
      </c>
      <c r="F44" s="43">
        <f>IF(FC_import[[#This Row],[FinanceCodeTypeCode]]="BUDGET",0,COUNTIF(Q:Q,Q44)-1)</f>
        <v>0</v>
      </c>
      <c r="G44" s="43">
        <f>COUNTIF(Lookup!$A$2:$A$7,R44)-1</f>
        <v>0</v>
      </c>
      <c r="H44" s="43">
        <f>IF(OR(FC_import[[#This Row],[FinanceCodeEnabled]]=TRUE,FC_import[[#This Row],[FinanceCodeEnabled]]=FALSE),0,1)</f>
        <v>0</v>
      </c>
      <c r="I44" s="43">
        <f>IF(LEN(FC_import[[#This Row],[FinanceCode]])&lt;100,0,1)</f>
        <v>0</v>
      </c>
      <c r="J44" s="43">
        <f>IF(TRIM(FC_import[[#This Row],[Title]])="",1,0)</f>
        <v>0</v>
      </c>
      <c r="K44" s="43">
        <f>IF(TRIM(FC_import[[#This Row],[FinanceCode]])="",1,0)</f>
        <v>0</v>
      </c>
      <c r="L44" s="43">
        <f>IF(LEN(FC_import[[#This Row],[Title]])&lt;100,0,1)</f>
        <v>0</v>
      </c>
      <c r="M44" s="43">
        <f>IF(ISBLANK(FC_import[[#This Row],[BalanceToScenario]]),1,0)</f>
        <v>0</v>
      </c>
      <c r="N44" s="43">
        <f>IF(SUBSTITUTE(TEXT(FC_import[[#This Row],[FinanceCode]],10)," ","")=TEXT(FC_import[[#This Row],[FinanceCode]],10),0,1)</f>
        <v>0</v>
      </c>
      <c r="O44" s="43">
        <f t="shared" si="1"/>
        <v>1</v>
      </c>
      <c r="P44" t="s">
        <v>1251</v>
      </c>
      <c r="Q44" t="s">
        <v>1046</v>
      </c>
      <c r="R44" t="s">
        <v>1169</v>
      </c>
      <c r="S44" t="s">
        <v>1045</v>
      </c>
      <c r="T44" t="s">
        <v>1035</v>
      </c>
      <c r="U44" s="119"/>
      <c r="V44" t="b">
        <v>1</v>
      </c>
      <c r="X44" t="b">
        <v>1</v>
      </c>
      <c r="Y44" t="b">
        <v>0</v>
      </c>
      <c r="Z44" t="b">
        <f>FALSE</f>
        <v>0</v>
      </c>
    </row>
    <row r="45" spans="1:26" x14ac:dyDescent="0.25">
      <c r="A45" s="43">
        <f>IF(COUNTIF(LEDGER[LedgerCode],FC_import[[#This Row],[LedgerCode]])&gt;0,0,1)</f>
        <v>1</v>
      </c>
      <c r="B45" s="48">
        <f>IF(COUNTIF(Table_System_Grouping_Codes[groupingCodeCode],FC_import[[#This Row],[GroupingCode]])&gt;0,0,1)</f>
        <v>0</v>
      </c>
      <c r="C45" s="43">
        <f>IF(COUNTIF(CUSTGROUP[CustomGroupingCode],FC_import[[#This Row],[CustomGrouping]])&gt;0,0,1)</f>
        <v>0</v>
      </c>
      <c r="D45" s="43" cm="1">
        <f t="array" ref="D45">IF(FC_import[[#This Row],[AvailableToAllSchools]]=TRUE,0,COUNTA(_xlfn.TEXTSPLIT(FC_import[[#This Row],[SchoolCodes]],",",,TRUE))-SUM(COUNTIF(SCHOOLS[SchoolCode],_xlfn.TEXTSPLIT(FC_import[[#This Row],[SchoolCodes]],",",,TRUE))))</f>
        <v>0</v>
      </c>
      <c r="E45" s="43">
        <f>IF(FC_import[[#This Row],[FinanceCodeTypeCode]]="BUDGET",0,COUNTIF(P:P,P45)-1)</f>
        <v>0</v>
      </c>
      <c r="F45" s="43">
        <f>IF(FC_import[[#This Row],[FinanceCodeTypeCode]]="BUDGET",0,COUNTIF(Q:Q,Q45)-1)</f>
        <v>0</v>
      </c>
      <c r="G45" s="43">
        <f>COUNTIF(Lookup!$A$2:$A$7,R45)-1</f>
        <v>0</v>
      </c>
      <c r="H45" s="43">
        <f>IF(OR(FC_import[[#This Row],[FinanceCodeEnabled]]=TRUE,FC_import[[#This Row],[FinanceCodeEnabled]]=FALSE),0,1)</f>
        <v>0</v>
      </c>
      <c r="I45" s="43">
        <f>IF(LEN(FC_import[[#This Row],[FinanceCode]])&lt;100,0,1)</f>
        <v>0</v>
      </c>
      <c r="J45" s="43">
        <f>IF(TRIM(FC_import[[#This Row],[Title]])="",1,0)</f>
        <v>0</v>
      </c>
      <c r="K45" s="43">
        <f>IF(TRIM(FC_import[[#This Row],[FinanceCode]])="",1,0)</f>
        <v>0</v>
      </c>
      <c r="L45" s="43">
        <f>IF(LEN(FC_import[[#This Row],[Title]])&lt;100,0,1)</f>
        <v>0</v>
      </c>
      <c r="M45" s="43">
        <f>IF(ISBLANK(FC_import[[#This Row],[BalanceToScenario]]),1,0)</f>
        <v>0</v>
      </c>
      <c r="N45" s="43">
        <f>IF(SUBSTITUTE(TEXT(FC_import[[#This Row],[FinanceCode]],10)," ","")=TEXT(FC_import[[#This Row],[FinanceCode]],10),0,1)</f>
        <v>0</v>
      </c>
      <c r="O45" s="43">
        <f t="shared" si="1"/>
        <v>1</v>
      </c>
      <c r="P45" t="s">
        <v>1252</v>
      </c>
      <c r="Q45" t="s">
        <v>1253</v>
      </c>
      <c r="R45" t="s">
        <v>1169</v>
      </c>
      <c r="S45" t="s">
        <v>1047</v>
      </c>
      <c r="T45" t="s">
        <v>1035</v>
      </c>
      <c r="U45" s="119"/>
      <c r="V45" t="b">
        <v>1</v>
      </c>
      <c r="X45" t="b">
        <v>1</v>
      </c>
      <c r="Y45" t="b">
        <v>0</v>
      </c>
      <c r="Z45" t="b">
        <f>FALSE</f>
        <v>0</v>
      </c>
    </row>
    <row r="46" spans="1:26" x14ac:dyDescent="0.25">
      <c r="A46" s="43">
        <f>IF(COUNTIF(LEDGER[LedgerCode],FC_import[[#This Row],[LedgerCode]])&gt;0,0,1)</f>
        <v>1</v>
      </c>
      <c r="B46" s="48">
        <f>IF(COUNTIF(Table_System_Grouping_Codes[groupingCodeCode],FC_import[[#This Row],[GroupingCode]])&gt;0,0,1)</f>
        <v>0</v>
      </c>
      <c r="C46" s="43">
        <f>IF(COUNTIF(CUSTGROUP[CustomGroupingCode],FC_import[[#This Row],[CustomGrouping]])&gt;0,0,1)</f>
        <v>0</v>
      </c>
      <c r="D46" s="43" cm="1">
        <f t="array" ref="D46">IF(FC_import[[#This Row],[AvailableToAllSchools]]=TRUE,0,COUNTA(_xlfn.TEXTSPLIT(FC_import[[#This Row],[SchoolCodes]],",",,TRUE))-SUM(COUNTIF(SCHOOLS[SchoolCode],_xlfn.TEXTSPLIT(FC_import[[#This Row],[SchoolCodes]],",",,TRUE))))</f>
        <v>0</v>
      </c>
      <c r="E46" s="43">
        <f>IF(FC_import[[#This Row],[FinanceCodeTypeCode]]="BUDGET",0,COUNTIF(P:P,P46)-1)</f>
        <v>0</v>
      </c>
      <c r="F46" s="43">
        <f>IF(FC_import[[#This Row],[FinanceCodeTypeCode]]="BUDGET",0,COUNTIF(Q:Q,Q46)-1)</f>
        <v>0</v>
      </c>
      <c r="G46" s="43">
        <f>COUNTIF(Lookup!$A$2:$A$7,R46)-1</f>
        <v>0</v>
      </c>
      <c r="H46" s="43">
        <f>IF(OR(FC_import[[#This Row],[FinanceCodeEnabled]]=TRUE,FC_import[[#This Row],[FinanceCodeEnabled]]=FALSE),0,1)</f>
        <v>0</v>
      </c>
      <c r="I46" s="43">
        <f>IF(LEN(FC_import[[#This Row],[FinanceCode]])&lt;100,0,1)</f>
        <v>0</v>
      </c>
      <c r="J46" s="43">
        <f>IF(TRIM(FC_import[[#This Row],[Title]])="",1,0)</f>
        <v>0</v>
      </c>
      <c r="K46" s="43">
        <f>IF(TRIM(FC_import[[#This Row],[FinanceCode]])="",1,0)</f>
        <v>0</v>
      </c>
      <c r="L46" s="43">
        <f>IF(LEN(FC_import[[#This Row],[Title]])&lt;100,0,1)</f>
        <v>0</v>
      </c>
      <c r="M46" s="43">
        <f>IF(ISBLANK(FC_import[[#This Row],[BalanceToScenario]]),1,0)</f>
        <v>0</v>
      </c>
      <c r="N46" s="43">
        <f>IF(SUBSTITUTE(TEXT(FC_import[[#This Row],[FinanceCode]],10)," ","")=TEXT(FC_import[[#This Row],[FinanceCode]],10),0,1)</f>
        <v>0</v>
      </c>
      <c r="O46" s="43">
        <f t="shared" si="1"/>
        <v>1</v>
      </c>
      <c r="P46" t="s">
        <v>1254</v>
      </c>
      <c r="Q46" t="s">
        <v>1255</v>
      </c>
      <c r="R46" t="s">
        <v>1169</v>
      </c>
      <c r="S46" t="s">
        <v>1035</v>
      </c>
      <c r="T46" t="s">
        <v>1035</v>
      </c>
      <c r="U46" s="119"/>
      <c r="V46" t="b">
        <v>1</v>
      </c>
      <c r="X46" t="b">
        <v>1</v>
      </c>
      <c r="Y46" t="b">
        <v>0</v>
      </c>
      <c r="Z46" t="b">
        <f>FALSE</f>
        <v>0</v>
      </c>
    </row>
    <row r="47" spans="1:26" x14ac:dyDescent="0.25">
      <c r="A47" s="43">
        <f>IF(COUNTIF(LEDGER[LedgerCode],FC_import[[#This Row],[LedgerCode]])&gt;0,0,1)</f>
        <v>1</v>
      </c>
      <c r="B47" s="48">
        <f>IF(COUNTIF(Table_System_Grouping_Codes[groupingCodeCode],FC_import[[#This Row],[GroupingCode]])&gt;0,0,1)</f>
        <v>0</v>
      </c>
      <c r="C47" s="43">
        <f>IF(COUNTIF(CUSTGROUP[CustomGroupingCode],FC_import[[#This Row],[CustomGrouping]])&gt;0,0,1)</f>
        <v>0</v>
      </c>
      <c r="D47" s="43" cm="1">
        <f t="array" ref="D47">IF(FC_import[[#This Row],[AvailableToAllSchools]]=TRUE,0,COUNTA(_xlfn.TEXTSPLIT(FC_import[[#This Row],[SchoolCodes]],",",,TRUE))-SUM(COUNTIF(SCHOOLS[SchoolCode],_xlfn.TEXTSPLIT(FC_import[[#This Row],[SchoolCodes]],",",,TRUE))))</f>
        <v>0</v>
      </c>
      <c r="E47" s="43">
        <f>IF(FC_import[[#This Row],[FinanceCodeTypeCode]]="BUDGET",0,COUNTIF(P:P,P47)-1)</f>
        <v>0</v>
      </c>
      <c r="F47" s="43">
        <f>IF(FC_import[[#This Row],[FinanceCodeTypeCode]]="BUDGET",0,COUNTIF(Q:Q,Q47)-1)</f>
        <v>0</v>
      </c>
      <c r="G47" s="43">
        <f>COUNTIF(Lookup!$A$2:$A$7,R47)-1</f>
        <v>0</v>
      </c>
      <c r="H47" s="43">
        <f>IF(OR(FC_import[[#This Row],[FinanceCodeEnabled]]=TRUE,FC_import[[#This Row],[FinanceCodeEnabled]]=FALSE),0,1)</f>
        <v>0</v>
      </c>
      <c r="I47" s="43">
        <f>IF(LEN(FC_import[[#This Row],[FinanceCode]])&lt;100,0,1)</f>
        <v>0</v>
      </c>
      <c r="J47" s="43">
        <f>IF(TRIM(FC_import[[#This Row],[Title]])="",1,0)</f>
        <v>0</v>
      </c>
      <c r="K47" s="43">
        <f>IF(TRIM(FC_import[[#This Row],[FinanceCode]])="",1,0)</f>
        <v>0</v>
      </c>
      <c r="L47" s="43">
        <f>IF(LEN(FC_import[[#This Row],[Title]])&lt;100,0,1)</f>
        <v>0</v>
      </c>
      <c r="M47" s="43">
        <f>IF(ISBLANK(FC_import[[#This Row],[BalanceToScenario]]),1,0)</f>
        <v>0</v>
      </c>
      <c r="N47" s="43">
        <f>IF(SUBSTITUTE(TEXT(FC_import[[#This Row],[FinanceCode]],10)," ","")=TEXT(FC_import[[#This Row],[FinanceCode]],10),0,1)</f>
        <v>0</v>
      </c>
      <c r="O47" s="43">
        <f t="shared" si="1"/>
        <v>1</v>
      </c>
      <c r="P47" t="s">
        <v>1256</v>
      </c>
      <c r="Q47" t="s">
        <v>1257</v>
      </c>
      <c r="R47" t="s">
        <v>1169</v>
      </c>
      <c r="S47" t="s">
        <v>1035</v>
      </c>
      <c r="T47" t="s">
        <v>1035</v>
      </c>
      <c r="U47" s="119"/>
      <c r="V47" t="b">
        <v>1</v>
      </c>
      <c r="X47" t="b">
        <v>1</v>
      </c>
      <c r="Y47" t="b">
        <v>0</v>
      </c>
      <c r="Z47" t="b">
        <f>FALSE</f>
        <v>0</v>
      </c>
    </row>
    <row r="48" spans="1:26" x14ac:dyDescent="0.25">
      <c r="A48" s="43">
        <f>IF(COUNTIF(LEDGER[LedgerCode],FC_import[[#This Row],[LedgerCode]])&gt;0,0,1)</f>
        <v>1</v>
      </c>
      <c r="B48" s="48">
        <f>IF(COUNTIF(Table_System_Grouping_Codes[groupingCodeCode],FC_import[[#This Row],[GroupingCode]])&gt;0,0,1)</f>
        <v>0</v>
      </c>
      <c r="C48" s="43">
        <f>IF(COUNTIF(CUSTGROUP[CustomGroupingCode],FC_import[[#This Row],[CustomGrouping]])&gt;0,0,1)</f>
        <v>0</v>
      </c>
      <c r="D48" s="43" cm="1">
        <f t="array" ref="D48">IF(FC_import[[#This Row],[AvailableToAllSchools]]=TRUE,0,COUNTA(_xlfn.TEXTSPLIT(FC_import[[#This Row],[SchoolCodes]],",",,TRUE))-SUM(COUNTIF(SCHOOLS[SchoolCode],_xlfn.TEXTSPLIT(FC_import[[#This Row],[SchoolCodes]],",",,TRUE))))</f>
        <v>0</v>
      </c>
      <c r="E48" s="43">
        <f>IF(FC_import[[#This Row],[FinanceCodeTypeCode]]="BUDGET",0,COUNTIF(P:P,P48)-1)</f>
        <v>0</v>
      </c>
      <c r="F48" s="43">
        <f>IF(FC_import[[#This Row],[FinanceCodeTypeCode]]="BUDGET",0,COUNTIF(Q:Q,Q48)-1)</f>
        <v>0</v>
      </c>
      <c r="G48" s="43">
        <f>COUNTIF(Lookup!$A$2:$A$7,R48)-1</f>
        <v>0</v>
      </c>
      <c r="H48" s="43">
        <f>IF(OR(FC_import[[#This Row],[FinanceCodeEnabled]]=TRUE,FC_import[[#This Row],[FinanceCodeEnabled]]=FALSE),0,1)</f>
        <v>0</v>
      </c>
      <c r="I48" s="43">
        <f>IF(LEN(FC_import[[#This Row],[FinanceCode]])&lt;100,0,1)</f>
        <v>0</v>
      </c>
      <c r="J48" s="43">
        <f>IF(TRIM(FC_import[[#This Row],[Title]])="",1,0)</f>
        <v>0</v>
      </c>
      <c r="K48" s="43">
        <f>IF(TRIM(FC_import[[#This Row],[FinanceCode]])="",1,0)</f>
        <v>0</v>
      </c>
      <c r="L48" s="43">
        <f>IF(LEN(FC_import[[#This Row],[Title]])&lt;100,0,1)</f>
        <v>0</v>
      </c>
      <c r="M48" s="43">
        <f>IF(ISBLANK(FC_import[[#This Row],[BalanceToScenario]]),1,0)</f>
        <v>0</v>
      </c>
      <c r="N48" s="43">
        <f>IF(SUBSTITUTE(TEXT(FC_import[[#This Row],[FinanceCode]],10)," ","")=TEXT(FC_import[[#This Row],[FinanceCode]],10),0,1)</f>
        <v>0</v>
      </c>
      <c r="O48" s="43">
        <f t="shared" si="1"/>
        <v>1</v>
      </c>
      <c r="P48" t="s">
        <v>1258</v>
      </c>
      <c r="Q48" t="s">
        <v>1259</v>
      </c>
      <c r="R48" t="s">
        <v>1169</v>
      </c>
      <c r="S48" t="s">
        <v>1035</v>
      </c>
      <c r="T48" t="s">
        <v>1035</v>
      </c>
      <c r="U48" s="119"/>
      <c r="V48" t="b">
        <v>1</v>
      </c>
      <c r="X48" t="b">
        <v>1</v>
      </c>
      <c r="Y48" t="b">
        <v>0</v>
      </c>
      <c r="Z48" t="b">
        <f>FALSE</f>
        <v>0</v>
      </c>
    </row>
    <row r="49" spans="1:26" x14ac:dyDescent="0.25">
      <c r="A49" s="43">
        <f>IF(COUNTIF(LEDGER[LedgerCode],FC_import[[#This Row],[LedgerCode]])&gt;0,0,1)</f>
        <v>1</v>
      </c>
      <c r="B49" s="48">
        <f>IF(COUNTIF(Table_System_Grouping_Codes[groupingCodeCode],FC_import[[#This Row],[GroupingCode]])&gt;0,0,1)</f>
        <v>0</v>
      </c>
      <c r="C49" s="43">
        <f>IF(COUNTIF(CUSTGROUP[CustomGroupingCode],FC_import[[#This Row],[CustomGrouping]])&gt;0,0,1)</f>
        <v>0</v>
      </c>
      <c r="D49" s="43" cm="1">
        <f t="array" ref="D49">IF(FC_import[[#This Row],[AvailableToAllSchools]]=TRUE,0,COUNTA(_xlfn.TEXTSPLIT(FC_import[[#This Row],[SchoolCodes]],",",,TRUE))-SUM(COUNTIF(SCHOOLS[SchoolCode],_xlfn.TEXTSPLIT(FC_import[[#This Row],[SchoolCodes]],",",,TRUE))))</f>
        <v>0</v>
      </c>
      <c r="E49" s="43">
        <f>IF(FC_import[[#This Row],[FinanceCodeTypeCode]]="BUDGET",0,COUNTIF(P:P,P49)-1)</f>
        <v>0</v>
      </c>
      <c r="F49" s="43">
        <f>IF(FC_import[[#This Row],[FinanceCodeTypeCode]]="BUDGET",0,COUNTIF(Q:Q,Q49)-1)</f>
        <v>0</v>
      </c>
      <c r="G49" s="43">
        <f>COUNTIF(Lookup!$A$2:$A$7,R49)-1</f>
        <v>0</v>
      </c>
      <c r="H49" s="43">
        <f>IF(OR(FC_import[[#This Row],[FinanceCodeEnabled]]=TRUE,FC_import[[#This Row],[FinanceCodeEnabled]]=FALSE),0,1)</f>
        <v>0</v>
      </c>
      <c r="I49" s="43">
        <f>IF(LEN(FC_import[[#This Row],[FinanceCode]])&lt;100,0,1)</f>
        <v>0</v>
      </c>
      <c r="J49" s="43">
        <f>IF(TRIM(FC_import[[#This Row],[Title]])="",1,0)</f>
        <v>0</v>
      </c>
      <c r="K49" s="43">
        <f>IF(TRIM(FC_import[[#This Row],[FinanceCode]])="",1,0)</f>
        <v>0</v>
      </c>
      <c r="L49" s="43">
        <f>IF(LEN(FC_import[[#This Row],[Title]])&lt;100,0,1)</f>
        <v>0</v>
      </c>
      <c r="M49" s="43">
        <f>IF(ISBLANK(FC_import[[#This Row],[BalanceToScenario]]),1,0)</f>
        <v>0</v>
      </c>
      <c r="N49" s="43">
        <f>IF(SUBSTITUTE(TEXT(FC_import[[#This Row],[FinanceCode]],10)," ","")=TEXT(FC_import[[#This Row],[FinanceCode]],10),0,1)</f>
        <v>0</v>
      </c>
      <c r="O49" s="43">
        <f t="shared" si="1"/>
        <v>1</v>
      </c>
      <c r="P49" t="s">
        <v>1260</v>
      </c>
      <c r="Q49" t="s">
        <v>1261</v>
      </c>
      <c r="R49" t="s">
        <v>1169</v>
      </c>
      <c r="S49" t="s">
        <v>1043</v>
      </c>
      <c r="T49" t="s">
        <v>1035</v>
      </c>
      <c r="U49" s="119"/>
      <c r="V49" t="b">
        <v>1</v>
      </c>
      <c r="X49" t="b">
        <v>1</v>
      </c>
      <c r="Y49" t="b">
        <v>0</v>
      </c>
      <c r="Z49" t="b">
        <f>FALSE</f>
        <v>0</v>
      </c>
    </row>
    <row r="50" spans="1:26" x14ac:dyDescent="0.25">
      <c r="A50" s="43">
        <f>IF(COUNTIF(LEDGER[LedgerCode],FC_import[[#This Row],[LedgerCode]])&gt;0,0,1)</f>
        <v>1</v>
      </c>
      <c r="B50" s="48">
        <f>IF(COUNTIF(Table_System_Grouping_Codes[groupingCodeCode],FC_import[[#This Row],[GroupingCode]])&gt;0,0,1)</f>
        <v>0</v>
      </c>
      <c r="C50" s="43">
        <f>IF(COUNTIF(CUSTGROUP[CustomGroupingCode],FC_import[[#This Row],[CustomGrouping]])&gt;0,0,1)</f>
        <v>0</v>
      </c>
      <c r="D50" s="43" cm="1">
        <f t="array" ref="D50">IF(FC_import[[#This Row],[AvailableToAllSchools]]=TRUE,0,COUNTA(_xlfn.TEXTSPLIT(FC_import[[#This Row],[SchoolCodes]],",",,TRUE))-SUM(COUNTIF(SCHOOLS[SchoolCode],_xlfn.TEXTSPLIT(FC_import[[#This Row],[SchoolCodes]],",",,TRUE))))</f>
        <v>0</v>
      </c>
      <c r="E50" s="43">
        <f>IF(FC_import[[#This Row],[FinanceCodeTypeCode]]="BUDGET",0,COUNTIF(P:P,P50)-1)</f>
        <v>0</v>
      </c>
      <c r="F50" s="43">
        <f>IF(FC_import[[#This Row],[FinanceCodeTypeCode]]="BUDGET",0,COUNTIF(Q:Q,Q50)-1)</f>
        <v>0</v>
      </c>
      <c r="G50" s="43">
        <f>COUNTIF(Lookup!$A$2:$A$7,R50)-1</f>
        <v>0</v>
      </c>
      <c r="H50" s="43">
        <f>IF(OR(FC_import[[#This Row],[FinanceCodeEnabled]]=TRUE,FC_import[[#This Row],[FinanceCodeEnabled]]=FALSE),0,1)</f>
        <v>0</v>
      </c>
      <c r="I50" s="43">
        <f>IF(LEN(FC_import[[#This Row],[FinanceCode]])&lt;100,0,1)</f>
        <v>0</v>
      </c>
      <c r="J50" s="43">
        <f>IF(TRIM(FC_import[[#This Row],[Title]])="",1,0)</f>
        <v>0</v>
      </c>
      <c r="K50" s="43">
        <f>IF(TRIM(FC_import[[#This Row],[FinanceCode]])="",1,0)</f>
        <v>0</v>
      </c>
      <c r="L50" s="43">
        <f>IF(LEN(FC_import[[#This Row],[Title]])&lt;100,0,1)</f>
        <v>0</v>
      </c>
      <c r="M50" s="43">
        <f>IF(ISBLANK(FC_import[[#This Row],[BalanceToScenario]]),1,0)</f>
        <v>0</v>
      </c>
      <c r="N50" s="43">
        <f>IF(SUBSTITUTE(TEXT(FC_import[[#This Row],[FinanceCode]],10)," ","")=TEXT(FC_import[[#This Row],[FinanceCode]],10),0,1)</f>
        <v>0</v>
      </c>
      <c r="O50" s="43">
        <f t="shared" si="1"/>
        <v>1</v>
      </c>
      <c r="P50" t="s">
        <v>1262</v>
      </c>
      <c r="Q50" t="s">
        <v>1263</v>
      </c>
      <c r="R50" t="s">
        <v>1169</v>
      </c>
      <c r="S50" t="s">
        <v>1043</v>
      </c>
      <c r="T50" t="s">
        <v>1035</v>
      </c>
      <c r="U50" s="119"/>
      <c r="V50" t="b">
        <v>1</v>
      </c>
      <c r="X50" t="b">
        <v>1</v>
      </c>
      <c r="Y50" t="b">
        <v>0</v>
      </c>
      <c r="Z50" t="b">
        <f>FALSE</f>
        <v>0</v>
      </c>
    </row>
    <row r="51" spans="1:26" x14ac:dyDescent="0.25">
      <c r="A51" s="43">
        <f>IF(COUNTIF(LEDGER[LedgerCode],FC_import[[#This Row],[LedgerCode]])&gt;0,0,1)</f>
        <v>1</v>
      </c>
      <c r="B51" s="48">
        <f>IF(COUNTIF(Table_System_Grouping_Codes[groupingCodeCode],FC_import[[#This Row],[GroupingCode]])&gt;0,0,1)</f>
        <v>0</v>
      </c>
      <c r="C51" s="43">
        <f>IF(COUNTIF(CUSTGROUP[CustomGroupingCode],FC_import[[#This Row],[CustomGrouping]])&gt;0,0,1)</f>
        <v>0</v>
      </c>
      <c r="D51" s="43" cm="1">
        <f t="array" ref="D51">IF(FC_import[[#This Row],[AvailableToAllSchools]]=TRUE,0,COUNTA(_xlfn.TEXTSPLIT(FC_import[[#This Row],[SchoolCodes]],",",,TRUE))-SUM(COUNTIF(SCHOOLS[SchoolCode],_xlfn.TEXTSPLIT(FC_import[[#This Row],[SchoolCodes]],",",,TRUE))))</f>
        <v>0</v>
      </c>
      <c r="E51" s="43">
        <f>IF(FC_import[[#This Row],[FinanceCodeTypeCode]]="BUDGET",0,COUNTIF(P:P,P51)-1)</f>
        <v>0</v>
      </c>
      <c r="F51" s="43">
        <f>IF(FC_import[[#This Row],[FinanceCodeTypeCode]]="BUDGET",0,COUNTIF(Q:Q,Q51)-1)</f>
        <v>0</v>
      </c>
      <c r="G51" s="43">
        <f>COUNTIF(Lookup!$A$2:$A$7,R51)-1</f>
        <v>0</v>
      </c>
      <c r="H51" s="43">
        <f>IF(OR(FC_import[[#This Row],[FinanceCodeEnabled]]=TRUE,FC_import[[#This Row],[FinanceCodeEnabled]]=FALSE),0,1)</f>
        <v>0</v>
      </c>
      <c r="I51" s="43">
        <f>IF(LEN(FC_import[[#This Row],[FinanceCode]])&lt;100,0,1)</f>
        <v>0</v>
      </c>
      <c r="J51" s="43">
        <f>IF(TRIM(FC_import[[#This Row],[Title]])="",1,0)</f>
        <v>0</v>
      </c>
      <c r="K51" s="43">
        <f>IF(TRIM(FC_import[[#This Row],[FinanceCode]])="",1,0)</f>
        <v>0</v>
      </c>
      <c r="L51" s="43">
        <f>IF(LEN(FC_import[[#This Row],[Title]])&lt;100,0,1)</f>
        <v>0</v>
      </c>
      <c r="M51" s="43">
        <f>IF(ISBLANK(FC_import[[#This Row],[BalanceToScenario]]),1,0)</f>
        <v>0</v>
      </c>
      <c r="N51" s="43">
        <f>IF(SUBSTITUTE(TEXT(FC_import[[#This Row],[FinanceCode]],10)," ","")=TEXT(FC_import[[#This Row],[FinanceCode]],10),0,1)</f>
        <v>0</v>
      </c>
      <c r="O51" s="43">
        <f t="shared" si="1"/>
        <v>1</v>
      </c>
      <c r="P51" t="s">
        <v>1264</v>
      </c>
      <c r="Q51" t="s">
        <v>1265</v>
      </c>
      <c r="R51" t="s">
        <v>1169</v>
      </c>
      <c r="S51" t="s">
        <v>1043</v>
      </c>
      <c r="T51" t="s">
        <v>1035</v>
      </c>
      <c r="U51" s="119"/>
      <c r="V51" t="b">
        <v>1</v>
      </c>
      <c r="X51" t="b">
        <v>1</v>
      </c>
      <c r="Y51" t="b">
        <v>0</v>
      </c>
      <c r="Z51" t="b">
        <f>FALSE</f>
        <v>0</v>
      </c>
    </row>
    <row r="52" spans="1:26" x14ac:dyDescent="0.25">
      <c r="A52" s="43">
        <f>IF(COUNTIF(LEDGER[LedgerCode],FC_import[[#This Row],[LedgerCode]])&gt;0,0,1)</f>
        <v>1</v>
      </c>
      <c r="B52" s="48">
        <f>IF(COUNTIF(Table_System_Grouping_Codes[groupingCodeCode],FC_import[[#This Row],[GroupingCode]])&gt;0,0,1)</f>
        <v>0</v>
      </c>
      <c r="C52" s="43">
        <f>IF(COUNTIF(CUSTGROUP[CustomGroupingCode],FC_import[[#This Row],[CustomGrouping]])&gt;0,0,1)</f>
        <v>0</v>
      </c>
      <c r="D52" s="43" cm="1">
        <f t="array" ref="D52">IF(FC_import[[#This Row],[AvailableToAllSchools]]=TRUE,0,COUNTA(_xlfn.TEXTSPLIT(FC_import[[#This Row],[SchoolCodes]],",",,TRUE))-SUM(COUNTIF(SCHOOLS[SchoolCode],_xlfn.TEXTSPLIT(FC_import[[#This Row],[SchoolCodes]],",",,TRUE))))</f>
        <v>0</v>
      </c>
      <c r="E52" s="43">
        <f>IF(FC_import[[#This Row],[FinanceCodeTypeCode]]="BUDGET",0,COUNTIF(P:P,P52)-1)</f>
        <v>0</v>
      </c>
      <c r="F52" s="43">
        <f>IF(FC_import[[#This Row],[FinanceCodeTypeCode]]="BUDGET",0,COUNTIF(Q:Q,Q52)-1)</f>
        <v>0</v>
      </c>
      <c r="G52" s="43">
        <f>COUNTIF(Lookup!$A$2:$A$7,R52)-1</f>
        <v>0</v>
      </c>
      <c r="H52" s="43">
        <f>IF(OR(FC_import[[#This Row],[FinanceCodeEnabled]]=TRUE,FC_import[[#This Row],[FinanceCodeEnabled]]=FALSE),0,1)</f>
        <v>0</v>
      </c>
      <c r="I52" s="43">
        <f>IF(LEN(FC_import[[#This Row],[FinanceCode]])&lt;100,0,1)</f>
        <v>0</v>
      </c>
      <c r="J52" s="43">
        <f>IF(TRIM(FC_import[[#This Row],[Title]])="",1,0)</f>
        <v>0</v>
      </c>
      <c r="K52" s="43">
        <f>IF(TRIM(FC_import[[#This Row],[FinanceCode]])="",1,0)</f>
        <v>0</v>
      </c>
      <c r="L52" s="43">
        <f>IF(LEN(FC_import[[#This Row],[Title]])&lt;100,0,1)</f>
        <v>0</v>
      </c>
      <c r="M52" s="43">
        <f>IF(ISBLANK(FC_import[[#This Row],[BalanceToScenario]]),1,0)</f>
        <v>0</v>
      </c>
      <c r="N52" s="43">
        <f>IF(SUBSTITUTE(TEXT(FC_import[[#This Row],[FinanceCode]],10)," ","")=TEXT(FC_import[[#This Row],[FinanceCode]],10),0,1)</f>
        <v>0</v>
      </c>
      <c r="O52" s="43">
        <f t="shared" si="1"/>
        <v>1</v>
      </c>
      <c r="P52" t="s">
        <v>1266</v>
      </c>
      <c r="Q52" t="s">
        <v>1267</v>
      </c>
      <c r="R52" t="s">
        <v>1169</v>
      </c>
      <c r="S52" t="s">
        <v>1043</v>
      </c>
      <c r="T52" t="s">
        <v>1035</v>
      </c>
      <c r="U52" s="119"/>
      <c r="V52" t="b">
        <v>1</v>
      </c>
      <c r="X52" t="b">
        <v>1</v>
      </c>
      <c r="Y52" t="b">
        <v>0</v>
      </c>
      <c r="Z52" t="b">
        <f>FALSE</f>
        <v>0</v>
      </c>
    </row>
    <row r="53" spans="1:26" x14ac:dyDescent="0.25">
      <c r="A53" s="43">
        <f>IF(COUNTIF(LEDGER[LedgerCode],FC_import[[#This Row],[LedgerCode]])&gt;0,0,1)</f>
        <v>1</v>
      </c>
      <c r="B53" s="48">
        <f>IF(COUNTIF(Table_System_Grouping_Codes[groupingCodeCode],FC_import[[#This Row],[GroupingCode]])&gt;0,0,1)</f>
        <v>0</v>
      </c>
      <c r="C53" s="43">
        <f>IF(COUNTIF(CUSTGROUP[CustomGroupingCode],FC_import[[#This Row],[CustomGrouping]])&gt;0,0,1)</f>
        <v>0</v>
      </c>
      <c r="D53" s="43" cm="1">
        <f t="array" ref="D53">IF(FC_import[[#This Row],[AvailableToAllSchools]]=TRUE,0,COUNTA(_xlfn.TEXTSPLIT(FC_import[[#This Row],[SchoolCodes]],",",,TRUE))-SUM(COUNTIF(SCHOOLS[SchoolCode],_xlfn.TEXTSPLIT(FC_import[[#This Row],[SchoolCodes]],",",,TRUE))))</f>
        <v>0</v>
      </c>
      <c r="E53" s="43">
        <f>IF(FC_import[[#This Row],[FinanceCodeTypeCode]]="BUDGET",0,COUNTIF(P:P,P53)-1)</f>
        <v>0</v>
      </c>
      <c r="F53" s="43">
        <f>IF(FC_import[[#This Row],[FinanceCodeTypeCode]]="BUDGET",0,COUNTIF(Q:Q,Q53)-1)</f>
        <v>0</v>
      </c>
      <c r="G53" s="43">
        <f>COUNTIF(Lookup!$A$2:$A$7,R53)-1</f>
        <v>0</v>
      </c>
      <c r="H53" s="43">
        <f>IF(OR(FC_import[[#This Row],[FinanceCodeEnabled]]=TRUE,FC_import[[#This Row],[FinanceCodeEnabled]]=FALSE),0,1)</f>
        <v>0</v>
      </c>
      <c r="I53" s="43">
        <f>IF(LEN(FC_import[[#This Row],[FinanceCode]])&lt;100,0,1)</f>
        <v>0</v>
      </c>
      <c r="J53" s="43">
        <f>IF(TRIM(FC_import[[#This Row],[Title]])="",1,0)</f>
        <v>0</v>
      </c>
      <c r="K53" s="43">
        <f>IF(TRIM(FC_import[[#This Row],[FinanceCode]])="",1,0)</f>
        <v>0</v>
      </c>
      <c r="L53" s="43">
        <f>IF(LEN(FC_import[[#This Row],[Title]])&lt;100,0,1)</f>
        <v>0</v>
      </c>
      <c r="M53" s="43">
        <f>IF(ISBLANK(FC_import[[#This Row],[BalanceToScenario]]),1,0)</f>
        <v>0</v>
      </c>
      <c r="N53" s="43">
        <f>IF(SUBSTITUTE(TEXT(FC_import[[#This Row],[FinanceCode]],10)," ","")=TEXT(FC_import[[#This Row],[FinanceCode]],10),0,1)</f>
        <v>0</v>
      </c>
      <c r="O53" s="43">
        <f t="shared" si="1"/>
        <v>1</v>
      </c>
      <c r="P53" t="s">
        <v>1268</v>
      </c>
      <c r="Q53" t="s">
        <v>1269</v>
      </c>
      <c r="R53" t="s">
        <v>1169</v>
      </c>
      <c r="S53" t="s">
        <v>1043</v>
      </c>
      <c r="T53" t="s">
        <v>1035</v>
      </c>
      <c r="U53" s="119"/>
      <c r="V53" t="b">
        <v>1</v>
      </c>
      <c r="X53" t="b">
        <v>1</v>
      </c>
      <c r="Y53" t="b">
        <v>0</v>
      </c>
      <c r="Z53" t="b">
        <f>FALSE</f>
        <v>0</v>
      </c>
    </row>
    <row r="54" spans="1:26" x14ac:dyDescent="0.25">
      <c r="A54" s="43">
        <f>IF(COUNTIF(LEDGER[LedgerCode],FC_import[[#This Row],[LedgerCode]])&gt;0,0,1)</f>
        <v>1</v>
      </c>
      <c r="B54" s="48">
        <f>IF(COUNTIF(Table_System_Grouping_Codes[groupingCodeCode],FC_import[[#This Row],[GroupingCode]])&gt;0,0,1)</f>
        <v>0</v>
      </c>
      <c r="C54" s="43">
        <f>IF(COUNTIF(CUSTGROUP[CustomGroupingCode],FC_import[[#This Row],[CustomGrouping]])&gt;0,0,1)</f>
        <v>0</v>
      </c>
      <c r="D54" s="43" cm="1">
        <f t="array" ref="D54">IF(FC_import[[#This Row],[AvailableToAllSchools]]=TRUE,0,COUNTA(_xlfn.TEXTSPLIT(FC_import[[#This Row],[SchoolCodes]],",",,TRUE))-SUM(COUNTIF(SCHOOLS[SchoolCode],_xlfn.TEXTSPLIT(FC_import[[#This Row],[SchoolCodes]],",",,TRUE))))</f>
        <v>0</v>
      </c>
      <c r="E54" s="43">
        <f>IF(FC_import[[#This Row],[FinanceCodeTypeCode]]="BUDGET",0,COUNTIF(P:P,P54)-1)</f>
        <v>0</v>
      </c>
      <c r="F54" s="43">
        <f>IF(FC_import[[#This Row],[FinanceCodeTypeCode]]="BUDGET",0,COUNTIF(Q:Q,Q54)-1)</f>
        <v>0</v>
      </c>
      <c r="G54" s="43">
        <f>COUNTIF(Lookup!$A$2:$A$7,R54)-1</f>
        <v>0</v>
      </c>
      <c r="H54" s="43">
        <f>IF(OR(FC_import[[#This Row],[FinanceCodeEnabled]]=TRUE,FC_import[[#This Row],[FinanceCodeEnabled]]=FALSE),0,1)</f>
        <v>0</v>
      </c>
      <c r="I54" s="43">
        <f>IF(LEN(FC_import[[#This Row],[FinanceCode]])&lt;100,0,1)</f>
        <v>0</v>
      </c>
      <c r="J54" s="43">
        <f>IF(TRIM(FC_import[[#This Row],[Title]])="",1,0)</f>
        <v>0</v>
      </c>
      <c r="K54" s="43">
        <f>IF(TRIM(FC_import[[#This Row],[FinanceCode]])="",1,0)</f>
        <v>0</v>
      </c>
      <c r="L54" s="43">
        <f>IF(LEN(FC_import[[#This Row],[Title]])&lt;100,0,1)</f>
        <v>0</v>
      </c>
      <c r="M54" s="43">
        <f>IF(ISBLANK(FC_import[[#This Row],[BalanceToScenario]]),1,0)</f>
        <v>0</v>
      </c>
      <c r="N54" s="43">
        <f>IF(SUBSTITUTE(TEXT(FC_import[[#This Row],[FinanceCode]],10)," ","")=TEXT(FC_import[[#This Row],[FinanceCode]],10),0,1)</f>
        <v>0</v>
      </c>
      <c r="O54" s="43">
        <f t="shared" si="1"/>
        <v>1</v>
      </c>
      <c r="P54" t="s">
        <v>1270</v>
      </c>
      <c r="Q54" t="s">
        <v>1271</v>
      </c>
      <c r="R54" t="s">
        <v>1169</v>
      </c>
      <c r="S54" t="s">
        <v>1043</v>
      </c>
      <c r="T54" t="s">
        <v>1035</v>
      </c>
      <c r="U54" s="119"/>
      <c r="V54" t="b">
        <v>1</v>
      </c>
      <c r="X54" t="b">
        <v>1</v>
      </c>
      <c r="Y54" t="b">
        <v>0</v>
      </c>
      <c r="Z54" t="b">
        <f>FALSE</f>
        <v>0</v>
      </c>
    </row>
    <row r="55" spans="1:26" x14ac:dyDescent="0.25">
      <c r="A55" s="43">
        <f>IF(COUNTIF(LEDGER[LedgerCode],FC_import[[#This Row],[LedgerCode]])&gt;0,0,1)</f>
        <v>1</v>
      </c>
      <c r="B55" s="48">
        <f>IF(COUNTIF(Table_System_Grouping_Codes[groupingCodeCode],FC_import[[#This Row],[GroupingCode]])&gt;0,0,1)</f>
        <v>0</v>
      </c>
      <c r="C55" s="43">
        <f>IF(COUNTIF(CUSTGROUP[CustomGroupingCode],FC_import[[#This Row],[CustomGrouping]])&gt;0,0,1)</f>
        <v>0</v>
      </c>
      <c r="D55" s="43" cm="1">
        <f t="array" ref="D55">IF(FC_import[[#This Row],[AvailableToAllSchools]]=TRUE,0,COUNTA(_xlfn.TEXTSPLIT(FC_import[[#This Row],[SchoolCodes]],",",,TRUE))-SUM(COUNTIF(SCHOOLS[SchoolCode],_xlfn.TEXTSPLIT(FC_import[[#This Row],[SchoolCodes]],",",,TRUE))))</f>
        <v>0</v>
      </c>
      <c r="E55" s="43">
        <f>IF(FC_import[[#This Row],[FinanceCodeTypeCode]]="BUDGET",0,COUNTIF(P:P,P55)-1)</f>
        <v>0</v>
      </c>
      <c r="F55" s="43">
        <f>IF(FC_import[[#This Row],[FinanceCodeTypeCode]]="BUDGET",0,COUNTIF(Q:Q,Q55)-1)</f>
        <v>0</v>
      </c>
      <c r="G55" s="43">
        <f>COUNTIF(Lookup!$A$2:$A$7,R55)-1</f>
        <v>0</v>
      </c>
      <c r="H55" s="43">
        <f>IF(OR(FC_import[[#This Row],[FinanceCodeEnabled]]=TRUE,FC_import[[#This Row],[FinanceCodeEnabled]]=FALSE),0,1)</f>
        <v>0</v>
      </c>
      <c r="I55" s="43">
        <f>IF(LEN(FC_import[[#This Row],[FinanceCode]])&lt;100,0,1)</f>
        <v>0</v>
      </c>
      <c r="J55" s="43">
        <f>IF(TRIM(FC_import[[#This Row],[Title]])="",1,0)</f>
        <v>0</v>
      </c>
      <c r="K55" s="43">
        <f>IF(TRIM(FC_import[[#This Row],[FinanceCode]])="",1,0)</f>
        <v>0</v>
      </c>
      <c r="L55" s="43">
        <f>IF(LEN(FC_import[[#This Row],[Title]])&lt;100,0,1)</f>
        <v>0</v>
      </c>
      <c r="M55" s="43">
        <f>IF(ISBLANK(FC_import[[#This Row],[BalanceToScenario]]),1,0)</f>
        <v>0</v>
      </c>
      <c r="N55" s="43">
        <f>IF(SUBSTITUTE(TEXT(FC_import[[#This Row],[FinanceCode]],10)," ","")=TEXT(FC_import[[#This Row],[FinanceCode]],10),0,1)</f>
        <v>0</v>
      </c>
      <c r="O55" s="43">
        <f t="shared" si="1"/>
        <v>1</v>
      </c>
      <c r="P55" t="s">
        <v>1272</v>
      </c>
      <c r="Q55" t="s">
        <v>1273</v>
      </c>
      <c r="R55" t="s">
        <v>1169</v>
      </c>
      <c r="S55" t="s">
        <v>1035</v>
      </c>
      <c r="T55" t="s">
        <v>1035</v>
      </c>
      <c r="U55" s="119"/>
      <c r="V55" t="b">
        <v>1</v>
      </c>
      <c r="X55" t="b">
        <v>1</v>
      </c>
      <c r="Y55" t="b">
        <v>0</v>
      </c>
      <c r="Z55" t="b">
        <f>FALSE</f>
        <v>0</v>
      </c>
    </row>
    <row r="56" spans="1:26" x14ac:dyDescent="0.25">
      <c r="A56" s="43">
        <f>IF(COUNTIF(LEDGER[LedgerCode],FC_import[[#This Row],[LedgerCode]])&gt;0,0,1)</f>
        <v>1</v>
      </c>
      <c r="B56" s="48">
        <f>IF(COUNTIF(Table_System_Grouping_Codes[groupingCodeCode],FC_import[[#This Row],[GroupingCode]])&gt;0,0,1)</f>
        <v>0</v>
      </c>
      <c r="C56" s="43">
        <f>IF(COUNTIF(CUSTGROUP[CustomGroupingCode],FC_import[[#This Row],[CustomGrouping]])&gt;0,0,1)</f>
        <v>0</v>
      </c>
      <c r="D56" s="43" cm="1">
        <f t="array" ref="D56">IF(FC_import[[#This Row],[AvailableToAllSchools]]=TRUE,0,COUNTA(_xlfn.TEXTSPLIT(FC_import[[#This Row],[SchoolCodes]],",",,TRUE))-SUM(COUNTIF(SCHOOLS[SchoolCode],_xlfn.TEXTSPLIT(FC_import[[#This Row],[SchoolCodes]],",",,TRUE))))</f>
        <v>0</v>
      </c>
      <c r="E56" s="43">
        <f>IF(FC_import[[#This Row],[FinanceCodeTypeCode]]="BUDGET",0,COUNTIF(P:P,P56)-1)</f>
        <v>0</v>
      </c>
      <c r="F56" s="43">
        <f>IF(FC_import[[#This Row],[FinanceCodeTypeCode]]="BUDGET",0,COUNTIF(Q:Q,Q56)-1)</f>
        <v>0</v>
      </c>
      <c r="G56" s="43">
        <f>COUNTIF(Lookup!$A$2:$A$7,R56)-1</f>
        <v>0</v>
      </c>
      <c r="H56" s="43">
        <f>IF(OR(FC_import[[#This Row],[FinanceCodeEnabled]]=TRUE,FC_import[[#This Row],[FinanceCodeEnabled]]=FALSE),0,1)</f>
        <v>0</v>
      </c>
      <c r="I56" s="43">
        <f>IF(LEN(FC_import[[#This Row],[FinanceCode]])&lt;100,0,1)</f>
        <v>0</v>
      </c>
      <c r="J56" s="43">
        <f>IF(TRIM(FC_import[[#This Row],[Title]])="",1,0)</f>
        <v>0</v>
      </c>
      <c r="K56" s="43">
        <f>IF(TRIM(FC_import[[#This Row],[FinanceCode]])="",1,0)</f>
        <v>0</v>
      </c>
      <c r="L56" s="43">
        <f>IF(LEN(FC_import[[#This Row],[Title]])&lt;100,0,1)</f>
        <v>0</v>
      </c>
      <c r="M56" s="43">
        <f>IF(ISBLANK(FC_import[[#This Row],[BalanceToScenario]]),1,0)</f>
        <v>0</v>
      </c>
      <c r="N56" s="43">
        <f>IF(SUBSTITUTE(TEXT(FC_import[[#This Row],[FinanceCode]],10)," ","")=TEXT(FC_import[[#This Row],[FinanceCode]],10),0,1)</f>
        <v>0</v>
      </c>
      <c r="O56" s="43">
        <f t="shared" si="1"/>
        <v>1</v>
      </c>
      <c r="P56" t="s">
        <v>1274</v>
      </c>
      <c r="Q56" t="s">
        <v>1275</v>
      </c>
      <c r="R56" t="s">
        <v>1169</v>
      </c>
      <c r="S56" t="s">
        <v>1043</v>
      </c>
      <c r="T56" t="s">
        <v>1035</v>
      </c>
      <c r="U56" s="119"/>
      <c r="V56" t="b">
        <v>1</v>
      </c>
      <c r="X56" t="b">
        <v>1</v>
      </c>
      <c r="Y56" t="b">
        <v>0</v>
      </c>
      <c r="Z56" t="b">
        <f>FALSE</f>
        <v>0</v>
      </c>
    </row>
    <row r="57" spans="1:26" x14ac:dyDescent="0.25">
      <c r="A57" s="43">
        <f>IF(COUNTIF(LEDGER[LedgerCode],FC_import[[#This Row],[LedgerCode]])&gt;0,0,1)</f>
        <v>1</v>
      </c>
      <c r="B57" s="48">
        <f>IF(COUNTIF(Table_System_Grouping_Codes[groupingCodeCode],FC_import[[#This Row],[GroupingCode]])&gt;0,0,1)</f>
        <v>0</v>
      </c>
      <c r="C57" s="43">
        <f>IF(COUNTIF(CUSTGROUP[CustomGroupingCode],FC_import[[#This Row],[CustomGrouping]])&gt;0,0,1)</f>
        <v>0</v>
      </c>
      <c r="D57" s="43" cm="1">
        <f t="array" ref="D57">IF(FC_import[[#This Row],[AvailableToAllSchools]]=TRUE,0,COUNTA(_xlfn.TEXTSPLIT(FC_import[[#This Row],[SchoolCodes]],",",,TRUE))-SUM(COUNTIF(SCHOOLS[SchoolCode],_xlfn.TEXTSPLIT(FC_import[[#This Row],[SchoolCodes]],",",,TRUE))))</f>
        <v>0</v>
      </c>
      <c r="E57" s="43">
        <f>IF(FC_import[[#This Row],[FinanceCodeTypeCode]]="BUDGET",0,COUNTIF(P:P,P57)-1)</f>
        <v>0</v>
      </c>
      <c r="F57" s="43">
        <f>IF(FC_import[[#This Row],[FinanceCodeTypeCode]]="BUDGET",0,COUNTIF(Q:Q,Q57)-1)</f>
        <v>0</v>
      </c>
      <c r="G57" s="43">
        <f>COUNTIF(Lookup!$A$2:$A$7,R57)-1</f>
        <v>0</v>
      </c>
      <c r="H57" s="43">
        <f>IF(OR(FC_import[[#This Row],[FinanceCodeEnabled]]=TRUE,FC_import[[#This Row],[FinanceCodeEnabled]]=FALSE),0,1)</f>
        <v>0</v>
      </c>
      <c r="I57" s="43">
        <f>IF(LEN(FC_import[[#This Row],[FinanceCode]])&lt;100,0,1)</f>
        <v>0</v>
      </c>
      <c r="J57" s="43">
        <f>IF(TRIM(FC_import[[#This Row],[Title]])="",1,0)</f>
        <v>0</v>
      </c>
      <c r="K57" s="43">
        <f>IF(TRIM(FC_import[[#This Row],[FinanceCode]])="",1,0)</f>
        <v>0</v>
      </c>
      <c r="L57" s="43">
        <f>IF(LEN(FC_import[[#This Row],[Title]])&lt;100,0,1)</f>
        <v>0</v>
      </c>
      <c r="M57" s="43">
        <f>IF(ISBLANK(FC_import[[#This Row],[BalanceToScenario]]),1,0)</f>
        <v>0</v>
      </c>
      <c r="N57" s="43">
        <f>IF(SUBSTITUTE(TEXT(FC_import[[#This Row],[FinanceCode]],10)," ","")=TEXT(FC_import[[#This Row],[FinanceCode]],10),0,1)</f>
        <v>0</v>
      </c>
      <c r="O57" s="43">
        <f t="shared" si="1"/>
        <v>1</v>
      </c>
      <c r="P57" t="s">
        <v>1276</v>
      </c>
      <c r="Q57" t="s">
        <v>1277</v>
      </c>
      <c r="R57" t="s">
        <v>1169</v>
      </c>
      <c r="S57" t="s">
        <v>1043</v>
      </c>
      <c r="T57" t="s">
        <v>1035</v>
      </c>
      <c r="U57" s="119"/>
      <c r="V57" t="b">
        <v>1</v>
      </c>
      <c r="X57" t="b">
        <v>1</v>
      </c>
      <c r="Y57" t="b">
        <v>0</v>
      </c>
      <c r="Z57" t="b">
        <f>FALSE</f>
        <v>0</v>
      </c>
    </row>
    <row r="58" spans="1:26" x14ac:dyDescent="0.25">
      <c r="A58" s="43">
        <f>IF(COUNTIF(LEDGER[LedgerCode],FC_import[[#This Row],[LedgerCode]])&gt;0,0,1)</f>
        <v>1</v>
      </c>
      <c r="B58" s="48">
        <f>IF(COUNTIF(Table_System_Grouping_Codes[groupingCodeCode],FC_import[[#This Row],[GroupingCode]])&gt;0,0,1)</f>
        <v>0</v>
      </c>
      <c r="C58" s="43">
        <f>IF(COUNTIF(CUSTGROUP[CustomGroupingCode],FC_import[[#This Row],[CustomGrouping]])&gt;0,0,1)</f>
        <v>0</v>
      </c>
      <c r="D58" s="43" cm="1">
        <f t="array" ref="D58">IF(FC_import[[#This Row],[AvailableToAllSchools]]=TRUE,0,COUNTA(_xlfn.TEXTSPLIT(FC_import[[#This Row],[SchoolCodes]],",",,TRUE))-SUM(COUNTIF(SCHOOLS[SchoolCode],_xlfn.TEXTSPLIT(FC_import[[#This Row],[SchoolCodes]],",",,TRUE))))</f>
        <v>0</v>
      </c>
      <c r="E58" s="43">
        <f>IF(FC_import[[#This Row],[FinanceCodeTypeCode]]="BUDGET",0,COUNTIF(P:P,P58)-1)</f>
        <v>0</v>
      </c>
      <c r="F58" s="43">
        <f>IF(FC_import[[#This Row],[FinanceCodeTypeCode]]="BUDGET",0,COUNTIF(Q:Q,Q58)-1)</f>
        <v>0</v>
      </c>
      <c r="G58" s="43">
        <f>COUNTIF(Lookup!$A$2:$A$7,R58)-1</f>
        <v>0</v>
      </c>
      <c r="H58" s="43">
        <f>IF(OR(FC_import[[#This Row],[FinanceCodeEnabled]]=TRUE,FC_import[[#This Row],[FinanceCodeEnabled]]=FALSE),0,1)</f>
        <v>0</v>
      </c>
      <c r="I58" s="43">
        <f>IF(LEN(FC_import[[#This Row],[FinanceCode]])&lt;100,0,1)</f>
        <v>0</v>
      </c>
      <c r="J58" s="43">
        <f>IF(TRIM(FC_import[[#This Row],[Title]])="",1,0)</f>
        <v>0</v>
      </c>
      <c r="K58" s="43">
        <f>IF(TRIM(FC_import[[#This Row],[FinanceCode]])="",1,0)</f>
        <v>0</v>
      </c>
      <c r="L58" s="43">
        <f>IF(LEN(FC_import[[#This Row],[Title]])&lt;100,0,1)</f>
        <v>0</v>
      </c>
      <c r="M58" s="43">
        <f>IF(ISBLANK(FC_import[[#This Row],[BalanceToScenario]]),1,0)</f>
        <v>0</v>
      </c>
      <c r="N58" s="43">
        <f>IF(SUBSTITUTE(TEXT(FC_import[[#This Row],[FinanceCode]],10)," ","")=TEXT(FC_import[[#This Row],[FinanceCode]],10),0,1)</f>
        <v>0</v>
      </c>
      <c r="O58" s="43">
        <f t="shared" si="1"/>
        <v>1</v>
      </c>
      <c r="P58" t="s">
        <v>1278</v>
      </c>
      <c r="Q58" t="s">
        <v>1279</v>
      </c>
      <c r="R58" t="s">
        <v>1169</v>
      </c>
      <c r="S58" t="s">
        <v>1043</v>
      </c>
      <c r="T58" t="s">
        <v>1035</v>
      </c>
      <c r="U58" s="119"/>
      <c r="V58" t="b">
        <v>1</v>
      </c>
      <c r="X58" t="b">
        <v>1</v>
      </c>
      <c r="Y58" t="b">
        <v>0</v>
      </c>
      <c r="Z58" t="b">
        <f>FALSE</f>
        <v>0</v>
      </c>
    </row>
    <row r="59" spans="1:26" x14ac:dyDescent="0.25">
      <c r="A59" s="43">
        <f>IF(COUNTIF(LEDGER[LedgerCode],FC_import[[#This Row],[LedgerCode]])&gt;0,0,1)</f>
        <v>1</v>
      </c>
      <c r="B59" s="48">
        <f>IF(COUNTIF(Table_System_Grouping_Codes[groupingCodeCode],FC_import[[#This Row],[GroupingCode]])&gt;0,0,1)</f>
        <v>0</v>
      </c>
      <c r="C59" s="43">
        <f>IF(COUNTIF(CUSTGROUP[CustomGroupingCode],FC_import[[#This Row],[CustomGrouping]])&gt;0,0,1)</f>
        <v>0</v>
      </c>
      <c r="D59" s="43" cm="1">
        <f t="array" ref="D59">IF(FC_import[[#This Row],[AvailableToAllSchools]]=TRUE,0,COUNTA(_xlfn.TEXTSPLIT(FC_import[[#This Row],[SchoolCodes]],",",,TRUE))-SUM(COUNTIF(SCHOOLS[SchoolCode],_xlfn.TEXTSPLIT(FC_import[[#This Row],[SchoolCodes]],",",,TRUE))))</f>
        <v>0</v>
      </c>
      <c r="E59" s="43">
        <f>IF(FC_import[[#This Row],[FinanceCodeTypeCode]]="BUDGET",0,COUNTIF(P:P,P59)-1)</f>
        <v>0</v>
      </c>
      <c r="F59" s="43">
        <f>IF(FC_import[[#This Row],[FinanceCodeTypeCode]]="BUDGET",0,COUNTIF(Q:Q,Q59)-1)</f>
        <v>0</v>
      </c>
      <c r="G59" s="43">
        <f>COUNTIF(Lookup!$A$2:$A$7,R59)-1</f>
        <v>0</v>
      </c>
      <c r="H59" s="43">
        <f>IF(OR(FC_import[[#This Row],[FinanceCodeEnabled]]=TRUE,FC_import[[#This Row],[FinanceCodeEnabled]]=FALSE),0,1)</f>
        <v>0</v>
      </c>
      <c r="I59" s="43">
        <f>IF(LEN(FC_import[[#This Row],[FinanceCode]])&lt;100,0,1)</f>
        <v>0</v>
      </c>
      <c r="J59" s="43">
        <f>IF(TRIM(FC_import[[#This Row],[Title]])="",1,0)</f>
        <v>0</v>
      </c>
      <c r="K59" s="43">
        <f>IF(TRIM(FC_import[[#This Row],[FinanceCode]])="",1,0)</f>
        <v>0</v>
      </c>
      <c r="L59" s="43">
        <f>IF(LEN(FC_import[[#This Row],[Title]])&lt;100,0,1)</f>
        <v>0</v>
      </c>
      <c r="M59" s="43">
        <f>IF(ISBLANK(FC_import[[#This Row],[BalanceToScenario]]),1,0)</f>
        <v>0</v>
      </c>
      <c r="N59" s="43">
        <f>IF(SUBSTITUTE(TEXT(FC_import[[#This Row],[FinanceCode]],10)," ","")=TEXT(FC_import[[#This Row],[FinanceCode]],10),0,1)</f>
        <v>0</v>
      </c>
      <c r="O59" s="43">
        <f t="shared" si="1"/>
        <v>1</v>
      </c>
      <c r="P59" t="s">
        <v>1280</v>
      </c>
      <c r="Q59" t="s">
        <v>1281</v>
      </c>
      <c r="R59" t="s">
        <v>1169</v>
      </c>
      <c r="S59" t="s">
        <v>1043</v>
      </c>
      <c r="T59" t="s">
        <v>1035</v>
      </c>
      <c r="U59" s="119"/>
      <c r="V59" t="b">
        <v>1</v>
      </c>
      <c r="X59" t="b">
        <v>1</v>
      </c>
      <c r="Y59" t="b">
        <v>0</v>
      </c>
      <c r="Z59" t="b">
        <f>FALSE</f>
        <v>0</v>
      </c>
    </row>
    <row r="60" spans="1:26" x14ac:dyDescent="0.25">
      <c r="A60" s="43">
        <f>IF(COUNTIF(LEDGER[LedgerCode],FC_import[[#This Row],[LedgerCode]])&gt;0,0,1)</f>
        <v>1</v>
      </c>
      <c r="B60" s="48">
        <f>IF(COUNTIF(Table_System_Grouping_Codes[groupingCodeCode],FC_import[[#This Row],[GroupingCode]])&gt;0,0,1)</f>
        <v>0</v>
      </c>
      <c r="C60" s="43">
        <f>IF(COUNTIF(CUSTGROUP[CustomGroupingCode],FC_import[[#This Row],[CustomGrouping]])&gt;0,0,1)</f>
        <v>0</v>
      </c>
      <c r="D60" s="43" cm="1">
        <f t="array" ref="D60">IF(FC_import[[#This Row],[AvailableToAllSchools]]=TRUE,0,COUNTA(_xlfn.TEXTSPLIT(FC_import[[#This Row],[SchoolCodes]],",",,TRUE))-SUM(COUNTIF(SCHOOLS[SchoolCode],_xlfn.TEXTSPLIT(FC_import[[#This Row],[SchoolCodes]],",",,TRUE))))</f>
        <v>0</v>
      </c>
      <c r="E60" s="43">
        <f>IF(FC_import[[#This Row],[FinanceCodeTypeCode]]="BUDGET",0,COUNTIF(P:P,P60)-1)</f>
        <v>0</v>
      </c>
      <c r="F60" s="43">
        <f>IF(FC_import[[#This Row],[FinanceCodeTypeCode]]="BUDGET",0,COUNTIF(Q:Q,Q60)-1)</f>
        <v>0</v>
      </c>
      <c r="G60" s="43">
        <f>COUNTIF(Lookup!$A$2:$A$7,R60)-1</f>
        <v>0</v>
      </c>
      <c r="H60" s="43">
        <f>IF(OR(FC_import[[#This Row],[FinanceCodeEnabled]]=TRUE,FC_import[[#This Row],[FinanceCodeEnabled]]=FALSE),0,1)</f>
        <v>0</v>
      </c>
      <c r="I60" s="43">
        <f>IF(LEN(FC_import[[#This Row],[FinanceCode]])&lt;100,0,1)</f>
        <v>0</v>
      </c>
      <c r="J60" s="43">
        <f>IF(TRIM(FC_import[[#This Row],[Title]])="",1,0)</f>
        <v>0</v>
      </c>
      <c r="K60" s="43">
        <f>IF(TRIM(FC_import[[#This Row],[FinanceCode]])="",1,0)</f>
        <v>0</v>
      </c>
      <c r="L60" s="43">
        <f>IF(LEN(FC_import[[#This Row],[Title]])&lt;100,0,1)</f>
        <v>0</v>
      </c>
      <c r="M60" s="43">
        <f>IF(ISBLANK(FC_import[[#This Row],[BalanceToScenario]]),1,0)</f>
        <v>0</v>
      </c>
      <c r="N60" s="43">
        <f>IF(SUBSTITUTE(TEXT(FC_import[[#This Row],[FinanceCode]],10)," ","")=TEXT(FC_import[[#This Row],[FinanceCode]],10),0,1)</f>
        <v>0</v>
      </c>
      <c r="O60" s="43">
        <f t="shared" si="1"/>
        <v>1</v>
      </c>
      <c r="P60" t="s">
        <v>1282</v>
      </c>
      <c r="Q60" t="s">
        <v>1283</v>
      </c>
      <c r="R60" t="s">
        <v>1169</v>
      </c>
      <c r="S60" t="s">
        <v>1061</v>
      </c>
      <c r="T60" t="s">
        <v>1035</v>
      </c>
      <c r="U60" s="119"/>
      <c r="V60" t="b">
        <v>1</v>
      </c>
      <c r="X60" t="b">
        <v>1</v>
      </c>
      <c r="Y60" t="b">
        <v>0</v>
      </c>
      <c r="Z60" t="b">
        <f>FALSE</f>
        <v>0</v>
      </c>
    </row>
    <row r="61" spans="1:26" x14ac:dyDescent="0.25">
      <c r="A61" s="43">
        <f>IF(COUNTIF(LEDGER[LedgerCode],FC_import[[#This Row],[LedgerCode]])&gt;0,0,1)</f>
        <v>1</v>
      </c>
      <c r="B61" s="48">
        <f>IF(COUNTIF(Table_System_Grouping_Codes[groupingCodeCode],FC_import[[#This Row],[GroupingCode]])&gt;0,0,1)</f>
        <v>0</v>
      </c>
      <c r="C61" s="43">
        <f>IF(COUNTIF(CUSTGROUP[CustomGroupingCode],FC_import[[#This Row],[CustomGrouping]])&gt;0,0,1)</f>
        <v>0</v>
      </c>
      <c r="D61" s="43" cm="1">
        <f t="array" ref="D61">IF(FC_import[[#This Row],[AvailableToAllSchools]]=TRUE,0,COUNTA(_xlfn.TEXTSPLIT(FC_import[[#This Row],[SchoolCodes]],",",,TRUE))-SUM(COUNTIF(SCHOOLS[SchoolCode],_xlfn.TEXTSPLIT(FC_import[[#This Row],[SchoolCodes]],",",,TRUE))))</f>
        <v>0</v>
      </c>
      <c r="E61" s="43">
        <f>IF(FC_import[[#This Row],[FinanceCodeTypeCode]]="BUDGET",0,COUNTIF(P:P,P61)-1)</f>
        <v>0</v>
      </c>
      <c r="F61" s="43">
        <f>IF(FC_import[[#This Row],[FinanceCodeTypeCode]]="BUDGET",0,COUNTIF(Q:Q,Q61)-1)</f>
        <v>0</v>
      </c>
      <c r="G61" s="43">
        <f>COUNTIF(Lookup!$A$2:$A$7,R61)-1</f>
        <v>0</v>
      </c>
      <c r="H61" s="43">
        <f>IF(OR(FC_import[[#This Row],[FinanceCodeEnabled]]=TRUE,FC_import[[#This Row],[FinanceCodeEnabled]]=FALSE),0,1)</f>
        <v>0</v>
      </c>
      <c r="I61" s="43">
        <f>IF(LEN(FC_import[[#This Row],[FinanceCode]])&lt;100,0,1)</f>
        <v>0</v>
      </c>
      <c r="J61" s="43">
        <f>IF(TRIM(FC_import[[#This Row],[Title]])="",1,0)</f>
        <v>0</v>
      </c>
      <c r="K61" s="43">
        <f>IF(TRIM(FC_import[[#This Row],[FinanceCode]])="",1,0)</f>
        <v>0</v>
      </c>
      <c r="L61" s="43">
        <f>IF(LEN(FC_import[[#This Row],[Title]])&lt;100,0,1)</f>
        <v>0</v>
      </c>
      <c r="M61" s="43">
        <f>IF(ISBLANK(FC_import[[#This Row],[BalanceToScenario]]),1,0)</f>
        <v>0</v>
      </c>
      <c r="N61" s="43">
        <f>IF(SUBSTITUTE(TEXT(FC_import[[#This Row],[FinanceCode]],10)," ","")=TEXT(FC_import[[#This Row],[FinanceCode]],10),0,1)</f>
        <v>0</v>
      </c>
      <c r="O61" s="43">
        <f t="shared" si="1"/>
        <v>1</v>
      </c>
      <c r="P61" t="s">
        <v>1284</v>
      </c>
      <c r="Q61" t="s">
        <v>1285</v>
      </c>
      <c r="R61" t="s">
        <v>1169</v>
      </c>
      <c r="S61" t="s">
        <v>1061</v>
      </c>
      <c r="T61" t="s">
        <v>1035</v>
      </c>
      <c r="U61" s="119"/>
      <c r="V61" t="b">
        <v>1</v>
      </c>
      <c r="X61" t="b">
        <v>1</v>
      </c>
      <c r="Y61" t="b">
        <v>0</v>
      </c>
      <c r="Z61" t="b">
        <f>FALSE</f>
        <v>0</v>
      </c>
    </row>
    <row r="62" spans="1:26" x14ac:dyDescent="0.25">
      <c r="A62" s="43">
        <f>IF(COUNTIF(LEDGER[LedgerCode],FC_import[[#This Row],[LedgerCode]])&gt;0,0,1)</f>
        <v>1</v>
      </c>
      <c r="B62" s="48">
        <f>IF(COUNTIF(Table_System_Grouping_Codes[groupingCodeCode],FC_import[[#This Row],[GroupingCode]])&gt;0,0,1)</f>
        <v>0</v>
      </c>
      <c r="C62" s="43">
        <f>IF(COUNTIF(CUSTGROUP[CustomGroupingCode],FC_import[[#This Row],[CustomGrouping]])&gt;0,0,1)</f>
        <v>0</v>
      </c>
      <c r="D62" s="43" cm="1">
        <f t="array" ref="D62">IF(FC_import[[#This Row],[AvailableToAllSchools]]=TRUE,0,COUNTA(_xlfn.TEXTSPLIT(FC_import[[#This Row],[SchoolCodes]],",",,TRUE))-SUM(COUNTIF(SCHOOLS[SchoolCode],_xlfn.TEXTSPLIT(FC_import[[#This Row],[SchoolCodes]],",",,TRUE))))</f>
        <v>0</v>
      </c>
      <c r="E62" s="43">
        <f>IF(FC_import[[#This Row],[FinanceCodeTypeCode]]="BUDGET",0,COUNTIF(P:P,P62)-1)</f>
        <v>0</v>
      </c>
      <c r="F62" s="43">
        <f>IF(FC_import[[#This Row],[FinanceCodeTypeCode]]="BUDGET",0,COUNTIF(Q:Q,Q62)-1)</f>
        <v>0</v>
      </c>
      <c r="G62" s="43">
        <f>COUNTIF(Lookup!$A$2:$A$7,R62)-1</f>
        <v>0</v>
      </c>
      <c r="H62" s="43">
        <f>IF(OR(FC_import[[#This Row],[FinanceCodeEnabled]]=TRUE,FC_import[[#This Row],[FinanceCodeEnabled]]=FALSE),0,1)</f>
        <v>0</v>
      </c>
      <c r="I62" s="43">
        <f>IF(LEN(FC_import[[#This Row],[FinanceCode]])&lt;100,0,1)</f>
        <v>0</v>
      </c>
      <c r="J62" s="43">
        <f>IF(TRIM(FC_import[[#This Row],[Title]])="",1,0)</f>
        <v>0</v>
      </c>
      <c r="K62" s="43">
        <f>IF(TRIM(FC_import[[#This Row],[FinanceCode]])="",1,0)</f>
        <v>0</v>
      </c>
      <c r="L62" s="43">
        <f>IF(LEN(FC_import[[#This Row],[Title]])&lt;100,0,1)</f>
        <v>0</v>
      </c>
      <c r="M62" s="43">
        <f>IF(ISBLANK(FC_import[[#This Row],[BalanceToScenario]]),1,0)</f>
        <v>0</v>
      </c>
      <c r="N62" s="43">
        <f>IF(SUBSTITUTE(TEXT(FC_import[[#This Row],[FinanceCode]],10)," ","")=TEXT(FC_import[[#This Row],[FinanceCode]],10),0,1)</f>
        <v>0</v>
      </c>
      <c r="O62" s="43">
        <f t="shared" si="1"/>
        <v>1</v>
      </c>
      <c r="P62" t="s">
        <v>1286</v>
      </c>
      <c r="Q62" t="s">
        <v>1287</v>
      </c>
      <c r="R62" t="s">
        <v>1169</v>
      </c>
      <c r="S62" t="s">
        <v>1061</v>
      </c>
      <c r="T62" t="s">
        <v>1035</v>
      </c>
      <c r="U62" s="119"/>
      <c r="V62" t="b">
        <v>1</v>
      </c>
      <c r="X62" t="b">
        <v>1</v>
      </c>
      <c r="Y62" t="b">
        <v>0</v>
      </c>
      <c r="Z62" t="b">
        <f>FALSE</f>
        <v>0</v>
      </c>
    </row>
    <row r="63" spans="1:26" x14ac:dyDescent="0.25">
      <c r="A63" s="43">
        <f>IF(COUNTIF(LEDGER[LedgerCode],FC_import[[#This Row],[LedgerCode]])&gt;0,0,1)</f>
        <v>1</v>
      </c>
      <c r="B63" s="48">
        <f>IF(COUNTIF(Table_System_Grouping_Codes[groupingCodeCode],FC_import[[#This Row],[GroupingCode]])&gt;0,0,1)</f>
        <v>0</v>
      </c>
      <c r="C63" s="43">
        <f>IF(COUNTIF(CUSTGROUP[CustomGroupingCode],FC_import[[#This Row],[CustomGrouping]])&gt;0,0,1)</f>
        <v>0</v>
      </c>
      <c r="D63" s="43" cm="1">
        <f t="array" ref="D63">IF(FC_import[[#This Row],[AvailableToAllSchools]]=TRUE,0,COUNTA(_xlfn.TEXTSPLIT(FC_import[[#This Row],[SchoolCodes]],",",,TRUE))-SUM(COUNTIF(SCHOOLS[SchoolCode],_xlfn.TEXTSPLIT(FC_import[[#This Row],[SchoolCodes]],",",,TRUE))))</f>
        <v>0</v>
      </c>
      <c r="E63" s="43">
        <f>IF(FC_import[[#This Row],[FinanceCodeTypeCode]]="BUDGET",0,COUNTIF(P:P,P63)-1)</f>
        <v>0</v>
      </c>
      <c r="F63" s="43">
        <f>IF(FC_import[[#This Row],[FinanceCodeTypeCode]]="BUDGET",0,COUNTIF(Q:Q,Q63)-1)</f>
        <v>0</v>
      </c>
      <c r="G63" s="43">
        <f>COUNTIF(Lookup!$A$2:$A$7,R63)-1</f>
        <v>0</v>
      </c>
      <c r="H63" s="43">
        <f>IF(OR(FC_import[[#This Row],[FinanceCodeEnabled]]=TRUE,FC_import[[#This Row],[FinanceCodeEnabled]]=FALSE),0,1)</f>
        <v>0</v>
      </c>
      <c r="I63" s="43">
        <f>IF(LEN(FC_import[[#This Row],[FinanceCode]])&lt;100,0,1)</f>
        <v>0</v>
      </c>
      <c r="J63" s="43">
        <f>IF(TRIM(FC_import[[#This Row],[Title]])="",1,0)</f>
        <v>0</v>
      </c>
      <c r="K63" s="43">
        <f>IF(TRIM(FC_import[[#This Row],[FinanceCode]])="",1,0)</f>
        <v>0</v>
      </c>
      <c r="L63" s="43">
        <f>IF(LEN(FC_import[[#This Row],[Title]])&lt;100,0,1)</f>
        <v>0</v>
      </c>
      <c r="M63" s="43">
        <f>IF(ISBLANK(FC_import[[#This Row],[BalanceToScenario]]),1,0)</f>
        <v>0</v>
      </c>
      <c r="N63" s="43">
        <f>IF(SUBSTITUTE(TEXT(FC_import[[#This Row],[FinanceCode]],10)," ","")=TEXT(FC_import[[#This Row],[FinanceCode]],10),0,1)</f>
        <v>0</v>
      </c>
      <c r="O63" s="43">
        <f t="shared" si="1"/>
        <v>1</v>
      </c>
      <c r="P63" t="s">
        <v>1288</v>
      </c>
      <c r="Q63" t="s">
        <v>1289</v>
      </c>
      <c r="R63" t="s">
        <v>1169</v>
      </c>
      <c r="S63" t="s">
        <v>1061</v>
      </c>
      <c r="T63" t="s">
        <v>1035</v>
      </c>
      <c r="U63" s="119"/>
      <c r="V63" t="b">
        <v>1</v>
      </c>
      <c r="X63" t="b">
        <v>1</v>
      </c>
      <c r="Y63" t="b">
        <v>0</v>
      </c>
      <c r="Z63" t="b">
        <f>FALSE</f>
        <v>0</v>
      </c>
    </row>
    <row r="64" spans="1:26" x14ac:dyDescent="0.25">
      <c r="A64" s="43">
        <f>IF(COUNTIF(LEDGER[LedgerCode],FC_import[[#This Row],[LedgerCode]])&gt;0,0,1)</f>
        <v>1</v>
      </c>
      <c r="B64" s="48">
        <f>IF(COUNTIF(Table_System_Grouping_Codes[groupingCodeCode],FC_import[[#This Row],[GroupingCode]])&gt;0,0,1)</f>
        <v>0</v>
      </c>
      <c r="C64" s="43">
        <f>IF(COUNTIF(CUSTGROUP[CustomGroupingCode],FC_import[[#This Row],[CustomGrouping]])&gt;0,0,1)</f>
        <v>0</v>
      </c>
      <c r="D64" s="43" cm="1">
        <f t="array" ref="D64">IF(FC_import[[#This Row],[AvailableToAllSchools]]=TRUE,0,COUNTA(_xlfn.TEXTSPLIT(FC_import[[#This Row],[SchoolCodes]],",",,TRUE))-SUM(COUNTIF(SCHOOLS[SchoolCode],_xlfn.TEXTSPLIT(FC_import[[#This Row],[SchoolCodes]],",",,TRUE))))</f>
        <v>0</v>
      </c>
      <c r="E64" s="43">
        <f>IF(FC_import[[#This Row],[FinanceCodeTypeCode]]="BUDGET",0,COUNTIF(P:P,P64)-1)</f>
        <v>0</v>
      </c>
      <c r="F64" s="43">
        <f>IF(FC_import[[#This Row],[FinanceCodeTypeCode]]="BUDGET",0,COUNTIF(Q:Q,Q64)-1)</f>
        <v>0</v>
      </c>
      <c r="G64" s="43">
        <f>COUNTIF(Lookup!$A$2:$A$7,R64)-1</f>
        <v>0</v>
      </c>
      <c r="H64" s="43">
        <f>IF(OR(FC_import[[#This Row],[FinanceCodeEnabled]]=TRUE,FC_import[[#This Row],[FinanceCodeEnabled]]=FALSE),0,1)</f>
        <v>0</v>
      </c>
      <c r="I64" s="43">
        <f>IF(LEN(FC_import[[#This Row],[FinanceCode]])&lt;100,0,1)</f>
        <v>0</v>
      </c>
      <c r="J64" s="43">
        <f>IF(TRIM(FC_import[[#This Row],[Title]])="",1,0)</f>
        <v>0</v>
      </c>
      <c r="K64" s="43">
        <f>IF(TRIM(FC_import[[#This Row],[FinanceCode]])="",1,0)</f>
        <v>0</v>
      </c>
      <c r="L64" s="43">
        <f>IF(LEN(FC_import[[#This Row],[Title]])&lt;100,0,1)</f>
        <v>0</v>
      </c>
      <c r="M64" s="43">
        <f>IF(ISBLANK(FC_import[[#This Row],[BalanceToScenario]]),1,0)</f>
        <v>0</v>
      </c>
      <c r="N64" s="43">
        <f>IF(SUBSTITUTE(TEXT(FC_import[[#This Row],[FinanceCode]],10)," ","")=TEXT(FC_import[[#This Row],[FinanceCode]],10),0,1)</f>
        <v>0</v>
      </c>
      <c r="O64" s="43">
        <f t="shared" si="1"/>
        <v>1</v>
      </c>
      <c r="P64" t="s">
        <v>1290</v>
      </c>
      <c r="Q64" t="s">
        <v>1291</v>
      </c>
      <c r="R64" t="s">
        <v>1169</v>
      </c>
      <c r="S64" t="s">
        <v>1061</v>
      </c>
      <c r="T64" t="s">
        <v>1035</v>
      </c>
      <c r="U64" s="119"/>
      <c r="V64" t="b">
        <v>1</v>
      </c>
      <c r="X64" t="b">
        <v>1</v>
      </c>
      <c r="Y64" t="b">
        <v>0</v>
      </c>
      <c r="Z64" t="b">
        <f>FALSE</f>
        <v>0</v>
      </c>
    </row>
    <row r="65" spans="1:26" x14ac:dyDescent="0.25">
      <c r="A65" s="43">
        <f>IF(COUNTIF(LEDGER[LedgerCode],FC_import[[#This Row],[LedgerCode]])&gt;0,0,1)</f>
        <v>1</v>
      </c>
      <c r="B65" s="48">
        <f>IF(COUNTIF(Table_System_Grouping_Codes[groupingCodeCode],FC_import[[#This Row],[GroupingCode]])&gt;0,0,1)</f>
        <v>0</v>
      </c>
      <c r="C65" s="43">
        <f>IF(COUNTIF(CUSTGROUP[CustomGroupingCode],FC_import[[#This Row],[CustomGrouping]])&gt;0,0,1)</f>
        <v>0</v>
      </c>
      <c r="D65" s="43" cm="1">
        <f t="array" ref="D65">IF(FC_import[[#This Row],[AvailableToAllSchools]]=TRUE,0,COUNTA(_xlfn.TEXTSPLIT(FC_import[[#This Row],[SchoolCodes]],",",,TRUE))-SUM(COUNTIF(SCHOOLS[SchoolCode],_xlfn.TEXTSPLIT(FC_import[[#This Row],[SchoolCodes]],",",,TRUE))))</f>
        <v>0</v>
      </c>
      <c r="E65" s="43">
        <f>IF(FC_import[[#This Row],[FinanceCodeTypeCode]]="BUDGET",0,COUNTIF(P:P,P65)-1)</f>
        <v>0</v>
      </c>
      <c r="F65" s="43">
        <f>IF(FC_import[[#This Row],[FinanceCodeTypeCode]]="BUDGET",0,COUNTIF(Q:Q,Q65)-1)</f>
        <v>0</v>
      </c>
      <c r="G65" s="43">
        <f>COUNTIF(Lookup!$A$2:$A$7,R65)-1</f>
        <v>0</v>
      </c>
      <c r="H65" s="43">
        <f>IF(OR(FC_import[[#This Row],[FinanceCodeEnabled]]=TRUE,FC_import[[#This Row],[FinanceCodeEnabled]]=FALSE),0,1)</f>
        <v>0</v>
      </c>
      <c r="I65" s="43">
        <f>IF(LEN(FC_import[[#This Row],[FinanceCode]])&lt;100,0,1)</f>
        <v>0</v>
      </c>
      <c r="J65" s="43">
        <f>IF(TRIM(FC_import[[#This Row],[Title]])="",1,0)</f>
        <v>0</v>
      </c>
      <c r="K65" s="43">
        <f>IF(TRIM(FC_import[[#This Row],[FinanceCode]])="",1,0)</f>
        <v>0</v>
      </c>
      <c r="L65" s="43">
        <f>IF(LEN(FC_import[[#This Row],[Title]])&lt;100,0,1)</f>
        <v>0</v>
      </c>
      <c r="M65" s="43">
        <f>IF(ISBLANK(FC_import[[#This Row],[BalanceToScenario]]),1,0)</f>
        <v>0</v>
      </c>
      <c r="N65" s="43">
        <f>IF(SUBSTITUTE(TEXT(FC_import[[#This Row],[FinanceCode]],10)," ","")=TEXT(FC_import[[#This Row],[FinanceCode]],10),0,1)</f>
        <v>0</v>
      </c>
      <c r="O65" s="43">
        <f t="shared" si="1"/>
        <v>1</v>
      </c>
      <c r="P65" t="s">
        <v>1292</v>
      </c>
      <c r="Q65" t="s">
        <v>1293</v>
      </c>
      <c r="R65" t="s">
        <v>1169</v>
      </c>
      <c r="S65" t="s">
        <v>1061</v>
      </c>
      <c r="T65" t="s">
        <v>1035</v>
      </c>
      <c r="U65" s="119"/>
      <c r="V65" t="b">
        <v>1</v>
      </c>
      <c r="X65" t="b">
        <v>1</v>
      </c>
      <c r="Y65" t="b">
        <v>0</v>
      </c>
      <c r="Z65" t="b">
        <f>FALSE</f>
        <v>0</v>
      </c>
    </row>
    <row r="66" spans="1:26" x14ac:dyDescent="0.25">
      <c r="A66" s="43">
        <f>IF(COUNTIF(LEDGER[LedgerCode],FC_import[[#This Row],[LedgerCode]])&gt;0,0,1)</f>
        <v>1</v>
      </c>
      <c r="B66" s="48">
        <f>IF(COUNTIF(Table_System_Grouping_Codes[groupingCodeCode],FC_import[[#This Row],[GroupingCode]])&gt;0,0,1)</f>
        <v>0</v>
      </c>
      <c r="C66" s="43">
        <f>IF(COUNTIF(CUSTGROUP[CustomGroupingCode],FC_import[[#This Row],[CustomGrouping]])&gt;0,0,1)</f>
        <v>0</v>
      </c>
      <c r="D66" s="43" cm="1">
        <f t="array" ref="D66">IF(FC_import[[#This Row],[AvailableToAllSchools]]=TRUE,0,COUNTA(_xlfn.TEXTSPLIT(FC_import[[#This Row],[SchoolCodes]],",",,TRUE))-SUM(COUNTIF(SCHOOLS[SchoolCode],_xlfn.TEXTSPLIT(FC_import[[#This Row],[SchoolCodes]],",",,TRUE))))</f>
        <v>0</v>
      </c>
      <c r="E66" s="43">
        <f>IF(FC_import[[#This Row],[FinanceCodeTypeCode]]="BUDGET",0,COUNTIF(P:P,P66)-1)</f>
        <v>0</v>
      </c>
      <c r="F66" s="43">
        <f>IF(FC_import[[#This Row],[FinanceCodeTypeCode]]="BUDGET",0,COUNTIF(Q:Q,Q66)-1)</f>
        <v>0</v>
      </c>
      <c r="G66" s="43">
        <f>COUNTIF(Lookup!$A$2:$A$7,R66)-1</f>
        <v>0</v>
      </c>
      <c r="H66" s="43">
        <f>IF(OR(FC_import[[#This Row],[FinanceCodeEnabled]]=TRUE,FC_import[[#This Row],[FinanceCodeEnabled]]=FALSE),0,1)</f>
        <v>0</v>
      </c>
      <c r="I66" s="43">
        <f>IF(LEN(FC_import[[#This Row],[FinanceCode]])&lt;100,0,1)</f>
        <v>0</v>
      </c>
      <c r="J66" s="43">
        <f>IF(TRIM(FC_import[[#This Row],[Title]])="",1,0)</f>
        <v>0</v>
      </c>
      <c r="K66" s="43">
        <f>IF(TRIM(FC_import[[#This Row],[FinanceCode]])="",1,0)</f>
        <v>0</v>
      </c>
      <c r="L66" s="43">
        <f>IF(LEN(FC_import[[#This Row],[Title]])&lt;100,0,1)</f>
        <v>0</v>
      </c>
      <c r="M66" s="43">
        <f>IF(ISBLANK(FC_import[[#This Row],[BalanceToScenario]]),1,0)</f>
        <v>0</v>
      </c>
      <c r="N66" s="43">
        <f>IF(SUBSTITUTE(TEXT(FC_import[[#This Row],[FinanceCode]],10)," ","")=TEXT(FC_import[[#This Row],[FinanceCode]],10),0,1)</f>
        <v>0</v>
      </c>
      <c r="O66" s="43">
        <f t="shared" ref="O66:O92" si="2">SUM(A66:C66,E66:N66)</f>
        <v>1</v>
      </c>
      <c r="P66" t="s">
        <v>1294</v>
      </c>
      <c r="Q66" t="s">
        <v>1295</v>
      </c>
      <c r="R66" t="s">
        <v>1169</v>
      </c>
      <c r="S66" t="s">
        <v>1035</v>
      </c>
      <c r="T66" t="s">
        <v>1035</v>
      </c>
      <c r="U66" s="119"/>
      <c r="V66" t="b">
        <v>1</v>
      </c>
      <c r="X66" t="b">
        <v>1</v>
      </c>
      <c r="Y66" t="b">
        <v>0</v>
      </c>
      <c r="Z66" t="b">
        <f>FALSE</f>
        <v>0</v>
      </c>
    </row>
    <row r="67" spans="1:26" x14ac:dyDescent="0.25">
      <c r="A67" s="43">
        <f>IF(COUNTIF(LEDGER[LedgerCode],FC_import[[#This Row],[LedgerCode]])&gt;0,0,1)</f>
        <v>1</v>
      </c>
      <c r="B67" s="48">
        <f>IF(COUNTIF(Table_System_Grouping_Codes[groupingCodeCode],FC_import[[#This Row],[GroupingCode]])&gt;0,0,1)</f>
        <v>0</v>
      </c>
      <c r="C67" s="43">
        <f>IF(COUNTIF(CUSTGROUP[CustomGroupingCode],FC_import[[#This Row],[CustomGrouping]])&gt;0,0,1)</f>
        <v>0</v>
      </c>
      <c r="D67" s="43" cm="1">
        <f t="array" ref="D67">IF(FC_import[[#This Row],[AvailableToAllSchools]]=TRUE,0,COUNTA(_xlfn.TEXTSPLIT(FC_import[[#This Row],[SchoolCodes]],",",,TRUE))-SUM(COUNTIF(SCHOOLS[SchoolCode],_xlfn.TEXTSPLIT(FC_import[[#This Row],[SchoolCodes]],",",,TRUE))))</f>
        <v>0</v>
      </c>
      <c r="E67" s="43">
        <f>IF(FC_import[[#This Row],[FinanceCodeTypeCode]]="BUDGET",0,COUNTIF(P:P,P67)-1)</f>
        <v>0</v>
      </c>
      <c r="F67" s="43">
        <f>IF(FC_import[[#This Row],[FinanceCodeTypeCode]]="BUDGET",0,COUNTIF(Q:Q,Q67)-1)</f>
        <v>0</v>
      </c>
      <c r="G67" s="43">
        <f>COUNTIF(Lookup!$A$2:$A$7,R67)-1</f>
        <v>0</v>
      </c>
      <c r="H67" s="43">
        <f>IF(OR(FC_import[[#This Row],[FinanceCodeEnabled]]=TRUE,FC_import[[#This Row],[FinanceCodeEnabled]]=FALSE),0,1)</f>
        <v>0</v>
      </c>
      <c r="I67" s="43">
        <f>IF(LEN(FC_import[[#This Row],[FinanceCode]])&lt;100,0,1)</f>
        <v>0</v>
      </c>
      <c r="J67" s="43">
        <f>IF(TRIM(FC_import[[#This Row],[Title]])="",1,0)</f>
        <v>0</v>
      </c>
      <c r="K67" s="43">
        <f>IF(TRIM(FC_import[[#This Row],[FinanceCode]])="",1,0)</f>
        <v>0</v>
      </c>
      <c r="L67" s="43">
        <f>IF(LEN(FC_import[[#This Row],[Title]])&lt;100,0,1)</f>
        <v>0</v>
      </c>
      <c r="M67" s="43">
        <f>IF(ISBLANK(FC_import[[#This Row],[BalanceToScenario]]),1,0)</f>
        <v>0</v>
      </c>
      <c r="N67" s="43">
        <f>IF(SUBSTITUTE(TEXT(FC_import[[#This Row],[FinanceCode]],10)," ","")=TEXT(FC_import[[#This Row],[FinanceCode]],10),0,1)</f>
        <v>0</v>
      </c>
      <c r="O67" s="43">
        <f t="shared" si="2"/>
        <v>1</v>
      </c>
      <c r="P67" t="s">
        <v>1296</v>
      </c>
      <c r="Q67" t="s">
        <v>1297</v>
      </c>
      <c r="R67" t="s">
        <v>1169</v>
      </c>
      <c r="S67" t="s">
        <v>1061</v>
      </c>
      <c r="T67" t="s">
        <v>1035</v>
      </c>
      <c r="U67" s="119"/>
      <c r="V67" t="b">
        <v>1</v>
      </c>
      <c r="X67" t="b">
        <v>1</v>
      </c>
      <c r="Y67" t="b">
        <v>0</v>
      </c>
      <c r="Z67" t="b">
        <f>FALSE</f>
        <v>0</v>
      </c>
    </row>
    <row r="68" spans="1:26" x14ac:dyDescent="0.25">
      <c r="A68" s="43">
        <f>IF(COUNTIF(LEDGER[LedgerCode],FC_import[[#This Row],[LedgerCode]])&gt;0,0,1)</f>
        <v>1</v>
      </c>
      <c r="B68" s="48">
        <f>IF(COUNTIF(Table_System_Grouping_Codes[groupingCodeCode],FC_import[[#This Row],[GroupingCode]])&gt;0,0,1)</f>
        <v>0</v>
      </c>
      <c r="C68" s="43">
        <f>IF(COUNTIF(CUSTGROUP[CustomGroupingCode],FC_import[[#This Row],[CustomGrouping]])&gt;0,0,1)</f>
        <v>0</v>
      </c>
      <c r="D68" s="43" cm="1">
        <f t="array" ref="D68">IF(FC_import[[#This Row],[AvailableToAllSchools]]=TRUE,0,COUNTA(_xlfn.TEXTSPLIT(FC_import[[#This Row],[SchoolCodes]],",",,TRUE))-SUM(COUNTIF(SCHOOLS[SchoolCode],_xlfn.TEXTSPLIT(FC_import[[#This Row],[SchoolCodes]],",",,TRUE))))</f>
        <v>0</v>
      </c>
      <c r="E68" s="43">
        <f>IF(FC_import[[#This Row],[FinanceCodeTypeCode]]="BUDGET",0,COUNTIF(P:P,P68)-1)</f>
        <v>0</v>
      </c>
      <c r="F68" s="43">
        <f>IF(FC_import[[#This Row],[FinanceCodeTypeCode]]="BUDGET",0,COUNTIF(Q:Q,Q68)-1)</f>
        <v>0</v>
      </c>
      <c r="G68" s="43">
        <f>COUNTIF(Lookup!$A$2:$A$7,R68)-1</f>
        <v>0</v>
      </c>
      <c r="H68" s="43">
        <f>IF(OR(FC_import[[#This Row],[FinanceCodeEnabled]]=TRUE,FC_import[[#This Row],[FinanceCodeEnabled]]=FALSE),0,1)</f>
        <v>0</v>
      </c>
      <c r="I68" s="43">
        <f>IF(LEN(FC_import[[#This Row],[FinanceCode]])&lt;100,0,1)</f>
        <v>0</v>
      </c>
      <c r="J68" s="43">
        <f>IF(TRIM(FC_import[[#This Row],[Title]])="",1,0)</f>
        <v>0</v>
      </c>
      <c r="K68" s="43">
        <f>IF(TRIM(FC_import[[#This Row],[FinanceCode]])="",1,0)</f>
        <v>0</v>
      </c>
      <c r="L68" s="43">
        <f>IF(LEN(FC_import[[#This Row],[Title]])&lt;100,0,1)</f>
        <v>0</v>
      </c>
      <c r="M68" s="43">
        <f>IF(ISBLANK(FC_import[[#This Row],[BalanceToScenario]]),1,0)</f>
        <v>0</v>
      </c>
      <c r="N68" s="43">
        <f>IF(SUBSTITUTE(TEXT(FC_import[[#This Row],[FinanceCode]],10)," ","")=TEXT(FC_import[[#This Row],[FinanceCode]],10),0,1)</f>
        <v>0</v>
      </c>
      <c r="O68" s="43">
        <f t="shared" si="2"/>
        <v>1</v>
      </c>
      <c r="P68" t="s">
        <v>1298</v>
      </c>
      <c r="Q68" t="s">
        <v>1299</v>
      </c>
      <c r="R68" t="s">
        <v>1169</v>
      </c>
      <c r="S68" t="s">
        <v>1061</v>
      </c>
      <c r="T68" t="s">
        <v>1035</v>
      </c>
      <c r="U68" s="119"/>
      <c r="V68" t="b">
        <v>1</v>
      </c>
      <c r="X68" t="b">
        <v>1</v>
      </c>
      <c r="Y68" t="b">
        <v>0</v>
      </c>
      <c r="Z68" t="b">
        <f>FALSE</f>
        <v>0</v>
      </c>
    </row>
    <row r="69" spans="1:26" x14ac:dyDescent="0.25">
      <c r="A69" s="43">
        <f>IF(COUNTIF(LEDGER[LedgerCode],FC_import[[#This Row],[LedgerCode]])&gt;0,0,1)</f>
        <v>1</v>
      </c>
      <c r="B69" s="48">
        <f>IF(COUNTIF(Table_System_Grouping_Codes[groupingCodeCode],FC_import[[#This Row],[GroupingCode]])&gt;0,0,1)</f>
        <v>0</v>
      </c>
      <c r="C69" s="43">
        <f>IF(COUNTIF(CUSTGROUP[CustomGroupingCode],FC_import[[#This Row],[CustomGrouping]])&gt;0,0,1)</f>
        <v>0</v>
      </c>
      <c r="D69" s="43" cm="1">
        <f t="array" ref="D69">IF(FC_import[[#This Row],[AvailableToAllSchools]]=TRUE,0,COUNTA(_xlfn.TEXTSPLIT(FC_import[[#This Row],[SchoolCodes]],",",,TRUE))-SUM(COUNTIF(SCHOOLS[SchoolCode],_xlfn.TEXTSPLIT(FC_import[[#This Row],[SchoolCodes]],",",,TRUE))))</f>
        <v>0</v>
      </c>
      <c r="E69" s="43">
        <f>IF(FC_import[[#This Row],[FinanceCodeTypeCode]]="BUDGET",0,COUNTIF(P:P,P69)-1)</f>
        <v>0</v>
      </c>
      <c r="F69" s="43">
        <f>IF(FC_import[[#This Row],[FinanceCodeTypeCode]]="BUDGET",0,COUNTIF(Q:Q,Q69)-1)</f>
        <v>0</v>
      </c>
      <c r="G69" s="43">
        <f>COUNTIF(Lookup!$A$2:$A$7,R69)-1</f>
        <v>0</v>
      </c>
      <c r="H69" s="43">
        <f>IF(OR(FC_import[[#This Row],[FinanceCodeEnabled]]=TRUE,FC_import[[#This Row],[FinanceCodeEnabled]]=FALSE),0,1)</f>
        <v>0</v>
      </c>
      <c r="I69" s="43">
        <f>IF(LEN(FC_import[[#This Row],[FinanceCode]])&lt;100,0,1)</f>
        <v>0</v>
      </c>
      <c r="J69" s="43">
        <f>IF(TRIM(FC_import[[#This Row],[Title]])="",1,0)</f>
        <v>0</v>
      </c>
      <c r="K69" s="43">
        <f>IF(TRIM(FC_import[[#This Row],[FinanceCode]])="",1,0)</f>
        <v>0</v>
      </c>
      <c r="L69" s="43">
        <f>IF(LEN(FC_import[[#This Row],[Title]])&lt;100,0,1)</f>
        <v>0</v>
      </c>
      <c r="M69" s="43">
        <f>IF(ISBLANK(FC_import[[#This Row],[BalanceToScenario]]),1,0)</f>
        <v>0</v>
      </c>
      <c r="N69" s="43">
        <f>IF(SUBSTITUTE(TEXT(FC_import[[#This Row],[FinanceCode]],10)," ","")=TEXT(FC_import[[#This Row],[FinanceCode]],10),0,1)</f>
        <v>0</v>
      </c>
      <c r="O69" s="43">
        <f t="shared" si="2"/>
        <v>1</v>
      </c>
      <c r="P69" t="s">
        <v>1300</v>
      </c>
      <c r="Q69" t="s">
        <v>1301</v>
      </c>
      <c r="R69" t="s">
        <v>1169</v>
      </c>
      <c r="S69" t="s">
        <v>1061</v>
      </c>
      <c r="T69" t="s">
        <v>1035</v>
      </c>
      <c r="U69" s="119"/>
      <c r="V69" t="b">
        <v>1</v>
      </c>
      <c r="X69" t="b">
        <v>1</v>
      </c>
      <c r="Y69" t="b">
        <v>0</v>
      </c>
      <c r="Z69" t="b">
        <f>FALSE</f>
        <v>0</v>
      </c>
    </row>
    <row r="70" spans="1:26" x14ac:dyDescent="0.25">
      <c r="A70" s="43">
        <f>IF(COUNTIF(LEDGER[LedgerCode],FC_import[[#This Row],[LedgerCode]])&gt;0,0,1)</f>
        <v>1</v>
      </c>
      <c r="B70" s="48">
        <f>IF(COUNTIF(Table_System_Grouping_Codes[groupingCodeCode],FC_import[[#This Row],[GroupingCode]])&gt;0,0,1)</f>
        <v>0</v>
      </c>
      <c r="C70" s="43">
        <f>IF(COUNTIF(CUSTGROUP[CustomGroupingCode],FC_import[[#This Row],[CustomGrouping]])&gt;0,0,1)</f>
        <v>0</v>
      </c>
      <c r="D70" s="43" cm="1">
        <f t="array" ref="D70">IF(FC_import[[#This Row],[AvailableToAllSchools]]=TRUE,0,COUNTA(_xlfn.TEXTSPLIT(FC_import[[#This Row],[SchoolCodes]],",",,TRUE))-SUM(COUNTIF(SCHOOLS[SchoolCode],_xlfn.TEXTSPLIT(FC_import[[#This Row],[SchoolCodes]],",",,TRUE))))</f>
        <v>0</v>
      </c>
      <c r="E70" s="43">
        <f>IF(FC_import[[#This Row],[FinanceCodeTypeCode]]="BUDGET",0,COUNTIF(P:P,P70)-1)</f>
        <v>0</v>
      </c>
      <c r="F70" s="43">
        <f>IF(FC_import[[#This Row],[FinanceCodeTypeCode]]="BUDGET",0,COUNTIF(Q:Q,Q70)-1)</f>
        <v>0</v>
      </c>
      <c r="G70" s="43">
        <f>COUNTIF(Lookup!$A$2:$A$7,R70)-1</f>
        <v>0</v>
      </c>
      <c r="H70" s="43">
        <f>IF(OR(FC_import[[#This Row],[FinanceCodeEnabled]]=TRUE,FC_import[[#This Row],[FinanceCodeEnabled]]=FALSE),0,1)</f>
        <v>0</v>
      </c>
      <c r="I70" s="43">
        <f>IF(LEN(FC_import[[#This Row],[FinanceCode]])&lt;100,0,1)</f>
        <v>0</v>
      </c>
      <c r="J70" s="43">
        <f>IF(TRIM(FC_import[[#This Row],[Title]])="",1,0)</f>
        <v>0</v>
      </c>
      <c r="K70" s="43">
        <f>IF(TRIM(FC_import[[#This Row],[FinanceCode]])="",1,0)</f>
        <v>0</v>
      </c>
      <c r="L70" s="43">
        <f>IF(LEN(FC_import[[#This Row],[Title]])&lt;100,0,1)</f>
        <v>0</v>
      </c>
      <c r="M70" s="43">
        <f>IF(ISBLANK(FC_import[[#This Row],[BalanceToScenario]]),1,0)</f>
        <v>0</v>
      </c>
      <c r="N70" s="43">
        <f>IF(SUBSTITUTE(TEXT(FC_import[[#This Row],[FinanceCode]],10)," ","")=TEXT(FC_import[[#This Row],[FinanceCode]],10),0,1)</f>
        <v>0</v>
      </c>
      <c r="O70" s="43">
        <f t="shared" si="2"/>
        <v>1</v>
      </c>
      <c r="P70" t="s">
        <v>1302</v>
      </c>
      <c r="Q70" t="s">
        <v>1303</v>
      </c>
      <c r="R70" t="s">
        <v>1169</v>
      </c>
      <c r="S70" t="s">
        <v>1061</v>
      </c>
      <c r="T70" t="s">
        <v>1035</v>
      </c>
      <c r="U70" s="119"/>
      <c r="V70" t="b">
        <v>1</v>
      </c>
      <c r="X70" t="b">
        <v>1</v>
      </c>
      <c r="Y70" t="b">
        <v>0</v>
      </c>
      <c r="Z70" t="b">
        <f>FALSE</f>
        <v>0</v>
      </c>
    </row>
    <row r="71" spans="1:26" x14ac:dyDescent="0.25">
      <c r="A71" s="43">
        <f>IF(COUNTIF(LEDGER[LedgerCode],FC_import[[#This Row],[LedgerCode]])&gt;0,0,1)</f>
        <v>1</v>
      </c>
      <c r="B71" s="48">
        <f>IF(COUNTIF(Table_System_Grouping_Codes[groupingCodeCode],FC_import[[#This Row],[GroupingCode]])&gt;0,0,1)</f>
        <v>0</v>
      </c>
      <c r="C71" s="43">
        <f>IF(COUNTIF(CUSTGROUP[CustomGroupingCode],FC_import[[#This Row],[CustomGrouping]])&gt;0,0,1)</f>
        <v>0</v>
      </c>
      <c r="D71" s="43" cm="1">
        <f t="array" ref="D71">IF(FC_import[[#This Row],[AvailableToAllSchools]]=TRUE,0,COUNTA(_xlfn.TEXTSPLIT(FC_import[[#This Row],[SchoolCodes]],",",,TRUE))-SUM(COUNTIF(SCHOOLS[SchoolCode],_xlfn.TEXTSPLIT(FC_import[[#This Row],[SchoolCodes]],",",,TRUE))))</f>
        <v>0</v>
      </c>
      <c r="E71" s="43">
        <f>IF(FC_import[[#This Row],[FinanceCodeTypeCode]]="BUDGET",0,COUNTIF(P:P,P71)-1)</f>
        <v>0</v>
      </c>
      <c r="F71" s="43">
        <f>IF(FC_import[[#This Row],[FinanceCodeTypeCode]]="BUDGET",0,COUNTIF(Q:Q,Q71)-1)</f>
        <v>0</v>
      </c>
      <c r="G71" s="43">
        <f>COUNTIF(Lookup!$A$2:$A$7,R71)-1</f>
        <v>0</v>
      </c>
      <c r="H71" s="43">
        <f>IF(OR(FC_import[[#This Row],[FinanceCodeEnabled]]=TRUE,FC_import[[#This Row],[FinanceCodeEnabled]]=FALSE),0,1)</f>
        <v>0</v>
      </c>
      <c r="I71" s="43">
        <f>IF(LEN(FC_import[[#This Row],[FinanceCode]])&lt;100,0,1)</f>
        <v>0</v>
      </c>
      <c r="J71" s="43">
        <f>IF(TRIM(FC_import[[#This Row],[Title]])="",1,0)</f>
        <v>0</v>
      </c>
      <c r="K71" s="43">
        <f>IF(TRIM(FC_import[[#This Row],[FinanceCode]])="",1,0)</f>
        <v>0</v>
      </c>
      <c r="L71" s="43">
        <f>IF(LEN(FC_import[[#This Row],[Title]])&lt;100,0,1)</f>
        <v>0</v>
      </c>
      <c r="M71" s="43">
        <f>IF(ISBLANK(FC_import[[#This Row],[BalanceToScenario]]),1,0)</f>
        <v>0</v>
      </c>
      <c r="N71" s="43">
        <f>IF(SUBSTITUTE(TEXT(FC_import[[#This Row],[FinanceCode]],10)," ","")=TEXT(FC_import[[#This Row],[FinanceCode]],10),0,1)</f>
        <v>0</v>
      </c>
      <c r="O71" s="43">
        <f t="shared" si="2"/>
        <v>1</v>
      </c>
      <c r="P71" t="s">
        <v>1304</v>
      </c>
      <c r="Q71" t="s">
        <v>1305</v>
      </c>
      <c r="R71" t="s">
        <v>1169</v>
      </c>
      <c r="S71" t="s">
        <v>1061</v>
      </c>
      <c r="T71" t="s">
        <v>1035</v>
      </c>
      <c r="U71" s="119"/>
      <c r="V71" t="b">
        <v>1</v>
      </c>
      <c r="X71" t="b">
        <v>1</v>
      </c>
      <c r="Y71" t="b">
        <v>0</v>
      </c>
      <c r="Z71" t="b">
        <f>FALSE</f>
        <v>0</v>
      </c>
    </row>
    <row r="72" spans="1:26" x14ac:dyDescent="0.25">
      <c r="A72" s="43">
        <f>IF(COUNTIF(LEDGER[LedgerCode],FC_import[[#This Row],[LedgerCode]])&gt;0,0,1)</f>
        <v>1</v>
      </c>
      <c r="B72" s="48">
        <f>IF(COUNTIF(Table_System_Grouping_Codes[groupingCodeCode],FC_import[[#This Row],[GroupingCode]])&gt;0,0,1)</f>
        <v>0</v>
      </c>
      <c r="C72" s="43">
        <f>IF(COUNTIF(CUSTGROUP[CustomGroupingCode],FC_import[[#This Row],[CustomGrouping]])&gt;0,0,1)</f>
        <v>0</v>
      </c>
      <c r="D72" s="43" cm="1">
        <f t="array" ref="D72">IF(FC_import[[#This Row],[AvailableToAllSchools]]=TRUE,0,COUNTA(_xlfn.TEXTSPLIT(FC_import[[#This Row],[SchoolCodes]],",",,TRUE))-SUM(COUNTIF(SCHOOLS[SchoolCode],_xlfn.TEXTSPLIT(FC_import[[#This Row],[SchoolCodes]],",",,TRUE))))</f>
        <v>0</v>
      </c>
      <c r="E72" s="43">
        <f>IF(FC_import[[#This Row],[FinanceCodeTypeCode]]="BUDGET",0,COUNTIF(P:P,P72)-1)</f>
        <v>0</v>
      </c>
      <c r="F72" s="43">
        <f>IF(FC_import[[#This Row],[FinanceCodeTypeCode]]="BUDGET",0,COUNTIF(Q:Q,Q72)-1)</f>
        <v>0</v>
      </c>
      <c r="G72" s="43">
        <f>COUNTIF(Lookup!$A$2:$A$7,R72)-1</f>
        <v>0</v>
      </c>
      <c r="H72" s="43">
        <f>IF(OR(FC_import[[#This Row],[FinanceCodeEnabled]]=TRUE,FC_import[[#This Row],[FinanceCodeEnabled]]=FALSE),0,1)</f>
        <v>0</v>
      </c>
      <c r="I72" s="43">
        <f>IF(LEN(FC_import[[#This Row],[FinanceCode]])&lt;100,0,1)</f>
        <v>0</v>
      </c>
      <c r="J72" s="43">
        <f>IF(TRIM(FC_import[[#This Row],[Title]])="",1,0)</f>
        <v>0</v>
      </c>
      <c r="K72" s="43">
        <f>IF(TRIM(FC_import[[#This Row],[FinanceCode]])="",1,0)</f>
        <v>0</v>
      </c>
      <c r="L72" s="43">
        <f>IF(LEN(FC_import[[#This Row],[Title]])&lt;100,0,1)</f>
        <v>0</v>
      </c>
      <c r="M72" s="43">
        <f>IF(ISBLANK(FC_import[[#This Row],[BalanceToScenario]]),1,0)</f>
        <v>0</v>
      </c>
      <c r="N72" s="43">
        <f>IF(SUBSTITUTE(TEXT(FC_import[[#This Row],[FinanceCode]],10)," ","")=TEXT(FC_import[[#This Row],[FinanceCode]],10),0,1)</f>
        <v>0</v>
      </c>
      <c r="O72" s="43">
        <f t="shared" si="2"/>
        <v>1</v>
      </c>
      <c r="P72" t="s">
        <v>1306</v>
      </c>
      <c r="Q72" t="s">
        <v>1307</v>
      </c>
      <c r="R72" t="s">
        <v>1169</v>
      </c>
      <c r="S72" t="s">
        <v>1061</v>
      </c>
      <c r="T72" t="s">
        <v>1035</v>
      </c>
      <c r="U72" s="119"/>
      <c r="V72" t="b">
        <v>1</v>
      </c>
      <c r="X72" t="b">
        <v>1</v>
      </c>
      <c r="Y72" t="b">
        <v>0</v>
      </c>
      <c r="Z72" t="b">
        <f>FALSE</f>
        <v>0</v>
      </c>
    </row>
    <row r="73" spans="1:26" x14ac:dyDescent="0.25">
      <c r="A73" s="43">
        <f>IF(COUNTIF(LEDGER[LedgerCode],FC_import[[#This Row],[LedgerCode]])&gt;0,0,1)</f>
        <v>1</v>
      </c>
      <c r="B73" s="48">
        <f>IF(COUNTIF(Table_System_Grouping_Codes[groupingCodeCode],FC_import[[#This Row],[GroupingCode]])&gt;0,0,1)</f>
        <v>0</v>
      </c>
      <c r="C73" s="43">
        <f>IF(COUNTIF(CUSTGROUP[CustomGroupingCode],FC_import[[#This Row],[CustomGrouping]])&gt;0,0,1)</f>
        <v>0</v>
      </c>
      <c r="D73" s="43" cm="1">
        <f t="array" ref="D73">IF(FC_import[[#This Row],[AvailableToAllSchools]]=TRUE,0,COUNTA(_xlfn.TEXTSPLIT(FC_import[[#This Row],[SchoolCodes]],",",,TRUE))-SUM(COUNTIF(SCHOOLS[SchoolCode],_xlfn.TEXTSPLIT(FC_import[[#This Row],[SchoolCodes]],",",,TRUE))))</f>
        <v>0</v>
      </c>
      <c r="E73" s="43">
        <f>IF(FC_import[[#This Row],[FinanceCodeTypeCode]]="BUDGET",0,COUNTIF(P:P,P73)-1)</f>
        <v>0</v>
      </c>
      <c r="F73" s="43">
        <f>IF(FC_import[[#This Row],[FinanceCodeTypeCode]]="BUDGET",0,COUNTIF(Q:Q,Q73)-1)</f>
        <v>0</v>
      </c>
      <c r="G73" s="43">
        <f>COUNTIF(Lookup!$A$2:$A$7,R73)-1</f>
        <v>0</v>
      </c>
      <c r="H73" s="43">
        <f>IF(OR(FC_import[[#This Row],[FinanceCodeEnabled]]=TRUE,FC_import[[#This Row],[FinanceCodeEnabled]]=FALSE),0,1)</f>
        <v>0</v>
      </c>
      <c r="I73" s="43">
        <f>IF(LEN(FC_import[[#This Row],[FinanceCode]])&lt;100,0,1)</f>
        <v>0</v>
      </c>
      <c r="J73" s="43">
        <f>IF(TRIM(FC_import[[#This Row],[Title]])="",1,0)</f>
        <v>0</v>
      </c>
      <c r="K73" s="43">
        <f>IF(TRIM(FC_import[[#This Row],[FinanceCode]])="",1,0)</f>
        <v>0</v>
      </c>
      <c r="L73" s="43">
        <f>IF(LEN(FC_import[[#This Row],[Title]])&lt;100,0,1)</f>
        <v>0</v>
      </c>
      <c r="M73" s="43">
        <f>IF(ISBLANK(FC_import[[#This Row],[BalanceToScenario]]),1,0)</f>
        <v>0</v>
      </c>
      <c r="N73" s="43">
        <f>IF(SUBSTITUTE(TEXT(FC_import[[#This Row],[FinanceCode]],10)," ","")=TEXT(FC_import[[#This Row],[FinanceCode]],10),0,1)</f>
        <v>0</v>
      </c>
      <c r="O73" s="43">
        <f t="shared" si="2"/>
        <v>1</v>
      </c>
      <c r="P73" t="s">
        <v>1308</v>
      </c>
      <c r="Q73" t="s">
        <v>1309</v>
      </c>
      <c r="R73" t="s">
        <v>1169</v>
      </c>
      <c r="S73" t="s">
        <v>1059</v>
      </c>
      <c r="T73" t="s">
        <v>1035</v>
      </c>
      <c r="U73" s="119"/>
      <c r="V73" t="b">
        <v>1</v>
      </c>
      <c r="X73" t="b">
        <v>1</v>
      </c>
      <c r="Y73" t="b">
        <v>0</v>
      </c>
      <c r="Z73" t="b">
        <f>FALSE</f>
        <v>0</v>
      </c>
    </row>
    <row r="74" spans="1:26" x14ac:dyDescent="0.25">
      <c r="A74" s="43">
        <f>IF(COUNTIF(LEDGER[LedgerCode],FC_import[[#This Row],[LedgerCode]])&gt;0,0,1)</f>
        <v>1</v>
      </c>
      <c r="B74" s="48">
        <f>IF(COUNTIF(Table_System_Grouping_Codes[groupingCodeCode],FC_import[[#This Row],[GroupingCode]])&gt;0,0,1)</f>
        <v>0</v>
      </c>
      <c r="C74" s="43">
        <f>IF(COUNTIF(CUSTGROUP[CustomGroupingCode],FC_import[[#This Row],[CustomGrouping]])&gt;0,0,1)</f>
        <v>0</v>
      </c>
      <c r="D74" s="43" cm="1">
        <f t="array" ref="D74">IF(FC_import[[#This Row],[AvailableToAllSchools]]=TRUE,0,COUNTA(_xlfn.TEXTSPLIT(FC_import[[#This Row],[SchoolCodes]],",",,TRUE))-SUM(COUNTIF(SCHOOLS[SchoolCode],_xlfn.TEXTSPLIT(FC_import[[#This Row],[SchoolCodes]],",",,TRUE))))</f>
        <v>0</v>
      </c>
      <c r="E74" s="43">
        <f>IF(FC_import[[#This Row],[FinanceCodeTypeCode]]="BUDGET",0,COUNTIF(P:P,P74)-1)</f>
        <v>0</v>
      </c>
      <c r="F74" s="43">
        <f>IF(FC_import[[#This Row],[FinanceCodeTypeCode]]="BUDGET",0,COUNTIF(Q:Q,Q74)-1)</f>
        <v>0</v>
      </c>
      <c r="G74" s="43">
        <f>COUNTIF(Lookup!$A$2:$A$7,R74)-1</f>
        <v>0</v>
      </c>
      <c r="H74" s="43">
        <f>IF(OR(FC_import[[#This Row],[FinanceCodeEnabled]]=TRUE,FC_import[[#This Row],[FinanceCodeEnabled]]=FALSE),0,1)</f>
        <v>0</v>
      </c>
      <c r="I74" s="43">
        <f>IF(LEN(FC_import[[#This Row],[FinanceCode]])&lt;100,0,1)</f>
        <v>0</v>
      </c>
      <c r="J74" s="43">
        <f>IF(TRIM(FC_import[[#This Row],[Title]])="",1,0)</f>
        <v>0</v>
      </c>
      <c r="K74" s="43">
        <f>IF(TRIM(FC_import[[#This Row],[FinanceCode]])="",1,0)</f>
        <v>0</v>
      </c>
      <c r="L74" s="43">
        <f>IF(LEN(FC_import[[#This Row],[Title]])&lt;100,0,1)</f>
        <v>0</v>
      </c>
      <c r="M74" s="43">
        <f>IF(ISBLANK(FC_import[[#This Row],[BalanceToScenario]]),1,0)</f>
        <v>0</v>
      </c>
      <c r="N74" s="43">
        <f>IF(SUBSTITUTE(TEXT(FC_import[[#This Row],[FinanceCode]],10)," ","")=TEXT(FC_import[[#This Row],[FinanceCode]],10),0,1)</f>
        <v>0</v>
      </c>
      <c r="O74" s="43">
        <f t="shared" si="2"/>
        <v>1</v>
      </c>
      <c r="P74" t="s">
        <v>1310</v>
      </c>
      <c r="Q74" t="s">
        <v>1311</v>
      </c>
      <c r="R74" t="s">
        <v>1169</v>
      </c>
      <c r="S74" t="s">
        <v>1061</v>
      </c>
      <c r="T74" t="s">
        <v>1035</v>
      </c>
      <c r="U74" s="119"/>
      <c r="V74" t="b">
        <v>1</v>
      </c>
      <c r="X74" t="b">
        <v>1</v>
      </c>
      <c r="Y74" t="b">
        <v>0</v>
      </c>
      <c r="Z74" t="b">
        <f>FALSE</f>
        <v>0</v>
      </c>
    </row>
    <row r="75" spans="1:26" x14ac:dyDescent="0.25">
      <c r="A75" s="43">
        <f>IF(COUNTIF(LEDGER[LedgerCode],FC_import[[#This Row],[LedgerCode]])&gt;0,0,1)</f>
        <v>1</v>
      </c>
      <c r="B75" s="48">
        <f>IF(COUNTIF(Table_System_Grouping_Codes[groupingCodeCode],FC_import[[#This Row],[GroupingCode]])&gt;0,0,1)</f>
        <v>0</v>
      </c>
      <c r="C75" s="43">
        <f>IF(COUNTIF(CUSTGROUP[CustomGroupingCode],FC_import[[#This Row],[CustomGrouping]])&gt;0,0,1)</f>
        <v>0</v>
      </c>
      <c r="D75" s="43" cm="1">
        <f t="array" ref="D75">IF(FC_import[[#This Row],[AvailableToAllSchools]]=TRUE,0,COUNTA(_xlfn.TEXTSPLIT(FC_import[[#This Row],[SchoolCodes]],",",,TRUE))-SUM(COUNTIF(SCHOOLS[SchoolCode],_xlfn.TEXTSPLIT(FC_import[[#This Row],[SchoolCodes]],",",,TRUE))))</f>
        <v>0</v>
      </c>
      <c r="E75" s="43">
        <f>IF(FC_import[[#This Row],[FinanceCodeTypeCode]]="BUDGET",0,COUNTIF(P:P,P75)-1)</f>
        <v>0</v>
      </c>
      <c r="F75" s="43">
        <f>IF(FC_import[[#This Row],[FinanceCodeTypeCode]]="BUDGET",0,COUNTIF(Q:Q,Q75)-1)</f>
        <v>0</v>
      </c>
      <c r="G75" s="43">
        <f>COUNTIF(Lookup!$A$2:$A$7,R75)-1</f>
        <v>0</v>
      </c>
      <c r="H75" s="43">
        <f>IF(OR(FC_import[[#This Row],[FinanceCodeEnabled]]=TRUE,FC_import[[#This Row],[FinanceCodeEnabled]]=FALSE),0,1)</f>
        <v>0</v>
      </c>
      <c r="I75" s="43">
        <f>IF(LEN(FC_import[[#This Row],[FinanceCode]])&lt;100,0,1)</f>
        <v>0</v>
      </c>
      <c r="J75" s="43">
        <f>IF(TRIM(FC_import[[#This Row],[Title]])="",1,0)</f>
        <v>0</v>
      </c>
      <c r="K75" s="43">
        <f>IF(TRIM(FC_import[[#This Row],[FinanceCode]])="",1,0)</f>
        <v>0</v>
      </c>
      <c r="L75" s="43">
        <f>IF(LEN(FC_import[[#This Row],[Title]])&lt;100,0,1)</f>
        <v>0</v>
      </c>
      <c r="M75" s="43">
        <f>IF(ISBLANK(FC_import[[#This Row],[BalanceToScenario]]),1,0)</f>
        <v>0</v>
      </c>
      <c r="N75" s="43">
        <f>IF(SUBSTITUTE(TEXT(FC_import[[#This Row],[FinanceCode]],10)," ","")=TEXT(FC_import[[#This Row],[FinanceCode]],10),0,1)</f>
        <v>0</v>
      </c>
      <c r="O75" s="43">
        <f t="shared" si="2"/>
        <v>1</v>
      </c>
      <c r="P75" t="s">
        <v>1312</v>
      </c>
      <c r="Q75" t="s">
        <v>1313</v>
      </c>
      <c r="R75" t="s">
        <v>1169</v>
      </c>
      <c r="S75" t="s">
        <v>1061</v>
      </c>
      <c r="T75" t="s">
        <v>1035</v>
      </c>
      <c r="U75" s="119"/>
      <c r="V75" t="b">
        <v>1</v>
      </c>
      <c r="X75" t="b">
        <v>1</v>
      </c>
      <c r="Y75" t="b">
        <v>0</v>
      </c>
      <c r="Z75" t="b">
        <f>FALSE</f>
        <v>0</v>
      </c>
    </row>
    <row r="76" spans="1:26" x14ac:dyDescent="0.25">
      <c r="A76" s="43">
        <f>IF(COUNTIF(LEDGER[LedgerCode],FC_import[[#This Row],[LedgerCode]])&gt;0,0,1)</f>
        <v>1</v>
      </c>
      <c r="B76" s="48">
        <f>IF(COUNTIF(Table_System_Grouping_Codes[groupingCodeCode],FC_import[[#This Row],[GroupingCode]])&gt;0,0,1)</f>
        <v>0</v>
      </c>
      <c r="C76" s="43">
        <f>IF(COUNTIF(CUSTGROUP[CustomGroupingCode],FC_import[[#This Row],[CustomGrouping]])&gt;0,0,1)</f>
        <v>0</v>
      </c>
      <c r="D76" s="43" cm="1">
        <f t="array" ref="D76">IF(FC_import[[#This Row],[AvailableToAllSchools]]=TRUE,0,COUNTA(_xlfn.TEXTSPLIT(FC_import[[#This Row],[SchoolCodes]],",",,TRUE))-SUM(COUNTIF(SCHOOLS[SchoolCode],_xlfn.TEXTSPLIT(FC_import[[#This Row],[SchoolCodes]],",",,TRUE))))</f>
        <v>0</v>
      </c>
      <c r="E76" s="43">
        <f>IF(FC_import[[#This Row],[FinanceCodeTypeCode]]="BUDGET",0,COUNTIF(P:P,P76)-1)</f>
        <v>0</v>
      </c>
      <c r="F76" s="43">
        <f>IF(FC_import[[#This Row],[FinanceCodeTypeCode]]="BUDGET",0,COUNTIF(Q:Q,Q76)-1)</f>
        <v>0</v>
      </c>
      <c r="G76" s="43">
        <f>COUNTIF(Lookup!$A$2:$A$7,R76)-1</f>
        <v>0</v>
      </c>
      <c r="H76" s="43">
        <f>IF(OR(FC_import[[#This Row],[FinanceCodeEnabled]]=TRUE,FC_import[[#This Row],[FinanceCodeEnabled]]=FALSE),0,1)</f>
        <v>0</v>
      </c>
      <c r="I76" s="43">
        <f>IF(LEN(FC_import[[#This Row],[FinanceCode]])&lt;100,0,1)</f>
        <v>0</v>
      </c>
      <c r="J76" s="43">
        <f>IF(TRIM(FC_import[[#This Row],[Title]])="",1,0)</f>
        <v>0</v>
      </c>
      <c r="K76" s="43">
        <f>IF(TRIM(FC_import[[#This Row],[FinanceCode]])="",1,0)</f>
        <v>0</v>
      </c>
      <c r="L76" s="43">
        <f>IF(LEN(FC_import[[#This Row],[Title]])&lt;100,0,1)</f>
        <v>0</v>
      </c>
      <c r="M76" s="43">
        <f>IF(ISBLANK(FC_import[[#This Row],[BalanceToScenario]]),1,0)</f>
        <v>0</v>
      </c>
      <c r="N76" s="43">
        <f>IF(SUBSTITUTE(TEXT(FC_import[[#This Row],[FinanceCode]],10)," ","")=TEXT(FC_import[[#This Row],[FinanceCode]],10),0,1)</f>
        <v>0</v>
      </c>
      <c r="O76" s="43">
        <f t="shared" si="2"/>
        <v>1</v>
      </c>
      <c r="P76" t="s">
        <v>1314</v>
      </c>
      <c r="Q76" t="s">
        <v>1315</v>
      </c>
      <c r="R76" t="s">
        <v>1169</v>
      </c>
      <c r="S76" t="s">
        <v>1061</v>
      </c>
      <c r="T76" t="s">
        <v>1035</v>
      </c>
      <c r="U76" s="119"/>
      <c r="V76" t="b">
        <v>1</v>
      </c>
      <c r="X76" t="b">
        <v>1</v>
      </c>
      <c r="Y76" t="b">
        <v>0</v>
      </c>
      <c r="Z76" t="b">
        <f>FALSE</f>
        <v>0</v>
      </c>
    </row>
    <row r="77" spans="1:26" x14ac:dyDescent="0.25">
      <c r="A77" s="43">
        <f>IF(COUNTIF(LEDGER[LedgerCode],FC_import[[#This Row],[LedgerCode]])&gt;0,0,1)</f>
        <v>1</v>
      </c>
      <c r="B77" s="48">
        <f>IF(COUNTIF(Table_System_Grouping_Codes[groupingCodeCode],FC_import[[#This Row],[GroupingCode]])&gt;0,0,1)</f>
        <v>0</v>
      </c>
      <c r="C77" s="43">
        <f>IF(COUNTIF(CUSTGROUP[CustomGroupingCode],FC_import[[#This Row],[CustomGrouping]])&gt;0,0,1)</f>
        <v>0</v>
      </c>
      <c r="D77" s="43" cm="1">
        <f t="array" ref="D77">IF(FC_import[[#This Row],[AvailableToAllSchools]]=TRUE,0,COUNTA(_xlfn.TEXTSPLIT(FC_import[[#This Row],[SchoolCodes]],",",,TRUE))-SUM(COUNTIF(SCHOOLS[SchoolCode],_xlfn.TEXTSPLIT(FC_import[[#This Row],[SchoolCodes]],",",,TRUE))))</f>
        <v>0</v>
      </c>
      <c r="E77" s="43">
        <f>IF(FC_import[[#This Row],[FinanceCodeTypeCode]]="BUDGET",0,COUNTIF(P:P,P77)-1)</f>
        <v>0</v>
      </c>
      <c r="F77" s="43">
        <f>IF(FC_import[[#This Row],[FinanceCodeTypeCode]]="BUDGET",0,COUNTIF(Q:Q,Q77)-1)</f>
        <v>0</v>
      </c>
      <c r="G77" s="43">
        <f>COUNTIF(Lookup!$A$2:$A$7,R77)-1</f>
        <v>0</v>
      </c>
      <c r="H77" s="43">
        <f>IF(OR(FC_import[[#This Row],[FinanceCodeEnabled]]=TRUE,FC_import[[#This Row],[FinanceCodeEnabled]]=FALSE),0,1)</f>
        <v>0</v>
      </c>
      <c r="I77" s="43">
        <f>IF(LEN(FC_import[[#This Row],[FinanceCode]])&lt;100,0,1)</f>
        <v>0</v>
      </c>
      <c r="J77" s="43">
        <f>IF(TRIM(FC_import[[#This Row],[Title]])="",1,0)</f>
        <v>0</v>
      </c>
      <c r="K77" s="43">
        <f>IF(TRIM(FC_import[[#This Row],[FinanceCode]])="",1,0)</f>
        <v>0</v>
      </c>
      <c r="L77" s="43">
        <f>IF(LEN(FC_import[[#This Row],[Title]])&lt;100,0,1)</f>
        <v>0</v>
      </c>
      <c r="M77" s="43">
        <f>IF(ISBLANK(FC_import[[#This Row],[BalanceToScenario]]),1,0)</f>
        <v>0</v>
      </c>
      <c r="N77" s="43">
        <f>IF(SUBSTITUTE(TEXT(FC_import[[#This Row],[FinanceCode]],10)," ","")=TEXT(FC_import[[#This Row],[FinanceCode]],10),0,1)</f>
        <v>0</v>
      </c>
      <c r="O77" s="43">
        <f t="shared" si="2"/>
        <v>1</v>
      </c>
      <c r="P77" t="s">
        <v>1316</v>
      </c>
      <c r="Q77" t="s">
        <v>1317</v>
      </c>
      <c r="R77" t="s">
        <v>1169</v>
      </c>
      <c r="S77" t="s">
        <v>1061</v>
      </c>
      <c r="T77" t="s">
        <v>1035</v>
      </c>
      <c r="U77" s="119"/>
      <c r="V77" t="b">
        <v>1</v>
      </c>
      <c r="X77" t="b">
        <v>1</v>
      </c>
      <c r="Y77" t="b">
        <v>0</v>
      </c>
      <c r="Z77" t="b">
        <f>FALSE</f>
        <v>0</v>
      </c>
    </row>
    <row r="78" spans="1:26" x14ac:dyDescent="0.25">
      <c r="A78" s="43">
        <f>IF(COUNTIF(LEDGER[LedgerCode],FC_import[[#This Row],[LedgerCode]])&gt;0,0,1)</f>
        <v>1</v>
      </c>
      <c r="B78" s="48">
        <f>IF(COUNTIF(Table_System_Grouping_Codes[groupingCodeCode],FC_import[[#This Row],[GroupingCode]])&gt;0,0,1)</f>
        <v>0</v>
      </c>
      <c r="C78" s="43">
        <f>IF(COUNTIF(CUSTGROUP[CustomGroupingCode],FC_import[[#This Row],[CustomGrouping]])&gt;0,0,1)</f>
        <v>0</v>
      </c>
      <c r="D78" s="43" cm="1">
        <f t="array" ref="D78">IF(FC_import[[#This Row],[AvailableToAllSchools]]=TRUE,0,COUNTA(_xlfn.TEXTSPLIT(FC_import[[#This Row],[SchoolCodes]],",",,TRUE))-SUM(COUNTIF(SCHOOLS[SchoolCode],_xlfn.TEXTSPLIT(FC_import[[#This Row],[SchoolCodes]],",",,TRUE))))</f>
        <v>0</v>
      </c>
      <c r="E78" s="43">
        <f>IF(FC_import[[#This Row],[FinanceCodeTypeCode]]="BUDGET",0,COUNTIF(P:P,P78)-1)</f>
        <v>0</v>
      </c>
      <c r="F78" s="43">
        <f>IF(FC_import[[#This Row],[FinanceCodeTypeCode]]="BUDGET",0,COUNTIF(Q:Q,Q78)-1)</f>
        <v>0</v>
      </c>
      <c r="G78" s="43">
        <f>COUNTIF(Lookup!$A$2:$A$7,R78)-1</f>
        <v>0</v>
      </c>
      <c r="H78" s="43">
        <f>IF(OR(FC_import[[#This Row],[FinanceCodeEnabled]]=TRUE,FC_import[[#This Row],[FinanceCodeEnabled]]=FALSE),0,1)</f>
        <v>0</v>
      </c>
      <c r="I78" s="43">
        <f>IF(LEN(FC_import[[#This Row],[FinanceCode]])&lt;100,0,1)</f>
        <v>0</v>
      </c>
      <c r="J78" s="43">
        <f>IF(TRIM(FC_import[[#This Row],[Title]])="",1,0)</f>
        <v>0</v>
      </c>
      <c r="K78" s="43">
        <f>IF(TRIM(FC_import[[#This Row],[FinanceCode]])="",1,0)</f>
        <v>0</v>
      </c>
      <c r="L78" s="43">
        <f>IF(LEN(FC_import[[#This Row],[Title]])&lt;100,0,1)</f>
        <v>0</v>
      </c>
      <c r="M78" s="43">
        <f>IF(ISBLANK(FC_import[[#This Row],[BalanceToScenario]]),1,0)</f>
        <v>0</v>
      </c>
      <c r="N78" s="43">
        <f>IF(SUBSTITUTE(TEXT(FC_import[[#This Row],[FinanceCode]],10)," ","")=TEXT(FC_import[[#This Row],[FinanceCode]],10),0,1)</f>
        <v>0</v>
      </c>
      <c r="O78" s="43">
        <f t="shared" si="2"/>
        <v>1</v>
      </c>
      <c r="P78" t="s">
        <v>1318</v>
      </c>
      <c r="Q78" t="s">
        <v>1319</v>
      </c>
      <c r="R78" t="s">
        <v>1169</v>
      </c>
      <c r="S78" t="s">
        <v>1061</v>
      </c>
      <c r="T78" t="s">
        <v>1035</v>
      </c>
      <c r="U78" s="119"/>
      <c r="V78" t="b">
        <v>1</v>
      </c>
      <c r="X78" t="b">
        <v>1</v>
      </c>
      <c r="Y78" t="b">
        <v>0</v>
      </c>
      <c r="Z78" t="b">
        <f>FALSE</f>
        <v>0</v>
      </c>
    </row>
    <row r="79" spans="1:26" x14ac:dyDescent="0.25">
      <c r="A79" s="43">
        <f>IF(COUNTIF(LEDGER[LedgerCode],FC_import[[#This Row],[LedgerCode]])&gt;0,0,1)</f>
        <v>1</v>
      </c>
      <c r="B79" s="48">
        <f>IF(COUNTIF(Table_System_Grouping_Codes[groupingCodeCode],FC_import[[#This Row],[GroupingCode]])&gt;0,0,1)</f>
        <v>0</v>
      </c>
      <c r="C79" s="43">
        <f>IF(COUNTIF(CUSTGROUP[CustomGroupingCode],FC_import[[#This Row],[CustomGrouping]])&gt;0,0,1)</f>
        <v>0</v>
      </c>
      <c r="D79" s="43" cm="1">
        <f t="array" ref="D79">IF(FC_import[[#This Row],[AvailableToAllSchools]]=TRUE,0,COUNTA(_xlfn.TEXTSPLIT(FC_import[[#This Row],[SchoolCodes]],",",,TRUE))-SUM(COUNTIF(SCHOOLS[SchoolCode],_xlfn.TEXTSPLIT(FC_import[[#This Row],[SchoolCodes]],",",,TRUE))))</f>
        <v>0</v>
      </c>
      <c r="E79" s="43">
        <f>IF(FC_import[[#This Row],[FinanceCodeTypeCode]]="BUDGET",0,COUNTIF(P:P,P79)-1)</f>
        <v>0</v>
      </c>
      <c r="F79" s="43">
        <f>IF(FC_import[[#This Row],[FinanceCodeTypeCode]]="BUDGET",0,COUNTIF(Q:Q,Q79)-1)</f>
        <v>0</v>
      </c>
      <c r="G79" s="43">
        <f>COUNTIF(Lookup!$A$2:$A$7,R79)-1</f>
        <v>0</v>
      </c>
      <c r="H79" s="43">
        <f>IF(OR(FC_import[[#This Row],[FinanceCodeEnabled]]=TRUE,FC_import[[#This Row],[FinanceCodeEnabled]]=FALSE),0,1)</f>
        <v>0</v>
      </c>
      <c r="I79" s="43">
        <f>IF(LEN(FC_import[[#This Row],[FinanceCode]])&lt;100,0,1)</f>
        <v>0</v>
      </c>
      <c r="J79" s="43">
        <f>IF(TRIM(FC_import[[#This Row],[Title]])="",1,0)</f>
        <v>0</v>
      </c>
      <c r="K79" s="43">
        <f>IF(TRIM(FC_import[[#This Row],[FinanceCode]])="",1,0)</f>
        <v>0</v>
      </c>
      <c r="L79" s="43">
        <f>IF(LEN(FC_import[[#This Row],[Title]])&lt;100,0,1)</f>
        <v>0</v>
      </c>
      <c r="M79" s="43">
        <f>IF(ISBLANK(FC_import[[#This Row],[BalanceToScenario]]),1,0)</f>
        <v>0</v>
      </c>
      <c r="N79" s="43">
        <f>IF(SUBSTITUTE(TEXT(FC_import[[#This Row],[FinanceCode]],10)," ","")=TEXT(FC_import[[#This Row],[FinanceCode]],10),0,1)</f>
        <v>0</v>
      </c>
      <c r="O79" s="43">
        <f t="shared" si="2"/>
        <v>1</v>
      </c>
      <c r="P79" t="s">
        <v>1320</v>
      </c>
      <c r="Q79" t="s">
        <v>1321</v>
      </c>
      <c r="R79" t="s">
        <v>1169</v>
      </c>
      <c r="S79" t="s">
        <v>1061</v>
      </c>
      <c r="T79" t="s">
        <v>1035</v>
      </c>
      <c r="U79" s="119"/>
      <c r="V79" t="b">
        <v>1</v>
      </c>
      <c r="X79" t="b">
        <v>1</v>
      </c>
      <c r="Y79" t="b">
        <v>0</v>
      </c>
      <c r="Z79" t="b">
        <f>FALSE</f>
        <v>0</v>
      </c>
    </row>
    <row r="80" spans="1:26" x14ac:dyDescent="0.25">
      <c r="A80" s="43">
        <f>IF(COUNTIF(LEDGER[LedgerCode],FC_import[[#This Row],[LedgerCode]])&gt;0,0,1)</f>
        <v>1</v>
      </c>
      <c r="B80" s="48">
        <f>IF(COUNTIF(Table_System_Grouping_Codes[groupingCodeCode],FC_import[[#This Row],[GroupingCode]])&gt;0,0,1)</f>
        <v>0</v>
      </c>
      <c r="C80" s="43">
        <f>IF(COUNTIF(CUSTGROUP[CustomGroupingCode],FC_import[[#This Row],[CustomGrouping]])&gt;0,0,1)</f>
        <v>0</v>
      </c>
      <c r="D80" s="43" cm="1">
        <f t="array" ref="D80">IF(FC_import[[#This Row],[AvailableToAllSchools]]=TRUE,0,COUNTA(_xlfn.TEXTSPLIT(FC_import[[#This Row],[SchoolCodes]],",",,TRUE))-SUM(COUNTIF(SCHOOLS[SchoolCode],_xlfn.TEXTSPLIT(FC_import[[#This Row],[SchoolCodes]],",",,TRUE))))</f>
        <v>0</v>
      </c>
      <c r="E80" s="43">
        <f>IF(FC_import[[#This Row],[FinanceCodeTypeCode]]="BUDGET",0,COUNTIF(P:P,P80)-1)</f>
        <v>0</v>
      </c>
      <c r="F80" s="43">
        <f>IF(FC_import[[#This Row],[FinanceCodeTypeCode]]="BUDGET",0,COUNTIF(Q:Q,Q80)-1)</f>
        <v>0</v>
      </c>
      <c r="G80" s="43">
        <f>COUNTIF(Lookup!$A$2:$A$7,R80)-1</f>
        <v>0</v>
      </c>
      <c r="H80" s="43">
        <f>IF(OR(FC_import[[#This Row],[FinanceCodeEnabled]]=TRUE,FC_import[[#This Row],[FinanceCodeEnabled]]=FALSE),0,1)</f>
        <v>0</v>
      </c>
      <c r="I80" s="43">
        <f>IF(LEN(FC_import[[#This Row],[FinanceCode]])&lt;100,0,1)</f>
        <v>0</v>
      </c>
      <c r="J80" s="43">
        <f>IF(TRIM(FC_import[[#This Row],[Title]])="",1,0)</f>
        <v>0</v>
      </c>
      <c r="K80" s="43">
        <f>IF(TRIM(FC_import[[#This Row],[FinanceCode]])="",1,0)</f>
        <v>0</v>
      </c>
      <c r="L80" s="43">
        <f>IF(LEN(FC_import[[#This Row],[Title]])&lt;100,0,1)</f>
        <v>0</v>
      </c>
      <c r="M80" s="43">
        <f>IF(ISBLANK(FC_import[[#This Row],[BalanceToScenario]]),1,0)</f>
        <v>0</v>
      </c>
      <c r="N80" s="43">
        <f>IF(SUBSTITUTE(TEXT(FC_import[[#This Row],[FinanceCode]],10)," ","")=TEXT(FC_import[[#This Row],[FinanceCode]],10),0,1)</f>
        <v>0</v>
      </c>
      <c r="O80" s="43">
        <f t="shared" si="2"/>
        <v>1</v>
      </c>
      <c r="P80" t="s">
        <v>1322</v>
      </c>
      <c r="Q80" t="s">
        <v>1060</v>
      </c>
      <c r="R80" t="s">
        <v>1169</v>
      </c>
      <c r="S80" t="s">
        <v>1059</v>
      </c>
      <c r="T80" t="s">
        <v>1035</v>
      </c>
      <c r="U80" s="119"/>
      <c r="V80" t="b">
        <v>1</v>
      </c>
      <c r="X80" t="b">
        <v>1</v>
      </c>
      <c r="Y80" t="b">
        <v>0</v>
      </c>
      <c r="Z80" t="b">
        <f>FALSE</f>
        <v>0</v>
      </c>
    </row>
    <row r="81" spans="1:26" x14ac:dyDescent="0.25">
      <c r="A81" s="43">
        <f>IF(COUNTIF(LEDGER[LedgerCode],FC_import[[#This Row],[LedgerCode]])&gt;0,0,1)</f>
        <v>1</v>
      </c>
      <c r="B81" s="48">
        <f>IF(COUNTIF(Table_System_Grouping_Codes[groupingCodeCode],FC_import[[#This Row],[GroupingCode]])&gt;0,0,1)</f>
        <v>0</v>
      </c>
      <c r="C81" s="43">
        <f>IF(COUNTIF(CUSTGROUP[CustomGroupingCode],FC_import[[#This Row],[CustomGrouping]])&gt;0,0,1)</f>
        <v>0</v>
      </c>
      <c r="D81" s="43" cm="1">
        <f t="array" ref="D81">IF(FC_import[[#This Row],[AvailableToAllSchools]]=TRUE,0,COUNTA(_xlfn.TEXTSPLIT(FC_import[[#This Row],[SchoolCodes]],",",,TRUE))-SUM(COUNTIF(SCHOOLS[SchoolCode],_xlfn.TEXTSPLIT(FC_import[[#This Row],[SchoolCodes]],",",,TRUE))))</f>
        <v>0</v>
      </c>
      <c r="E81" s="43">
        <f>IF(FC_import[[#This Row],[FinanceCodeTypeCode]]="BUDGET",0,COUNTIF(P:P,P81)-1)</f>
        <v>0</v>
      </c>
      <c r="F81" s="43">
        <f>IF(FC_import[[#This Row],[FinanceCodeTypeCode]]="BUDGET",0,COUNTIF(Q:Q,Q81)-1)</f>
        <v>0</v>
      </c>
      <c r="G81" s="43">
        <f>COUNTIF(Lookup!$A$2:$A$7,R81)-1</f>
        <v>0</v>
      </c>
      <c r="H81" s="43">
        <f>IF(OR(FC_import[[#This Row],[FinanceCodeEnabled]]=TRUE,FC_import[[#This Row],[FinanceCodeEnabled]]=FALSE),0,1)</f>
        <v>0</v>
      </c>
      <c r="I81" s="43">
        <f>IF(LEN(FC_import[[#This Row],[FinanceCode]])&lt;100,0,1)</f>
        <v>0</v>
      </c>
      <c r="J81" s="43">
        <f>IF(TRIM(FC_import[[#This Row],[Title]])="",1,0)</f>
        <v>0</v>
      </c>
      <c r="K81" s="43">
        <f>IF(TRIM(FC_import[[#This Row],[FinanceCode]])="",1,0)</f>
        <v>0</v>
      </c>
      <c r="L81" s="43">
        <f>IF(LEN(FC_import[[#This Row],[Title]])&lt;100,0,1)</f>
        <v>0</v>
      </c>
      <c r="M81" s="43">
        <f>IF(ISBLANK(FC_import[[#This Row],[BalanceToScenario]]),1,0)</f>
        <v>0</v>
      </c>
      <c r="N81" s="43">
        <f>IF(SUBSTITUTE(TEXT(FC_import[[#This Row],[FinanceCode]],10)," ","")=TEXT(FC_import[[#This Row],[FinanceCode]],10),0,1)</f>
        <v>0</v>
      </c>
      <c r="O81" s="43">
        <f t="shared" si="2"/>
        <v>1</v>
      </c>
      <c r="P81" t="s">
        <v>1323</v>
      </c>
      <c r="Q81" t="s">
        <v>1324</v>
      </c>
      <c r="R81" t="s">
        <v>1169</v>
      </c>
      <c r="S81" t="s">
        <v>1061</v>
      </c>
      <c r="T81" t="s">
        <v>1035</v>
      </c>
      <c r="U81" s="119"/>
      <c r="V81" t="b">
        <v>1</v>
      </c>
      <c r="X81" t="b">
        <v>1</v>
      </c>
      <c r="Y81" t="b">
        <v>0</v>
      </c>
      <c r="Z81" t="b">
        <f>FALSE</f>
        <v>0</v>
      </c>
    </row>
    <row r="82" spans="1:26" x14ac:dyDescent="0.25">
      <c r="A82" s="43">
        <f>IF(COUNTIF(LEDGER[LedgerCode],FC_import[[#This Row],[LedgerCode]])&gt;0,0,1)</f>
        <v>1</v>
      </c>
      <c r="B82" s="48">
        <f>IF(COUNTIF(Table_System_Grouping_Codes[groupingCodeCode],FC_import[[#This Row],[GroupingCode]])&gt;0,0,1)</f>
        <v>0</v>
      </c>
      <c r="C82" s="43">
        <f>IF(COUNTIF(CUSTGROUP[CustomGroupingCode],FC_import[[#This Row],[CustomGrouping]])&gt;0,0,1)</f>
        <v>0</v>
      </c>
      <c r="D82" s="43" cm="1">
        <f t="array" ref="D82">IF(FC_import[[#This Row],[AvailableToAllSchools]]=TRUE,0,COUNTA(_xlfn.TEXTSPLIT(FC_import[[#This Row],[SchoolCodes]],",",,TRUE))-SUM(COUNTIF(SCHOOLS[SchoolCode],_xlfn.TEXTSPLIT(FC_import[[#This Row],[SchoolCodes]],",",,TRUE))))</f>
        <v>0</v>
      </c>
      <c r="E82" s="43">
        <f>IF(FC_import[[#This Row],[FinanceCodeTypeCode]]="BUDGET",0,COUNTIF(P:P,P82)-1)</f>
        <v>0</v>
      </c>
      <c r="F82" s="43">
        <f>IF(FC_import[[#This Row],[FinanceCodeTypeCode]]="BUDGET",0,COUNTIF(Q:Q,Q82)-1)</f>
        <v>0</v>
      </c>
      <c r="G82" s="43">
        <f>COUNTIF(Lookup!$A$2:$A$7,R82)-1</f>
        <v>0</v>
      </c>
      <c r="H82" s="43">
        <f>IF(OR(FC_import[[#This Row],[FinanceCodeEnabled]]=TRUE,FC_import[[#This Row],[FinanceCodeEnabled]]=FALSE),0,1)</f>
        <v>0</v>
      </c>
      <c r="I82" s="43">
        <f>IF(LEN(FC_import[[#This Row],[FinanceCode]])&lt;100,0,1)</f>
        <v>0</v>
      </c>
      <c r="J82" s="43">
        <f>IF(TRIM(FC_import[[#This Row],[Title]])="",1,0)</f>
        <v>0</v>
      </c>
      <c r="K82" s="43">
        <f>IF(TRIM(FC_import[[#This Row],[FinanceCode]])="",1,0)</f>
        <v>0</v>
      </c>
      <c r="L82" s="43">
        <f>IF(LEN(FC_import[[#This Row],[Title]])&lt;100,0,1)</f>
        <v>0</v>
      </c>
      <c r="M82" s="43">
        <f>IF(ISBLANK(FC_import[[#This Row],[BalanceToScenario]]),1,0)</f>
        <v>0</v>
      </c>
      <c r="N82" s="43">
        <f>IF(SUBSTITUTE(TEXT(FC_import[[#This Row],[FinanceCode]],10)," ","")=TEXT(FC_import[[#This Row],[FinanceCode]],10),0,1)</f>
        <v>0</v>
      </c>
      <c r="O82" s="43">
        <f t="shared" si="2"/>
        <v>1</v>
      </c>
      <c r="P82" t="s">
        <v>1325</v>
      </c>
      <c r="Q82" t="s">
        <v>1326</v>
      </c>
      <c r="R82" t="s">
        <v>1169</v>
      </c>
      <c r="S82" t="s">
        <v>1043</v>
      </c>
      <c r="T82" t="s">
        <v>1035</v>
      </c>
      <c r="U82" s="119"/>
      <c r="V82" t="b">
        <v>1</v>
      </c>
      <c r="X82" t="b">
        <v>1</v>
      </c>
      <c r="Y82" t="b">
        <v>0</v>
      </c>
      <c r="Z82" t="b">
        <f>FALSE</f>
        <v>0</v>
      </c>
    </row>
    <row r="83" spans="1:26" x14ac:dyDescent="0.25">
      <c r="A83" s="43">
        <f>IF(COUNTIF(LEDGER[LedgerCode],FC_import[[#This Row],[LedgerCode]])&gt;0,0,1)</f>
        <v>1</v>
      </c>
      <c r="B83" s="48">
        <f>IF(COUNTIF(Table_System_Grouping_Codes[groupingCodeCode],FC_import[[#This Row],[GroupingCode]])&gt;0,0,1)</f>
        <v>0</v>
      </c>
      <c r="C83" s="43">
        <f>IF(COUNTIF(CUSTGROUP[CustomGroupingCode],FC_import[[#This Row],[CustomGrouping]])&gt;0,0,1)</f>
        <v>0</v>
      </c>
      <c r="D83" s="43" cm="1">
        <f t="array" ref="D83">IF(FC_import[[#This Row],[AvailableToAllSchools]]=TRUE,0,COUNTA(_xlfn.TEXTSPLIT(FC_import[[#This Row],[SchoolCodes]],",",,TRUE))-SUM(COUNTIF(SCHOOLS[SchoolCode],_xlfn.TEXTSPLIT(FC_import[[#This Row],[SchoolCodes]],",",,TRUE))))</f>
        <v>0</v>
      </c>
      <c r="E83" s="43">
        <f>IF(FC_import[[#This Row],[FinanceCodeTypeCode]]="BUDGET",0,COUNTIF(P:P,P83)-1)</f>
        <v>0</v>
      </c>
      <c r="F83" s="43">
        <f>IF(FC_import[[#This Row],[FinanceCodeTypeCode]]="BUDGET",0,COUNTIF(Q:Q,Q83)-1)</f>
        <v>0</v>
      </c>
      <c r="G83" s="43">
        <f>COUNTIF(Lookup!$A$2:$A$7,R83)-1</f>
        <v>0</v>
      </c>
      <c r="H83" s="43">
        <f>IF(OR(FC_import[[#This Row],[FinanceCodeEnabled]]=TRUE,FC_import[[#This Row],[FinanceCodeEnabled]]=FALSE),0,1)</f>
        <v>0</v>
      </c>
      <c r="I83" s="43">
        <f>IF(LEN(FC_import[[#This Row],[FinanceCode]])&lt;100,0,1)</f>
        <v>0</v>
      </c>
      <c r="J83" s="43">
        <f>IF(TRIM(FC_import[[#This Row],[Title]])="",1,0)</f>
        <v>0</v>
      </c>
      <c r="K83" s="43">
        <f>IF(TRIM(FC_import[[#This Row],[FinanceCode]])="",1,0)</f>
        <v>0</v>
      </c>
      <c r="L83" s="43">
        <f>IF(LEN(FC_import[[#This Row],[Title]])&lt;100,0,1)</f>
        <v>0</v>
      </c>
      <c r="M83" s="43">
        <f>IF(ISBLANK(FC_import[[#This Row],[BalanceToScenario]]),1,0)</f>
        <v>0</v>
      </c>
      <c r="N83" s="43">
        <f>IF(SUBSTITUTE(TEXT(FC_import[[#This Row],[FinanceCode]],10)," ","")=TEXT(FC_import[[#This Row],[FinanceCode]],10),0,1)</f>
        <v>0</v>
      </c>
      <c r="O83" s="43">
        <f t="shared" si="2"/>
        <v>1</v>
      </c>
      <c r="P83" t="s">
        <v>1327</v>
      </c>
      <c r="Q83" t="s">
        <v>1328</v>
      </c>
      <c r="R83" t="s">
        <v>1169</v>
      </c>
      <c r="S83" t="s">
        <v>1043</v>
      </c>
      <c r="T83" t="s">
        <v>1035</v>
      </c>
      <c r="U83" s="119"/>
      <c r="V83" t="b">
        <v>1</v>
      </c>
      <c r="X83" t="b">
        <v>1</v>
      </c>
      <c r="Y83" t="b">
        <v>0</v>
      </c>
      <c r="Z83" t="b">
        <f>FALSE</f>
        <v>0</v>
      </c>
    </row>
    <row r="84" spans="1:26" x14ac:dyDescent="0.25">
      <c r="A84" s="43">
        <f>IF(COUNTIF(LEDGER[LedgerCode],FC_import[[#This Row],[LedgerCode]])&gt;0,0,1)</f>
        <v>1</v>
      </c>
      <c r="B84" s="48">
        <f>IF(COUNTIF(Table_System_Grouping_Codes[groupingCodeCode],FC_import[[#This Row],[GroupingCode]])&gt;0,0,1)</f>
        <v>0</v>
      </c>
      <c r="C84" s="43">
        <f>IF(COUNTIF(CUSTGROUP[CustomGroupingCode],FC_import[[#This Row],[CustomGrouping]])&gt;0,0,1)</f>
        <v>0</v>
      </c>
      <c r="D84" s="43" cm="1">
        <f t="array" ref="D84">IF(FC_import[[#This Row],[AvailableToAllSchools]]=TRUE,0,COUNTA(_xlfn.TEXTSPLIT(FC_import[[#This Row],[SchoolCodes]],",",,TRUE))-SUM(COUNTIF(SCHOOLS[SchoolCode],_xlfn.TEXTSPLIT(FC_import[[#This Row],[SchoolCodes]],",",,TRUE))))</f>
        <v>0</v>
      </c>
      <c r="E84" s="43">
        <f>IF(FC_import[[#This Row],[FinanceCodeTypeCode]]="BUDGET",0,COUNTIF(P:P,P84)-1)</f>
        <v>0</v>
      </c>
      <c r="F84" s="43">
        <f>IF(FC_import[[#This Row],[FinanceCodeTypeCode]]="BUDGET",0,COUNTIF(Q:Q,Q84)-1)</f>
        <v>0</v>
      </c>
      <c r="G84" s="43">
        <f>COUNTIF(Lookup!$A$2:$A$7,R84)-1</f>
        <v>0</v>
      </c>
      <c r="H84" s="43">
        <f>IF(OR(FC_import[[#This Row],[FinanceCodeEnabled]]=TRUE,FC_import[[#This Row],[FinanceCodeEnabled]]=FALSE),0,1)</f>
        <v>0</v>
      </c>
      <c r="I84" s="43">
        <f>IF(LEN(FC_import[[#This Row],[FinanceCode]])&lt;100,0,1)</f>
        <v>0</v>
      </c>
      <c r="J84" s="43">
        <f>IF(TRIM(FC_import[[#This Row],[Title]])="",1,0)</f>
        <v>0</v>
      </c>
      <c r="K84" s="43">
        <f>IF(TRIM(FC_import[[#This Row],[FinanceCode]])="",1,0)</f>
        <v>0</v>
      </c>
      <c r="L84" s="43">
        <f>IF(LEN(FC_import[[#This Row],[Title]])&lt;100,0,1)</f>
        <v>0</v>
      </c>
      <c r="M84" s="43">
        <f>IF(ISBLANK(FC_import[[#This Row],[BalanceToScenario]]),1,0)</f>
        <v>0</v>
      </c>
      <c r="N84" s="43">
        <f>IF(SUBSTITUTE(TEXT(FC_import[[#This Row],[FinanceCode]],10)," ","")=TEXT(FC_import[[#This Row],[FinanceCode]],10),0,1)</f>
        <v>0</v>
      </c>
      <c r="O84" s="43">
        <f t="shared" si="2"/>
        <v>1</v>
      </c>
      <c r="P84" t="s">
        <v>1329</v>
      </c>
      <c r="Q84" t="s">
        <v>1330</v>
      </c>
      <c r="R84" t="s">
        <v>1169</v>
      </c>
      <c r="S84" t="s">
        <v>1041</v>
      </c>
      <c r="T84" t="s">
        <v>1035</v>
      </c>
      <c r="U84" s="119"/>
      <c r="V84" t="b">
        <v>1</v>
      </c>
      <c r="X84" t="b">
        <v>1</v>
      </c>
      <c r="Y84" t="b">
        <v>0</v>
      </c>
      <c r="Z84" t="b">
        <f>FALSE</f>
        <v>0</v>
      </c>
    </row>
    <row r="85" spans="1:26" x14ac:dyDescent="0.25">
      <c r="A85" s="43">
        <f>IF(COUNTIF(LEDGER[LedgerCode],FC_import[[#This Row],[LedgerCode]])&gt;0,0,1)</f>
        <v>1</v>
      </c>
      <c r="B85" s="48">
        <f>IF(COUNTIF(Table_System_Grouping_Codes[groupingCodeCode],FC_import[[#This Row],[GroupingCode]])&gt;0,0,1)</f>
        <v>0</v>
      </c>
      <c r="C85" s="43">
        <f>IF(COUNTIF(CUSTGROUP[CustomGroupingCode],FC_import[[#This Row],[CustomGrouping]])&gt;0,0,1)</f>
        <v>0</v>
      </c>
      <c r="D85" s="43" cm="1">
        <f t="array" ref="D85">IF(FC_import[[#This Row],[AvailableToAllSchools]]=TRUE,0,COUNTA(_xlfn.TEXTSPLIT(FC_import[[#This Row],[SchoolCodes]],",",,TRUE))-SUM(COUNTIF(SCHOOLS[SchoolCode],_xlfn.TEXTSPLIT(FC_import[[#This Row],[SchoolCodes]],",",,TRUE))))</f>
        <v>0</v>
      </c>
      <c r="E85" s="43">
        <f>IF(FC_import[[#This Row],[FinanceCodeTypeCode]]="BUDGET",0,COUNTIF(P:P,P85)-1)</f>
        <v>0</v>
      </c>
      <c r="F85" s="43">
        <f>IF(FC_import[[#This Row],[FinanceCodeTypeCode]]="BUDGET",0,COUNTIF(Q:Q,Q85)-1)</f>
        <v>0</v>
      </c>
      <c r="G85" s="43">
        <f>COUNTIF(Lookup!$A$2:$A$7,R85)-1</f>
        <v>0</v>
      </c>
      <c r="H85" s="43">
        <f>IF(OR(FC_import[[#This Row],[FinanceCodeEnabled]]=TRUE,FC_import[[#This Row],[FinanceCodeEnabled]]=FALSE),0,1)</f>
        <v>0</v>
      </c>
      <c r="I85" s="43">
        <f>IF(LEN(FC_import[[#This Row],[FinanceCode]])&lt;100,0,1)</f>
        <v>0</v>
      </c>
      <c r="J85" s="43">
        <f>IF(TRIM(FC_import[[#This Row],[Title]])="",1,0)</f>
        <v>0</v>
      </c>
      <c r="K85" s="43">
        <f>IF(TRIM(FC_import[[#This Row],[FinanceCode]])="",1,0)</f>
        <v>0</v>
      </c>
      <c r="L85" s="43">
        <f>IF(LEN(FC_import[[#This Row],[Title]])&lt;100,0,1)</f>
        <v>0</v>
      </c>
      <c r="M85" s="43">
        <f>IF(ISBLANK(FC_import[[#This Row],[BalanceToScenario]]),1,0)</f>
        <v>0</v>
      </c>
      <c r="N85" s="43">
        <f>IF(SUBSTITUTE(TEXT(FC_import[[#This Row],[FinanceCode]],10)," ","")=TEXT(FC_import[[#This Row],[FinanceCode]],10),0,1)</f>
        <v>0</v>
      </c>
      <c r="O85" s="43">
        <f t="shared" si="2"/>
        <v>1</v>
      </c>
      <c r="P85" t="s">
        <v>1331</v>
      </c>
      <c r="Q85" t="s">
        <v>1332</v>
      </c>
      <c r="R85" t="s">
        <v>1169</v>
      </c>
      <c r="S85" t="s">
        <v>1043</v>
      </c>
      <c r="T85" t="s">
        <v>1035</v>
      </c>
      <c r="U85" s="119"/>
      <c r="V85" t="b">
        <v>1</v>
      </c>
      <c r="X85" t="b">
        <v>1</v>
      </c>
      <c r="Y85" t="b">
        <v>0</v>
      </c>
      <c r="Z85" t="b">
        <f>FALSE</f>
        <v>0</v>
      </c>
    </row>
    <row r="86" spans="1:26" x14ac:dyDescent="0.25">
      <c r="A86" s="43">
        <f>IF(COUNTIF(LEDGER[LedgerCode],FC_import[[#This Row],[LedgerCode]])&gt;0,0,1)</f>
        <v>1</v>
      </c>
      <c r="B86" s="48">
        <f>IF(COUNTIF(Table_System_Grouping_Codes[groupingCodeCode],FC_import[[#This Row],[GroupingCode]])&gt;0,0,1)</f>
        <v>0</v>
      </c>
      <c r="C86" s="43">
        <f>IF(COUNTIF(CUSTGROUP[CustomGroupingCode],FC_import[[#This Row],[CustomGrouping]])&gt;0,0,1)</f>
        <v>0</v>
      </c>
      <c r="D86" s="43" cm="1">
        <f t="array" ref="D86">IF(FC_import[[#This Row],[AvailableToAllSchools]]=TRUE,0,COUNTA(_xlfn.TEXTSPLIT(FC_import[[#This Row],[SchoolCodes]],",",,TRUE))-SUM(COUNTIF(SCHOOLS[SchoolCode],_xlfn.TEXTSPLIT(FC_import[[#This Row],[SchoolCodes]],",",,TRUE))))</f>
        <v>0</v>
      </c>
      <c r="E86" s="43">
        <f>IF(FC_import[[#This Row],[FinanceCodeTypeCode]]="BUDGET",0,COUNTIF(P:P,P86)-1)</f>
        <v>0</v>
      </c>
      <c r="F86" s="43">
        <f>IF(FC_import[[#This Row],[FinanceCodeTypeCode]]="BUDGET",0,COUNTIF(Q:Q,Q86)-1)</f>
        <v>0</v>
      </c>
      <c r="G86" s="43">
        <f>COUNTIF(Lookup!$A$2:$A$7,R86)-1</f>
        <v>0</v>
      </c>
      <c r="H86" s="43">
        <f>IF(OR(FC_import[[#This Row],[FinanceCodeEnabled]]=TRUE,FC_import[[#This Row],[FinanceCodeEnabled]]=FALSE),0,1)</f>
        <v>0</v>
      </c>
      <c r="I86" s="43">
        <f>IF(LEN(FC_import[[#This Row],[FinanceCode]])&lt;100,0,1)</f>
        <v>0</v>
      </c>
      <c r="J86" s="43">
        <f>IF(TRIM(FC_import[[#This Row],[Title]])="",1,0)</f>
        <v>0</v>
      </c>
      <c r="K86" s="43">
        <f>IF(TRIM(FC_import[[#This Row],[FinanceCode]])="",1,0)</f>
        <v>0</v>
      </c>
      <c r="L86" s="43">
        <f>IF(LEN(FC_import[[#This Row],[Title]])&lt;100,0,1)</f>
        <v>0</v>
      </c>
      <c r="M86" s="43">
        <f>IF(ISBLANK(FC_import[[#This Row],[BalanceToScenario]]),1,0)</f>
        <v>0</v>
      </c>
      <c r="N86" s="43">
        <f>IF(SUBSTITUTE(TEXT(FC_import[[#This Row],[FinanceCode]],10)," ","")=TEXT(FC_import[[#This Row],[FinanceCode]],10),0,1)</f>
        <v>0</v>
      </c>
      <c r="O86" s="43">
        <f t="shared" si="2"/>
        <v>1</v>
      </c>
      <c r="P86" t="s">
        <v>1333</v>
      </c>
      <c r="Q86" t="s">
        <v>1334</v>
      </c>
      <c r="R86" t="s">
        <v>1169</v>
      </c>
      <c r="S86" t="s">
        <v>1043</v>
      </c>
      <c r="T86" t="s">
        <v>1035</v>
      </c>
      <c r="U86" s="119"/>
      <c r="V86" t="b">
        <v>1</v>
      </c>
      <c r="X86" t="b">
        <v>1</v>
      </c>
      <c r="Y86" t="b">
        <v>0</v>
      </c>
      <c r="Z86" t="b">
        <f>FALSE</f>
        <v>0</v>
      </c>
    </row>
    <row r="87" spans="1:26" x14ac:dyDescent="0.25">
      <c r="A87" s="43">
        <f>IF(COUNTIF(LEDGER[LedgerCode],FC_import[[#This Row],[LedgerCode]])&gt;0,0,1)</f>
        <v>1</v>
      </c>
      <c r="B87" s="48">
        <f>IF(COUNTIF(Table_System_Grouping_Codes[groupingCodeCode],FC_import[[#This Row],[GroupingCode]])&gt;0,0,1)</f>
        <v>0</v>
      </c>
      <c r="C87" s="43">
        <f>IF(COUNTIF(CUSTGROUP[CustomGroupingCode],FC_import[[#This Row],[CustomGrouping]])&gt;0,0,1)</f>
        <v>0</v>
      </c>
      <c r="D87" s="43" cm="1">
        <f t="array" ref="D87">IF(FC_import[[#This Row],[AvailableToAllSchools]]=TRUE,0,COUNTA(_xlfn.TEXTSPLIT(FC_import[[#This Row],[SchoolCodes]],",",,TRUE))-SUM(COUNTIF(SCHOOLS[SchoolCode],_xlfn.TEXTSPLIT(FC_import[[#This Row],[SchoolCodes]],",",,TRUE))))</f>
        <v>0</v>
      </c>
      <c r="E87" s="43">
        <f>IF(FC_import[[#This Row],[FinanceCodeTypeCode]]="BUDGET",0,COUNTIF(P:P,P87)-1)</f>
        <v>0</v>
      </c>
      <c r="F87" s="43">
        <f>IF(FC_import[[#This Row],[FinanceCodeTypeCode]]="BUDGET",0,COUNTIF(Q:Q,Q87)-1)</f>
        <v>0</v>
      </c>
      <c r="G87" s="43">
        <f>COUNTIF(Lookup!$A$2:$A$7,R87)-1</f>
        <v>0</v>
      </c>
      <c r="H87" s="43">
        <f>IF(OR(FC_import[[#This Row],[FinanceCodeEnabled]]=TRUE,FC_import[[#This Row],[FinanceCodeEnabled]]=FALSE),0,1)</f>
        <v>0</v>
      </c>
      <c r="I87" s="43">
        <f>IF(LEN(FC_import[[#This Row],[FinanceCode]])&lt;100,0,1)</f>
        <v>0</v>
      </c>
      <c r="J87" s="43">
        <f>IF(TRIM(FC_import[[#This Row],[Title]])="",1,0)</f>
        <v>0</v>
      </c>
      <c r="K87" s="43">
        <f>IF(TRIM(FC_import[[#This Row],[FinanceCode]])="",1,0)</f>
        <v>0</v>
      </c>
      <c r="L87" s="43">
        <f>IF(LEN(FC_import[[#This Row],[Title]])&lt;100,0,1)</f>
        <v>0</v>
      </c>
      <c r="M87" s="43">
        <f>IF(ISBLANK(FC_import[[#This Row],[BalanceToScenario]]),1,0)</f>
        <v>0</v>
      </c>
      <c r="N87" s="43">
        <f>IF(SUBSTITUTE(TEXT(FC_import[[#This Row],[FinanceCode]],10)," ","")=TEXT(FC_import[[#This Row],[FinanceCode]],10),0,1)</f>
        <v>0</v>
      </c>
      <c r="O87" s="43">
        <f t="shared" si="2"/>
        <v>1</v>
      </c>
      <c r="P87" t="s">
        <v>1335</v>
      </c>
      <c r="Q87" t="s">
        <v>1336</v>
      </c>
      <c r="R87" t="s">
        <v>1169</v>
      </c>
      <c r="S87" t="s">
        <v>1043</v>
      </c>
      <c r="T87" t="s">
        <v>1035</v>
      </c>
      <c r="U87" s="119"/>
      <c r="V87" t="b">
        <v>1</v>
      </c>
      <c r="X87" t="b">
        <v>1</v>
      </c>
      <c r="Y87" t="b">
        <v>0</v>
      </c>
      <c r="Z87" t="b">
        <f>FALSE</f>
        <v>0</v>
      </c>
    </row>
    <row r="88" spans="1:26" x14ac:dyDescent="0.25">
      <c r="A88" s="43">
        <f>IF(COUNTIF(LEDGER[LedgerCode],FC_import[[#This Row],[LedgerCode]])&gt;0,0,1)</f>
        <v>1</v>
      </c>
      <c r="B88" s="48">
        <f>IF(COUNTIF(Table_System_Grouping_Codes[groupingCodeCode],FC_import[[#This Row],[GroupingCode]])&gt;0,0,1)</f>
        <v>0</v>
      </c>
      <c r="C88" s="43">
        <f>IF(COUNTIF(CUSTGROUP[CustomGroupingCode],FC_import[[#This Row],[CustomGrouping]])&gt;0,0,1)</f>
        <v>0</v>
      </c>
      <c r="D88" s="43" cm="1">
        <f t="array" ref="D88">IF(FC_import[[#This Row],[AvailableToAllSchools]]=TRUE,0,COUNTA(_xlfn.TEXTSPLIT(FC_import[[#This Row],[SchoolCodes]],",",,TRUE))-SUM(COUNTIF(SCHOOLS[SchoolCode],_xlfn.TEXTSPLIT(FC_import[[#This Row],[SchoolCodes]],",",,TRUE))))</f>
        <v>0</v>
      </c>
      <c r="E88" s="43">
        <f>IF(FC_import[[#This Row],[FinanceCodeTypeCode]]="BUDGET",0,COUNTIF(P:P,P88)-1)</f>
        <v>0</v>
      </c>
      <c r="F88" s="43">
        <f>IF(FC_import[[#This Row],[FinanceCodeTypeCode]]="BUDGET",0,COUNTIF(Q:Q,Q88)-1)</f>
        <v>0</v>
      </c>
      <c r="G88" s="43">
        <f>COUNTIF(Lookup!$A$2:$A$7,R88)-1</f>
        <v>0</v>
      </c>
      <c r="H88" s="43">
        <f>IF(OR(FC_import[[#This Row],[FinanceCodeEnabled]]=TRUE,FC_import[[#This Row],[FinanceCodeEnabled]]=FALSE),0,1)</f>
        <v>0</v>
      </c>
      <c r="I88" s="43">
        <f>IF(LEN(FC_import[[#This Row],[FinanceCode]])&lt;100,0,1)</f>
        <v>0</v>
      </c>
      <c r="J88" s="43">
        <f>IF(TRIM(FC_import[[#This Row],[Title]])="",1,0)</f>
        <v>0</v>
      </c>
      <c r="K88" s="43">
        <f>IF(TRIM(FC_import[[#This Row],[FinanceCode]])="",1,0)</f>
        <v>0</v>
      </c>
      <c r="L88" s="43">
        <f>IF(LEN(FC_import[[#This Row],[Title]])&lt;100,0,1)</f>
        <v>0</v>
      </c>
      <c r="M88" s="43">
        <f>IF(ISBLANK(FC_import[[#This Row],[BalanceToScenario]]),1,0)</f>
        <v>0</v>
      </c>
      <c r="N88" s="43">
        <f>IF(SUBSTITUTE(TEXT(FC_import[[#This Row],[FinanceCode]],10)," ","")=TEXT(FC_import[[#This Row],[FinanceCode]],10),0,1)</f>
        <v>0</v>
      </c>
      <c r="O88" s="43">
        <f t="shared" si="2"/>
        <v>1</v>
      </c>
      <c r="P88" t="s">
        <v>1337</v>
      </c>
      <c r="Q88" t="s">
        <v>1338</v>
      </c>
      <c r="R88" t="s">
        <v>1169</v>
      </c>
      <c r="S88" t="s">
        <v>1043</v>
      </c>
      <c r="T88" t="s">
        <v>1035</v>
      </c>
      <c r="U88" s="119"/>
      <c r="V88" t="b">
        <v>1</v>
      </c>
      <c r="X88" t="b">
        <v>1</v>
      </c>
      <c r="Y88" t="b">
        <v>0</v>
      </c>
      <c r="Z88" t="b">
        <f>FALSE</f>
        <v>0</v>
      </c>
    </row>
    <row r="89" spans="1:26" x14ac:dyDescent="0.25">
      <c r="A89" s="43">
        <f>IF(COUNTIF(LEDGER[LedgerCode],FC_import[[#This Row],[LedgerCode]])&gt;0,0,1)</f>
        <v>1</v>
      </c>
      <c r="B89" s="48">
        <f>IF(COUNTIF(Table_System_Grouping_Codes[groupingCodeCode],FC_import[[#This Row],[GroupingCode]])&gt;0,0,1)</f>
        <v>0</v>
      </c>
      <c r="C89" s="43">
        <f>IF(COUNTIF(CUSTGROUP[CustomGroupingCode],FC_import[[#This Row],[CustomGrouping]])&gt;0,0,1)</f>
        <v>0</v>
      </c>
      <c r="D89" s="43" cm="1">
        <f t="array" ref="D89">IF(FC_import[[#This Row],[AvailableToAllSchools]]=TRUE,0,COUNTA(_xlfn.TEXTSPLIT(FC_import[[#This Row],[SchoolCodes]],",",,TRUE))-SUM(COUNTIF(SCHOOLS[SchoolCode],_xlfn.TEXTSPLIT(FC_import[[#This Row],[SchoolCodes]],",",,TRUE))))</f>
        <v>0</v>
      </c>
      <c r="E89" s="43">
        <f>IF(FC_import[[#This Row],[FinanceCodeTypeCode]]="BUDGET",0,COUNTIF(P:P,P89)-1)</f>
        <v>0</v>
      </c>
      <c r="F89" s="43">
        <f>IF(FC_import[[#This Row],[FinanceCodeTypeCode]]="BUDGET",0,COUNTIF(Q:Q,Q89)-1)</f>
        <v>0</v>
      </c>
      <c r="G89" s="43">
        <f>COUNTIF(Lookup!$A$2:$A$7,R89)-1</f>
        <v>0</v>
      </c>
      <c r="H89" s="43">
        <f>IF(OR(FC_import[[#This Row],[FinanceCodeEnabled]]=TRUE,FC_import[[#This Row],[FinanceCodeEnabled]]=FALSE),0,1)</f>
        <v>0</v>
      </c>
      <c r="I89" s="43">
        <f>IF(LEN(FC_import[[#This Row],[FinanceCode]])&lt;100,0,1)</f>
        <v>0</v>
      </c>
      <c r="J89" s="43">
        <f>IF(TRIM(FC_import[[#This Row],[Title]])="",1,0)</f>
        <v>0</v>
      </c>
      <c r="K89" s="43">
        <f>IF(TRIM(FC_import[[#This Row],[FinanceCode]])="",1,0)</f>
        <v>0</v>
      </c>
      <c r="L89" s="43">
        <f>IF(LEN(FC_import[[#This Row],[Title]])&lt;100,0,1)</f>
        <v>0</v>
      </c>
      <c r="M89" s="43">
        <f>IF(ISBLANK(FC_import[[#This Row],[BalanceToScenario]]),1,0)</f>
        <v>0</v>
      </c>
      <c r="N89" s="43">
        <f>IF(SUBSTITUTE(TEXT(FC_import[[#This Row],[FinanceCode]],10)," ","")=TEXT(FC_import[[#This Row],[FinanceCode]],10),0,1)</f>
        <v>0</v>
      </c>
      <c r="O89" s="43">
        <f t="shared" si="2"/>
        <v>1</v>
      </c>
      <c r="P89" t="s">
        <v>1339</v>
      </c>
      <c r="Q89" t="s">
        <v>1340</v>
      </c>
      <c r="R89" t="s">
        <v>1169</v>
      </c>
      <c r="S89" t="s">
        <v>1043</v>
      </c>
      <c r="T89" t="s">
        <v>1035</v>
      </c>
      <c r="U89" s="119"/>
      <c r="V89" t="b">
        <v>1</v>
      </c>
      <c r="X89" t="b">
        <v>1</v>
      </c>
      <c r="Y89" t="b">
        <v>0</v>
      </c>
      <c r="Z89" t="b">
        <f>FALSE</f>
        <v>0</v>
      </c>
    </row>
    <row r="90" spans="1:26" x14ac:dyDescent="0.25">
      <c r="A90" s="43">
        <f>IF(COUNTIF(LEDGER[LedgerCode],FC_import[[#This Row],[LedgerCode]])&gt;0,0,1)</f>
        <v>1</v>
      </c>
      <c r="B90" s="48">
        <f>IF(COUNTIF(Table_System_Grouping_Codes[groupingCodeCode],FC_import[[#This Row],[GroupingCode]])&gt;0,0,1)</f>
        <v>0</v>
      </c>
      <c r="C90" s="43">
        <f>IF(COUNTIF(CUSTGROUP[CustomGroupingCode],FC_import[[#This Row],[CustomGrouping]])&gt;0,0,1)</f>
        <v>0</v>
      </c>
      <c r="D90" s="43" cm="1">
        <f t="array" ref="D90">IF(FC_import[[#This Row],[AvailableToAllSchools]]=TRUE,0,COUNTA(_xlfn.TEXTSPLIT(FC_import[[#This Row],[SchoolCodes]],",",,TRUE))-SUM(COUNTIF(SCHOOLS[SchoolCode],_xlfn.TEXTSPLIT(FC_import[[#This Row],[SchoolCodes]],",",,TRUE))))</f>
        <v>0</v>
      </c>
      <c r="E90" s="43">
        <f>IF(FC_import[[#This Row],[FinanceCodeTypeCode]]="BUDGET",0,COUNTIF(P:P,P90)-1)</f>
        <v>0</v>
      </c>
      <c r="F90" s="43">
        <f>IF(FC_import[[#This Row],[FinanceCodeTypeCode]]="BUDGET",0,COUNTIF(Q:Q,Q90)-1)</f>
        <v>0</v>
      </c>
      <c r="G90" s="43">
        <f>COUNTIF(Lookup!$A$2:$A$7,R90)-1</f>
        <v>0</v>
      </c>
      <c r="H90" s="43">
        <f>IF(OR(FC_import[[#This Row],[FinanceCodeEnabled]]=TRUE,FC_import[[#This Row],[FinanceCodeEnabled]]=FALSE),0,1)</f>
        <v>0</v>
      </c>
      <c r="I90" s="43">
        <f>IF(LEN(FC_import[[#This Row],[FinanceCode]])&lt;100,0,1)</f>
        <v>0</v>
      </c>
      <c r="J90" s="43">
        <f>IF(TRIM(FC_import[[#This Row],[Title]])="",1,0)</f>
        <v>0</v>
      </c>
      <c r="K90" s="43">
        <f>IF(TRIM(FC_import[[#This Row],[FinanceCode]])="",1,0)</f>
        <v>0</v>
      </c>
      <c r="L90" s="43">
        <f>IF(LEN(FC_import[[#This Row],[Title]])&lt;100,0,1)</f>
        <v>0</v>
      </c>
      <c r="M90" s="43">
        <f>IF(ISBLANK(FC_import[[#This Row],[BalanceToScenario]]),1,0)</f>
        <v>0</v>
      </c>
      <c r="N90" s="43">
        <f>IF(SUBSTITUTE(TEXT(FC_import[[#This Row],[FinanceCode]],10)," ","")=TEXT(FC_import[[#This Row],[FinanceCode]],10),0,1)</f>
        <v>0</v>
      </c>
      <c r="O90" s="43">
        <f t="shared" si="2"/>
        <v>1</v>
      </c>
      <c r="P90" t="s">
        <v>1341</v>
      </c>
      <c r="Q90" t="s">
        <v>1342</v>
      </c>
      <c r="R90" t="s">
        <v>1169</v>
      </c>
      <c r="S90" t="s">
        <v>1043</v>
      </c>
      <c r="T90" t="s">
        <v>1035</v>
      </c>
      <c r="U90" s="119"/>
      <c r="V90" t="b">
        <v>1</v>
      </c>
      <c r="X90" t="b">
        <v>1</v>
      </c>
      <c r="Y90" t="b">
        <v>0</v>
      </c>
      <c r="Z90" t="b">
        <f>FALSE</f>
        <v>0</v>
      </c>
    </row>
    <row r="91" spans="1:26" x14ac:dyDescent="0.25">
      <c r="A91" s="43">
        <f>IF(COUNTIF(LEDGER[LedgerCode],FC_import[[#This Row],[LedgerCode]])&gt;0,0,1)</f>
        <v>1</v>
      </c>
      <c r="B91" s="48">
        <f>IF(COUNTIF(Table_System_Grouping_Codes[groupingCodeCode],FC_import[[#This Row],[GroupingCode]])&gt;0,0,1)</f>
        <v>0</v>
      </c>
      <c r="C91" s="43">
        <f>IF(COUNTIF(CUSTGROUP[CustomGroupingCode],FC_import[[#This Row],[CustomGrouping]])&gt;0,0,1)</f>
        <v>0</v>
      </c>
      <c r="D91" s="43" cm="1">
        <f t="array" ref="D91">IF(FC_import[[#This Row],[AvailableToAllSchools]]=TRUE,0,COUNTA(_xlfn.TEXTSPLIT(FC_import[[#This Row],[SchoolCodes]],",",,TRUE))-SUM(COUNTIF(SCHOOLS[SchoolCode],_xlfn.TEXTSPLIT(FC_import[[#This Row],[SchoolCodes]],",",,TRUE))))</f>
        <v>0</v>
      </c>
      <c r="E91" s="43">
        <f>IF(FC_import[[#This Row],[FinanceCodeTypeCode]]="BUDGET",0,COUNTIF(P:P,P91)-1)</f>
        <v>0</v>
      </c>
      <c r="F91" s="43">
        <f>IF(FC_import[[#This Row],[FinanceCodeTypeCode]]="BUDGET",0,COUNTIF(Q:Q,Q91)-1)</f>
        <v>0</v>
      </c>
      <c r="G91" s="43">
        <f>COUNTIF(Lookup!$A$2:$A$7,R91)-1</f>
        <v>0</v>
      </c>
      <c r="H91" s="43">
        <f>IF(OR(FC_import[[#This Row],[FinanceCodeEnabled]]=TRUE,FC_import[[#This Row],[FinanceCodeEnabled]]=FALSE),0,1)</f>
        <v>0</v>
      </c>
      <c r="I91" s="43">
        <f>IF(LEN(FC_import[[#This Row],[FinanceCode]])&lt;100,0,1)</f>
        <v>0</v>
      </c>
      <c r="J91" s="43">
        <f>IF(TRIM(FC_import[[#This Row],[Title]])="",1,0)</f>
        <v>0</v>
      </c>
      <c r="K91" s="43">
        <f>IF(TRIM(FC_import[[#This Row],[FinanceCode]])="",1,0)</f>
        <v>0</v>
      </c>
      <c r="L91" s="43">
        <f>IF(LEN(FC_import[[#This Row],[Title]])&lt;100,0,1)</f>
        <v>0</v>
      </c>
      <c r="M91" s="43">
        <f>IF(ISBLANK(FC_import[[#This Row],[BalanceToScenario]]),1,0)</f>
        <v>0</v>
      </c>
      <c r="N91" s="43">
        <f>IF(SUBSTITUTE(TEXT(FC_import[[#This Row],[FinanceCode]],10)," ","")=TEXT(FC_import[[#This Row],[FinanceCode]],10),0,1)</f>
        <v>0</v>
      </c>
      <c r="O91" s="43">
        <f t="shared" si="2"/>
        <v>1</v>
      </c>
      <c r="P91" t="s">
        <v>1343</v>
      </c>
      <c r="Q91" t="s">
        <v>1042</v>
      </c>
      <c r="R91" t="s">
        <v>1169</v>
      </c>
      <c r="S91" t="s">
        <v>1041</v>
      </c>
      <c r="T91" t="s">
        <v>1035</v>
      </c>
      <c r="U91" s="119"/>
      <c r="V91" t="b">
        <v>1</v>
      </c>
      <c r="X91" t="b">
        <v>1</v>
      </c>
      <c r="Y91" t="b">
        <v>0</v>
      </c>
      <c r="Z91" t="b">
        <f>FALSE</f>
        <v>0</v>
      </c>
    </row>
    <row r="92" spans="1:26" x14ac:dyDescent="0.25">
      <c r="A92" s="43">
        <f>IF(COUNTIF(LEDGER[LedgerCode],FC_import[[#This Row],[LedgerCode]])&gt;0,0,1)</f>
        <v>1</v>
      </c>
      <c r="B92" s="48">
        <f>IF(COUNTIF(Table_System_Grouping_Codes[groupingCodeCode],FC_import[[#This Row],[GroupingCode]])&gt;0,0,1)</f>
        <v>0</v>
      </c>
      <c r="C92" s="43">
        <f>IF(COUNTIF(CUSTGROUP[CustomGroupingCode],FC_import[[#This Row],[CustomGrouping]])&gt;0,0,1)</f>
        <v>0</v>
      </c>
      <c r="D92" s="43" cm="1">
        <f t="array" ref="D92">IF(FC_import[[#This Row],[AvailableToAllSchools]]=TRUE,0,COUNTA(_xlfn.TEXTSPLIT(FC_import[[#This Row],[SchoolCodes]],",",,TRUE))-SUM(COUNTIF(SCHOOLS[SchoolCode],_xlfn.TEXTSPLIT(FC_import[[#This Row],[SchoolCodes]],",",,TRUE))))</f>
        <v>0</v>
      </c>
      <c r="E92" s="43">
        <f>IF(FC_import[[#This Row],[FinanceCodeTypeCode]]="BUDGET",0,COUNTIF(P:P,P92)-1)</f>
        <v>0</v>
      </c>
      <c r="F92" s="43">
        <f>IF(FC_import[[#This Row],[FinanceCodeTypeCode]]="BUDGET",0,COUNTIF(Q:Q,Q92)-1)</f>
        <v>0</v>
      </c>
      <c r="G92" s="43">
        <f>COUNTIF(Lookup!$A$2:$A$7,R92)-1</f>
        <v>0</v>
      </c>
      <c r="H92" s="43">
        <f>IF(OR(FC_import[[#This Row],[FinanceCodeEnabled]]=TRUE,FC_import[[#This Row],[FinanceCodeEnabled]]=FALSE),0,1)</f>
        <v>0</v>
      </c>
      <c r="I92" s="43">
        <f>IF(LEN(FC_import[[#This Row],[FinanceCode]])&lt;100,0,1)</f>
        <v>0</v>
      </c>
      <c r="J92" s="43">
        <f>IF(TRIM(FC_import[[#This Row],[Title]])="",1,0)</f>
        <v>0</v>
      </c>
      <c r="K92" s="43">
        <f>IF(TRIM(FC_import[[#This Row],[FinanceCode]])="",1,0)</f>
        <v>0</v>
      </c>
      <c r="L92" s="43">
        <f>IF(LEN(FC_import[[#This Row],[Title]])&lt;100,0,1)</f>
        <v>0</v>
      </c>
      <c r="M92" s="43">
        <f>IF(ISBLANK(FC_import[[#This Row],[BalanceToScenario]]),1,0)</f>
        <v>0</v>
      </c>
      <c r="N92" s="43">
        <f>IF(SUBSTITUTE(TEXT(FC_import[[#This Row],[FinanceCode]],10)," ","")=TEXT(FC_import[[#This Row],[FinanceCode]],10),0,1)</f>
        <v>0</v>
      </c>
      <c r="O92" s="43">
        <f t="shared" si="2"/>
        <v>1</v>
      </c>
      <c r="P92" t="s">
        <v>1344</v>
      </c>
      <c r="Q92" t="s">
        <v>1345</v>
      </c>
      <c r="R92" t="s">
        <v>1169</v>
      </c>
      <c r="S92" t="s">
        <v>1043</v>
      </c>
      <c r="T92" t="s">
        <v>1035</v>
      </c>
      <c r="U92" s="119"/>
      <c r="V92" t="b">
        <v>1</v>
      </c>
      <c r="X92" t="b">
        <v>1</v>
      </c>
      <c r="Y92" t="b">
        <v>0</v>
      </c>
      <c r="Z92" t="b">
        <f>FALSE</f>
        <v>0</v>
      </c>
    </row>
  </sheetData>
  <phoneticPr fontId="2" type="noConversion"/>
  <pageMargins left="0.7" right="0.7" top="0.75" bottom="0.75" header="0.3" footer="0.3"/>
  <pageSetup orientation="portrait" r:id="rId1"/>
  <tableParts count="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8F175-7215-4419-B0FE-08313DD17CE6}">
  <sheetPr>
    <tabColor theme="5" tint="0.79998168889431442"/>
  </sheetPr>
  <dimension ref="A1:X3"/>
  <sheetViews>
    <sheetView topLeftCell="M1" workbookViewId="0">
      <pane ySplit="2" topLeftCell="A3" activePane="bottomLeft" state="frozen"/>
      <selection pane="bottomLeft" activeCell="N10" sqref="N10"/>
    </sheetView>
  </sheetViews>
  <sheetFormatPr defaultRowHeight="15" outlineLevelCol="1" x14ac:dyDescent="0.25"/>
  <cols>
    <col min="1" max="1" width="13.85546875" hidden="1" customWidth="1" outlineLevel="1"/>
    <col min="2" max="2" width="21" hidden="1" customWidth="1" outlineLevel="1"/>
    <col min="3" max="3" width="13.85546875" hidden="1" customWidth="1" outlineLevel="1"/>
    <col min="4" max="4" width="15.5703125" hidden="1" customWidth="1" outlineLevel="1"/>
    <col min="5" max="5" width="11.42578125" hidden="1" customWidth="1" outlineLevel="1"/>
    <col min="6" max="6" width="11" hidden="1" customWidth="1" outlineLevel="1"/>
    <col min="7" max="7" width="12" hidden="1" customWidth="1" outlineLevel="1"/>
    <col min="8" max="8" width="18.42578125" hidden="1" customWidth="1" outlineLevel="1"/>
    <col min="9" max="9" width="19" hidden="1" customWidth="1" outlineLevel="1"/>
    <col min="10" max="10" width="20" hidden="1" customWidth="1" outlineLevel="1"/>
    <col min="11" max="11" width="19" hidden="1" customWidth="1" outlineLevel="1"/>
    <col min="12" max="12" width="26.140625" hidden="1" customWidth="1" outlineLevel="1"/>
    <col min="13" max="13" width="16.7109375" bestFit="1" customWidth="1" collapsed="1"/>
    <col min="14" max="14" width="14.7109375" bestFit="1" customWidth="1"/>
    <col min="15" max="15" width="81" bestFit="1" customWidth="1"/>
    <col min="16" max="16" width="16.28515625" bestFit="1" customWidth="1"/>
    <col min="17" max="17" width="18.42578125" bestFit="1" customWidth="1"/>
    <col min="18" max="18" width="23.140625" bestFit="1" customWidth="1"/>
    <col min="19" max="19" width="32.7109375" bestFit="1" customWidth="1"/>
    <col min="20" max="20" width="24" bestFit="1" customWidth="1"/>
    <col min="21" max="21" width="13.85546875" bestFit="1" customWidth="1"/>
    <col min="22" max="22" width="22.140625" bestFit="1" customWidth="1"/>
    <col min="23" max="23" width="20.140625" bestFit="1" customWidth="1"/>
    <col min="24" max="24" width="21.140625" bestFit="1" customWidth="1"/>
    <col min="25" max="25" width="20.5703125" bestFit="1" customWidth="1"/>
    <col min="26" max="26" width="15.5703125" bestFit="1" customWidth="1"/>
  </cols>
  <sheetData>
    <row r="1" spans="1:24" x14ac:dyDescent="0.25">
      <c r="N1" s="186" t="s">
        <v>1068</v>
      </c>
      <c r="O1" s="186"/>
      <c r="P1" s="186"/>
      <c r="Q1" s="186"/>
      <c r="R1" s="186"/>
      <c r="S1" s="186"/>
      <c r="T1" s="186"/>
      <c r="U1" s="186"/>
      <c r="V1" s="186"/>
      <c r="W1" s="186"/>
      <c r="X1" s="186"/>
    </row>
    <row r="2" spans="1:24" x14ac:dyDescent="0.25">
      <c r="A2" s="94" t="s">
        <v>1148</v>
      </c>
      <c r="B2" s="91" t="s">
        <v>1346</v>
      </c>
      <c r="C2" s="91" t="s">
        <v>1347</v>
      </c>
      <c r="D2" s="91" t="s">
        <v>1348</v>
      </c>
      <c r="E2" s="91" t="s">
        <v>1349</v>
      </c>
      <c r="F2" s="91" t="s">
        <v>1350</v>
      </c>
      <c r="G2" s="91" t="s">
        <v>1351</v>
      </c>
      <c r="H2" s="46" t="s">
        <v>1353</v>
      </c>
      <c r="I2" s="46" t="s">
        <v>1354</v>
      </c>
      <c r="J2" s="46" t="s">
        <v>1072</v>
      </c>
      <c r="K2" s="46" t="s">
        <v>1073</v>
      </c>
      <c r="L2" s="46" t="s">
        <v>1355</v>
      </c>
      <c r="M2" s="46" t="s">
        <v>1126</v>
      </c>
      <c r="N2" t="s">
        <v>1160</v>
      </c>
      <c r="O2" t="s">
        <v>1076</v>
      </c>
      <c r="P2" t="s">
        <v>1357</v>
      </c>
      <c r="Q2" t="s">
        <v>1163</v>
      </c>
      <c r="R2" t="s">
        <v>1150</v>
      </c>
      <c r="S2" t="s">
        <v>1151</v>
      </c>
      <c r="T2" t="s">
        <v>1161</v>
      </c>
      <c r="U2" t="s">
        <v>1083</v>
      </c>
      <c r="V2" t="s">
        <v>1164</v>
      </c>
      <c r="W2" t="s">
        <v>1165</v>
      </c>
    </row>
    <row r="3" spans="1:24" x14ac:dyDescent="0.25">
      <c r="A3" s="168">
        <f>IF(COUNTIF(LEDGER[LedgerCode],FinanceCodesBudget[[#This Row],[LedgerCode]])&gt;0,0,1)</f>
        <v>1</v>
      </c>
      <c r="B3" s="43">
        <f>IF(COUNTIF(Table_System_Grouping_Codes[groupingCodeCode],FinanceCodesBudget[[#This Row],[GroupingCode]])&gt;0,0,1)</f>
        <v>0</v>
      </c>
      <c r="C3" s="43">
        <f>IF(COUNTIF(CUSTGROUP[CustomGroupingCode],FinanceCodesBudget[[#This Row],[CustomGrouping]])&gt;0,0,1)</f>
        <v>1</v>
      </c>
      <c r="D3" s="43" cm="1">
        <f t="array" ref="D3">IF(FinanceCodesBudget[[#This Row],[AvailableToAllSchools]]=TRUE,0,COUNTA(_xlfn.TEXTSPLIT(FinanceCodesBudget[[#This Row],[SchoolCodes]],",",,TRUE))-SUM(COUNTIF(SCHOOLS[SchoolCode],_xlfn.TEXTSPLIT(FinanceCodesBudget[[#This Row],[SchoolCodes]],",",,TRUE))))</f>
        <v>0</v>
      </c>
      <c r="E3" s="43">
        <f>IF(FinanceCodesBudget[[#This Row],[FinanceCodeTypeCode]]="BUDGET",0,COUNTIF(FinanceCodesBudget[FinanceCode],FinanceCodesBudget[[#This Row],[FinanceCode]])-1)</f>
        <v>0</v>
      </c>
      <c r="F3" s="43">
        <f>IF(FinanceCodesBudget[[#This Row],[FinanceCodeTypeCode]]="BUDGET",0,COUNTIF(FinanceCodesBudget[Title],FinanceCodesBudget[[#This Row],[Title]])-1)</f>
        <v>0</v>
      </c>
      <c r="G3" s="43">
        <f>COUNTIF(Lookup!$A$2:$A$7,FinanceCodesBudget[[#This Row],[FinanceCodeTypeCode]])-1</f>
        <v>0</v>
      </c>
      <c r="H3" s="43">
        <f>IF(TRIM(FinanceCodesBudget[[#This Row],[Title]])="",1,0)</f>
        <v>0</v>
      </c>
      <c r="I3" s="43">
        <f>IF(TRIM(FinanceCodesBudget[[#This Row],[FinanceCode]])="",1,0)</f>
        <v>0</v>
      </c>
      <c r="J3" s="43">
        <f>IF(LEN(FinanceCodesBudget[[#This Row],[FinanceCode]])&lt;100,0,1)</f>
        <v>0</v>
      </c>
      <c r="K3" s="43">
        <f>IF(LEN(FinanceCodesBudget[[#This Row],[Title]])&lt;100,0,1)</f>
        <v>0</v>
      </c>
      <c r="L3" s="43">
        <f>IF(ISBLANK(FinanceCodesBudget[[#This Row],[BalanceToScenario]]),1,0)</f>
        <v>0</v>
      </c>
      <c r="M3" s="43">
        <f>SUM(FinanceCodesBudget[[#This Row],[LedgerIssue]:[CustGrIssue]],FinanceCodesBudget[[#This Row],[DupCode]:[Balance to Scenario Blank]])</f>
        <v>2</v>
      </c>
      <c r="N3">
        <v>510100</v>
      </c>
      <c r="O3" t="s">
        <v>106</v>
      </c>
      <c r="P3" t="s">
        <v>105</v>
      </c>
      <c r="Q3" t="s">
        <v>1359</v>
      </c>
      <c r="R3" t="b">
        <v>1</v>
      </c>
      <c r="T3" t="s">
        <v>1360</v>
      </c>
      <c r="U3" t="s">
        <v>1157</v>
      </c>
      <c r="V3" t="b">
        <v>1</v>
      </c>
      <c r="W3" t="b">
        <v>0</v>
      </c>
    </row>
  </sheetData>
  <mergeCells count="1">
    <mergeCell ref="N1:X1"/>
  </mergeCells>
  <phoneticPr fontId="2" type="noConversion"/>
  <conditionalFormatting sqref="N1:N1048576">
    <cfRule type="duplicateValues" dxfId="29" priority="1"/>
  </conditionalFormatting>
  <pageMargins left="0.7" right="0.7" top="0.75" bottom="0.75" header="0.3" footer="0.3"/>
  <pageSetup orientation="portrait" r:id="rId1"/>
  <ignoredErrors>
    <ignoredError sqref="L3" calculatedColumn="1"/>
  </ignoredErrors>
  <tableParts count="1">
    <tablePart r:id="rId2"/>
  </tablePart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B7237-740E-43A6-99DE-E2747EF8A4D8}">
  <sheetPr codeName="Sheet151">
    <tabColor theme="4" tint="0.79998168889431442"/>
  </sheetPr>
  <dimension ref="A1:Z26"/>
  <sheetViews>
    <sheetView zoomScaleNormal="100" workbookViewId="0">
      <pane ySplit="1" topLeftCell="A2" activePane="bottomLeft" state="frozen"/>
      <selection activeCell="D2" sqref="D2"/>
      <selection pane="bottomLeft" activeCell="U29" sqref="U29"/>
    </sheetView>
  </sheetViews>
  <sheetFormatPr defaultColWidth="9.28515625" defaultRowHeight="15" outlineLevelCol="1" x14ac:dyDescent="0.25"/>
  <cols>
    <col min="1" max="1" width="9.5703125" style="12" hidden="1" customWidth="1" outlineLevel="1"/>
    <col min="2" max="2" width="10" style="12" hidden="1" customWidth="1" outlineLevel="1"/>
    <col min="3" max="3" width="11.85546875" style="12" hidden="1" customWidth="1" outlineLevel="1"/>
    <col min="4" max="4" width="9.28515625" style="12" hidden="1" customWidth="1" outlineLevel="1"/>
    <col min="5" max="6" width="8.7109375" style="12" hidden="1" customWidth="1" outlineLevel="1"/>
    <col min="7" max="7" width="10" style="12" hidden="1" customWidth="1" outlineLevel="1"/>
    <col min="8" max="8" width="10.28515625" style="12" hidden="1" customWidth="1" outlineLevel="1"/>
    <col min="9" max="9" width="9.28515625" style="12" bestFit="1" customWidth="1" collapsed="1"/>
    <col min="10" max="10" width="18.28515625" style="12" bestFit="1" customWidth="1"/>
    <col min="11" max="11" width="9.7109375" style="20" customWidth="1"/>
    <col min="12" max="12" width="8.85546875" style="20" customWidth="1"/>
    <col min="13" max="13" width="12.85546875" style="12" customWidth="1"/>
    <col min="14" max="14" width="14.140625" style="12" customWidth="1"/>
    <col min="15" max="15" width="25.85546875" style="12" bestFit="1" customWidth="1"/>
    <col min="16" max="17" width="10.5703125" style="12" customWidth="1"/>
    <col min="18" max="18" width="12.140625" style="12" customWidth="1"/>
    <col min="19" max="20" width="10.5703125" customWidth="1"/>
    <col min="21" max="21" width="13.28515625" style="14" bestFit="1" customWidth="1"/>
    <col min="22" max="22" width="9" style="12" customWidth="1"/>
    <col min="23" max="23" width="13.7109375" style="12" customWidth="1"/>
    <col min="24" max="24" width="11.28515625" style="15" customWidth="1"/>
    <col min="25" max="16384" width="9.28515625" style="12"/>
  </cols>
  <sheetData>
    <row r="1" spans="1:26" s="25" customFormat="1" ht="45" x14ac:dyDescent="0.25">
      <c r="A1" s="53" t="s">
        <v>1361</v>
      </c>
      <c r="B1" s="53" t="s">
        <v>1362</v>
      </c>
      <c r="C1" s="132" t="s">
        <v>1363</v>
      </c>
      <c r="D1" s="53" t="s">
        <v>1364</v>
      </c>
      <c r="E1" s="53" t="s">
        <v>1365</v>
      </c>
      <c r="F1" s="53" t="s">
        <v>1366</v>
      </c>
      <c r="G1" s="53" t="s">
        <v>1367</v>
      </c>
      <c r="H1" s="131" t="s">
        <v>1368</v>
      </c>
      <c r="I1" s="53" t="s">
        <v>1126</v>
      </c>
      <c r="J1" s="54" t="s">
        <v>1158</v>
      </c>
      <c r="K1" s="55" t="s">
        <v>1369</v>
      </c>
      <c r="L1" s="56" t="s">
        <v>1370</v>
      </c>
      <c r="M1" s="25" t="s">
        <v>1371</v>
      </c>
      <c r="N1" s="25" t="s">
        <v>1372</v>
      </c>
      <c r="O1" s="25" t="s">
        <v>1373</v>
      </c>
      <c r="P1" s="25" t="s">
        <v>1374</v>
      </c>
      <c r="Q1" s="25" t="s">
        <v>1375</v>
      </c>
      <c r="R1" s="25" t="s">
        <v>1376</v>
      </c>
      <c r="S1" s="49" t="s">
        <v>1377</v>
      </c>
      <c r="T1" s="25" t="s">
        <v>1150</v>
      </c>
      <c r="U1" s="25" t="s">
        <v>1151</v>
      </c>
      <c r="V1" s="50" t="s">
        <v>1378</v>
      </c>
      <c r="W1" s="25" t="s">
        <v>1379</v>
      </c>
      <c r="X1" s="25" t="s">
        <v>1380</v>
      </c>
    </row>
    <row r="2" spans="1:26" x14ac:dyDescent="0.25">
      <c r="A2" s="57">
        <f>COUNTIF(PAYSCALES[PayScaleCode],PAYSCALES[[#This Row],[PayScaleCode]])-1</f>
        <v>0</v>
      </c>
      <c r="B2" s="57">
        <f>IF(PAYSCALES[[#This Row],[AvailableToAllSchools]]=FALSE,IF(ISBLANK(PAYSCALES[[#This Row],[SchoolCodes]]),1,0),IF(PAYSCALES[[#This Row],[AvailableToAllSchools]]=TRUE,IF(ISBLANK(PAYSCALES[[#This Row],[SchoolCodes]]),0,1)))</f>
        <v>0</v>
      </c>
      <c r="C2" s="57" cm="1">
        <f t="array" ref="C2">IF(PAYSCALES[[#This Row],[AvailableToAllSchools]]=TRUE,0,COUNTA(_xlfn.TEXTSPLIT(PAYSCALES[[#This Row],[SchoolCodes]],",",,TRUE))-SUM(COUNTIF(SCHOOLS[SchoolCode],_xlfn.TEXTSPLIT(PAYSCALES[[#This Row],[SchoolCodes]],",",,TRUE))))</f>
        <v>0</v>
      </c>
      <c r="D2"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2" s="57">
        <f>IF(LEN(PAYSCALES[[#This Row],[PayScaleCode]])&lt;100,0,1)</f>
        <v>0</v>
      </c>
      <c r="F2" s="57">
        <f>IF(LEN(PAYSCALES[[#This Row],[PayScaleTitle]])&lt;100,0,1)</f>
        <v>0</v>
      </c>
      <c r="G2" s="57">
        <f>COUNTBLANK(PAYSCALES[[#This Row],[PayScaleCode]:[AvailableToAllSchools]])+COUNTBLANK(PAYSCALES[[#This Row],[PayScaleEnabled]:[ExcludePension]])</f>
        <v>0</v>
      </c>
      <c r="H2" s="57">
        <f>IF(SUBSTITUTE(TEXT(PAYSCALES[[#This Row],[PayScaleCode]],10)," ","")=TEXT(PAYSCALES[[#This Row],[PayScaleCode]],10),0,1)</f>
        <v>0</v>
      </c>
      <c r="I2" s="57">
        <f>SUM(PAYSCALES[[#This Row],[Duplicate Scale Code]:[Space in Code]])</f>
        <v>0</v>
      </c>
      <c r="J2" s="57" t="s">
        <v>1137</v>
      </c>
      <c r="K2" s="117">
        <f>PAYSCALES[[#This Row],[IncrementDate]]</f>
        <v>44440</v>
      </c>
      <c r="L2" s="117">
        <f>PAYSCALES[[#This Row],[IncreaseDate]]</f>
        <v>44440</v>
      </c>
      <c r="N2" s="12" t="s">
        <v>1381</v>
      </c>
      <c r="O2" s="12" t="s">
        <v>1382</v>
      </c>
      <c r="P2" s="12" t="b">
        <v>0</v>
      </c>
      <c r="Q2" s="51">
        <v>44440</v>
      </c>
      <c r="R2" s="51">
        <v>44440</v>
      </c>
      <c r="S2" s="157">
        <v>2.75</v>
      </c>
      <c r="T2" s="12" t="b">
        <v>1</v>
      </c>
      <c r="U2" s="12"/>
      <c r="V2" s="12" t="b">
        <v>1</v>
      </c>
      <c r="W2" s="84" t="b">
        <v>0</v>
      </c>
      <c r="X2" s="84" t="b">
        <v>0</v>
      </c>
      <c r="Z2" s="1" t="s">
        <v>1383</v>
      </c>
    </row>
    <row r="3" spans="1:26" x14ac:dyDescent="0.25">
      <c r="A3" s="57">
        <f>COUNTIF(PAYSCALES[PayScaleCode],PAYSCALES[[#This Row],[PayScaleCode]])-1</f>
        <v>0</v>
      </c>
      <c r="B3" s="57">
        <f>IF(PAYSCALES[[#This Row],[AvailableToAllSchools]]=FALSE,IF(ISBLANK(PAYSCALES[[#This Row],[SchoolCodes]]),1,0),IF(PAYSCALES[[#This Row],[AvailableToAllSchools]]=TRUE,IF(ISBLANK(PAYSCALES[[#This Row],[SchoolCodes]]),0,1)))</f>
        <v>0</v>
      </c>
      <c r="C3" s="57" cm="1">
        <f t="array" ref="C3">IF(PAYSCALES[[#This Row],[AvailableToAllSchools]]=TRUE,0,COUNTA(_xlfn.TEXTSPLIT(PAYSCALES[[#This Row],[SchoolCodes]],",",,TRUE))-SUM(COUNTIF(SCHOOLS[SchoolCode],_xlfn.TEXTSPLIT(PAYSCALES[[#This Row],[SchoolCodes]],",",,TRUE))))</f>
        <v>0</v>
      </c>
      <c r="D3"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3" s="57">
        <f>IF(LEN(PAYSCALES[[#This Row],[PayScaleCode]])&lt;100,0,1)</f>
        <v>0</v>
      </c>
      <c r="F3" s="57">
        <f>IF(LEN(PAYSCALES[[#This Row],[PayScaleTitle]])&lt;100,0,1)</f>
        <v>0</v>
      </c>
      <c r="G3" s="57">
        <f>COUNTBLANK(PAYSCALES[[#This Row],[PayScaleCode]:[AvailableToAllSchools]])+COUNTBLANK(PAYSCALES[[#This Row],[PayScaleEnabled]:[ExcludePension]])</f>
        <v>0</v>
      </c>
      <c r="H3" s="57">
        <f>IF(SUBSTITUTE(TEXT(PAYSCALES[[#This Row],[PayScaleCode]],10)," ","")=TEXT(PAYSCALES[[#This Row],[PayScaleCode]],10),0,1)</f>
        <v>0</v>
      </c>
      <c r="I3" s="57">
        <f>SUM(PAYSCALES[[#This Row],[Duplicate Scale Code]:[Space in Code]])</f>
        <v>0</v>
      </c>
      <c r="J3" s="57" t="s">
        <v>1137</v>
      </c>
      <c r="K3" s="117">
        <f>PAYSCALES[[#This Row],[IncrementDate]]</f>
        <v>44440</v>
      </c>
      <c r="L3" s="117">
        <f>PAYSCALES[[#This Row],[IncreaseDate]]</f>
        <v>44440</v>
      </c>
      <c r="N3" s="12" t="s">
        <v>1384</v>
      </c>
      <c r="O3" s="12" t="s">
        <v>1385</v>
      </c>
      <c r="P3" s="12" t="b">
        <v>0</v>
      </c>
      <c r="Q3" s="51">
        <v>44440</v>
      </c>
      <c r="R3" s="51">
        <v>44440</v>
      </c>
      <c r="S3" s="157">
        <v>2.75</v>
      </c>
      <c r="T3" s="12" t="b">
        <v>1</v>
      </c>
      <c r="U3" s="12"/>
      <c r="V3" s="12" t="b">
        <v>1</v>
      </c>
      <c r="W3" s="84" t="b">
        <v>0</v>
      </c>
      <c r="X3" s="84" t="b">
        <v>0</v>
      </c>
    </row>
    <row r="4" spans="1:26" x14ac:dyDescent="0.25">
      <c r="A4" s="57">
        <f>COUNTIF(PAYSCALES[PayScaleCode],PAYSCALES[[#This Row],[PayScaleCode]])-1</f>
        <v>0</v>
      </c>
      <c r="B4" s="57">
        <f>IF(PAYSCALES[[#This Row],[AvailableToAllSchools]]=FALSE,IF(ISBLANK(PAYSCALES[[#This Row],[SchoolCodes]]),1,0),IF(PAYSCALES[[#This Row],[AvailableToAllSchools]]=TRUE,IF(ISBLANK(PAYSCALES[[#This Row],[SchoolCodes]]),0,1)))</f>
        <v>0</v>
      </c>
      <c r="C4" s="57" cm="1">
        <f t="array" ref="C4">IF(PAYSCALES[[#This Row],[AvailableToAllSchools]]=TRUE,0,COUNTA(_xlfn.TEXTSPLIT(PAYSCALES[[#This Row],[SchoolCodes]],",",,TRUE))-SUM(COUNTIF(SCHOOLS[SchoolCode],_xlfn.TEXTSPLIT(PAYSCALES[[#This Row],[SchoolCodes]],",",,TRUE))))</f>
        <v>0</v>
      </c>
      <c r="D4"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4" s="57">
        <f>IF(LEN(PAYSCALES[[#This Row],[PayScaleCode]])&lt;100,0,1)</f>
        <v>0</v>
      </c>
      <c r="F4" s="57">
        <f>IF(LEN(PAYSCALES[[#This Row],[PayScaleTitle]])&lt;100,0,1)</f>
        <v>0</v>
      </c>
      <c r="G4" s="57">
        <f>COUNTBLANK(PAYSCALES[[#This Row],[PayScaleCode]:[AvailableToAllSchools]])+COUNTBLANK(PAYSCALES[[#This Row],[PayScaleEnabled]:[ExcludePension]])</f>
        <v>0</v>
      </c>
      <c r="H4" s="57">
        <f>IF(SUBSTITUTE(TEXT(PAYSCALES[[#This Row],[PayScaleCode]],10)," ","")=TEXT(PAYSCALES[[#This Row],[PayScaleCode]],10),0,1)</f>
        <v>0</v>
      </c>
      <c r="I4" s="57">
        <f>SUM(PAYSCALES[[#This Row],[Duplicate Scale Code]:[Space in Code]])</f>
        <v>0</v>
      </c>
      <c r="J4" s="57" t="s">
        <v>1137</v>
      </c>
      <c r="K4" s="117">
        <f>PAYSCALES[[#This Row],[IncrementDate]]</f>
        <v>44440</v>
      </c>
      <c r="L4" s="117">
        <f>PAYSCALES[[#This Row],[IncreaseDate]]</f>
        <v>44440</v>
      </c>
      <c r="N4" s="12" t="s">
        <v>1386</v>
      </c>
      <c r="O4" s="12" t="s">
        <v>1387</v>
      </c>
      <c r="P4" s="12" t="b">
        <v>0</v>
      </c>
      <c r="Q4" s="51">
        <v>44440</v>
      </c>
      <c r="R4" s="51">
        <v>44440</v>
      </c>
      <c r="S4" s="157">
        <v>2.75</v>
      </c>
      <c r="T4" s="12" t="b">
        <v>1</v>
      </c>
      <c r="U4" s="12"/>
      <c r="V4" s="12" t="b">
        <v>1</v>
      </c>
      <c r="W4" s="84" t="b">
        <v>0</v>
      </c>
      <c r="X4" s="84" t="b">
        <v>0</v>
      </c>
    </row>
    <row r="5" spans="1:26" x14ac:dyDescent="0.25">
      <c r="A5" s="57">
        <f>COUNTIF(PAYSCALES[PayScaleCode],PAYSCALES[[#This Row],[PayScaleCode]])-1</f>
        <v>0</v>
      </c>
      <c r="B5" s="57">
        <f>IF(PAYSCALES[[#This Row],[AvailableToAllSchools]]=FALSE,IF(ISBLANK(PAYSCALES[[#This Row],[SchoolCodes]]),1,0),IF(PAYSCALES[[#This Row],[AvailableToAllSchools]]=TRUE,IF(ISBLANK(PAYSCALES[[#This Row],[SchoolCodes]]),0,1)))</f>
        <v>0</v>
      </c>
      <c r="C5" s="57" cm="1">
        <f t="array" ref="C5">IF(PAYSCALES[[#This Row],[AvailableToAllSchools]]=TRUE,0,COUNTA(_xlfn.TEXTSPLIT(PAYSCALES[[#This Row],[SchoolCodes]],",",,TRUE))-SUM(COUNTIF(SCHOOLS[SchoolCode],_xlfn.TEXTSPLIT(PAYSCALES[[#This Row],[SchoolCodes]],",",,TRUE))))</f>
        <v>0</v>
      </c>
      <c r="D5"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5" s="57">
        <f>IF(LEN(PAYSCALES[[#This Row],[PayScaleCode]])&lt;100,0,1)</f>
        <v>0</v>
      </c>
      <c r="F5" s="57">
        <f>IF(LEN(PAYSCALES[[#This Row],[PayScaleTitle]])&lt;100,0,1)</f>
        <v>0</v>
      </c>
      <c r="G5" s="57">
        <f>COUNTBLANK(PAYSCALES[[#This Row],[PayScaleCode]:[AvailableToAllSchools]])+COUNTBLANK(PAYSCALES[[#This Row],[PayScaleEnabled]:[ExcludePension]])</f>
        <v>0</v>
      </c>
      <c r="H5" s="57">
        <f>IF(SUBSTITUTE(TEXT(PAYSCALES[[#This Row],[PayScaleCode]],10)," ","")=TEXT(PAYSCALES[[#This Row],[PayScaleCode]],10),0,1)</f>
        <v>0</v>
      </c>
      <c r="I5" s="57">
        <f>SUM(PAYSCALES[[#This Row],[Duplicate Scale Code]:[Space in Code]])</f>
        <v>0</v>
      </c>
      <c r="J5" s="57" t="s">
        <v>1137</v>
      </c>
      <c r="K5" s="117">
        <f>PAYSCALES[[#This Row],[IncrementDate]]</f>
        <v>44440</v>
      </c>
      <c r="L5" s="117">
        <f>PAYSCALES[[#This Row],[IncreaseDate]]</f>
        <v>44440</v>
      </c>
      <c r="N5" s="12" t="s">
        <v>1388</v>
      </c>
      <c r="O5" s="12" t="s">
        <v>1389</v>
      </c>
      <c r="P5" s="12" t="b">
        <v>0</v>
      </c>
      <c r="Q5" s="51">
        <v>44440</v>
      </c>
      <c r="R5" s="51">
        <v>44440</v>
      </c>
      <c r="S5" s="157">
        <v>2.75</v>
      </c>
      <c r="T5" s="12" t="b">
        <v>1</v>
      </c>
      <c r="U5" s="12"/>
      <c r="V5" s="12" t="b">
        <v>1</v>
      </c>
      <c r="W5" s="84" t="b">
        <v>0</v>
      </c>
      <c r="X5" s="84" t="b">
        <v>0</v>
      </c>
    </row>
    <row r="6" spans="1:26" x14ac:dyDescent="0.25">
      <c r="A6" s="57">
        <f>COUNTIF(PAYSCALES[PayScaleCode],PAYSCALES[[#This Row],[PayScaleCode]])-1</f>
        <v>0</v>
      </c>
      <c r="B6" s="57">
        <f>IF(PAYSCALES[[#This Row],[AvailableToAllSchools]]=FALSE,IF(ISBLANK(PAYSCALES[[#This Row],[SchoolCodes]]),1,0),IF(PAYSCALES[[#This Row],[AvailableToAllSchools]]=TRUE,IF(ISBLANK(PAYSCALES[[#This Row],[SchoolCodes]]),0,1)))</f>
        <v>0</v>
      </c>
      <c r="C6" s="57" cm="1">
        <f t="array" ref="C6">IF(PAYSCALES[[#This Row],[AvailableToAllSchools]]=TRUE,0,COUNTA(_xlfn.TEXTSPLIT(PAYSCALES[[#This Row],[SchoolCodes]],",",,TRUE))-SUM(COUNTIF(SCHOOLS[SchoolCode],_xlfn.TEXTSPLIT(PAYSCALES[[#This Row],[SchoolCodes]],",",,TRUE))))</f>
        <v>0</v>
      </c>
      <c r="D6"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6" s="57">
        <f>IF(LEN(PAYSCALES[[#This Row],[PayScaleCode]])&lt;100,0,1)</f>
        <v>0</v>
      </c>
      <c r="F6" s="57">
        <f>IF(LEN(PAYSCALES[[#This Row],[PayScaleTitle]])&lt;100,0,1)</f>
        <v>0</v>
      </c>
      <c r="G6" s="57">
        <f>COUNTBLANK(PAYSCALES[[#This Row],[PayScaleCode]:[AvailableToAllSchools]])+COUNTBLANK(PAYSCALES[[#This Row],[PayScaleEnabled]:[ExcludePension]])</f>
        <v>0</v>
      </c>
      <c r="H6" s="57">
        <f>IF(SUBSTITUTE(TEXT(PAYSCALES[[#This Row],[PayScaleCode]],10)," ","")=TEXT(PAYSCALES[[#This Row],[PayScaleCode]],10),0,1)</f>
        <v>0</v>
      </c>
      <c r="I6" s="57">
        <f>SUM(PAYSCALES[[#This Row],[Duplicate Scale Code]:[Space in Code]])</f>
        <v>0</v>
      </c>
      <c r="J6" s="57" t="s">
        <v>1137</v>
      </c>
      <c r="K6" s="117">
        <f>PAYSCALES[[#This Row],[IncrementDate]]</f>
        <v>44287</v>
      </c>
      <c r="L6" s="117">
        <f>PAYSCALES[[#This Row],[IncreaseDate]]</f>
        <v>44287</v>
      </c>
      <c r="N6" s="12" t="s">
        <v>1390</v>
      </c>
      <c r="O6" s="12" t="s">
        <v>1391</v>
      </c>
      <c r="P6" s="12" t="b">
        <v>0</v>
      </c>
      <c r="Q6" s="51">
        <v>44287</v>
      </c>
      <c r="R6" s="51">
        <v>44287</v>
      </c>
      <c r="S6" s="157">
        <v>2</v>
      </c>
      <c r="T6" s="12" t="b">
        <v>1</v>
      </c>
      <c r="U6" s="12"/>
      <c r="V6" s="12" t="b">
        <v>1</v>
      </c>
      <c r="W6" s="84" t="b">
        <v>0</v>
      </c>
      <c r="X6" s="84" t="b">
        <v>0</v>
      </c>
    </row>
    <row r="7" spans="1:26" x14ac:dyDescent="0.25">
      <c r="A7" s="57">
        <f>COUNTIF(PAYSCALES[PayScaleCode],PAYSCALES[[#This Row],[PayScaleCode]])-1</f>
        <v>0</v>
      </c>
      <c r="B7" s="57">
        <f>IF(PAYSCALES[[#This Row],[AvailableToAllSchools]]=FALSE,IF(ISBLANK(PAYSCALES[[#This Row],[SchoolCodes]]),1,0),IF(PAYSCALES[[#This Row],[AvailableToAllSchools]]=TRUE,IF(ISBLANK(PAYSCALES[[#This Row],[SchoolCodes]]),0,1)))</f>
        <v>0</v>
      </c>
      <c r="C7" s="57" cm="1">
        <f t="array" ref="C7">IF(PAYSCALES[[#This Row],[AvailableToAllSchools]]=TRUE,0,COUNTA(_xlfn.TEXTSPLIT(PAYSCALES[[#This Row],[SchoolCodes]],",",,TRUE))-SUM(COUNTIF(SCHOOLS[SchoolCode],_xlfn.TEXTSPLIT(PAYSCALES[[#This Row],[SchoolCodes]],",",,TRUE))))</f>
        <v>0</v>
      </c>
      <c r="D7"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7" s="57">
        <f>IF(LEN(PAYSCALES[[#This Row],[PayScaleCode]])&lt;100,0,1)</f>
        <v>0</v>
      </c>
      <c r="F7" s="57">
        <f>IF(LEN(PAYSCALES[[#This Row],[PayScaleTitle]])&lt;100,0,1)</f>
        <v>0</v>
      </c>
      <c r="G7" s="57">
        <f>COUNTBLANK(PAYSCALES[[#This Row],[PayScaleCode]:[AvailableToAllSchools]])+COUNTBLANK(PAYSCALES[[#This Row],[PayScaleEnabled]:[ExcludePension]])</f>
        <v>0</v>
      </c>
      <c r="H7" s="57">
        <f>IF(SUBSTITUTE(TEXT(PAYSCALES[[#This Row],[PayScaleCode]],10)," ","")=TEXT(PAYSCALES[[#This Row],[PayScaleCode]],10),0,1)</f>
        <v>0</v>
      </c>
      <c r="I7" s="57">
        <f>SUM(PAYSCALES[[#This Row],[Duplicate Scale Code]:[Space in Code]])</f>
        <v>0</v>
      </c>
      <c r="J7" s="57" t="s">
        <v>1392</v>
      </c>
      <c r="K7" s="117">
        <f>PAYSCALES[[#This Row],[IncrementDate]]</f>
        <v>44440</v>
      </c>
      <c r="L7" s="117">
        <f>PAYSCALES[[#This Row],[IncreaseDate]]</f>
        <v>44440</v>
      </c>
      <c r="N7" s="12" t="s">
        <v>1393</v>
      </c>
      <c r="O7" s="12" t="s">
        <v>1394</v>
      </c>
      <c r="P7" s="12" t="b">
        <v>0</v>
      </c>
      <c r="Q7" s="51">
        <v>44440</v>
      </c>
      <c r="R7" s="51">
        <v>44440</v>
      </c>
      <c r="S7" s="157">
        <v>2.75</v>
      </c>
      <c r="T7" s="12" t="b">
        <v>1</v>
      </c>
      <c r="U7" s="12"/>
      <c r="V7" s="12" t="b">
        <v>1</v>
      </c>
      <c r="W7" s="84" t="b">
        <v>0</v>
      </c>
      <c r="X7" s="84" t="b">
        <v>0</v>
      </c>
    </row>
    <row r="8" spans="1:26" x14ac:dyDescent="0.25">
      <c r="A8" s="57">
        <f>COUNTIF(PAYSCALES[PayScaleCode],PAYSCALES[[#This Row],[PayScaleCode]])-1</f>
        <v>0</v>
      </c>
      <c r="B8" s="57">
        <f>IF(PAYSCALES[[#This Row],[AvailableToAllSchools]]=FALSE,IF(ISBLANK(PAYSCALES[[#This Row],[SchoolCodes]]),1,0),IF(PAYSCALES[[#This Row],[AvailableToAllSchools]]=TRUE,IF(ISBLANK(PAYSCALES[[#This Row],[SchoolCodes]]),0,1)))</f>
        <v>0</v>
      </c>
      <c r="C8" s="57" cm="1">
        <f t="array" ref="C8">IF(PAYSCALES[[#This Row],[AvailableToAllSchools]]=TRUE,0,COUNTA(_xlfn.TEXTSPLIT(PAYSCALES[[#This Row],[SchoolCodes]],",",,TRUE))-SUM(COUNTIF(SCHOOLS[SchoolCode],_xlfn.TEXTSPLIT(PAYSCALES[[#This Row],[SchoolCodes]],",",,TRUE))))</f>
        <v>0</v>
      </c>
      <c r="D8"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8" s="57">
        <f>IF(LEN(PAYSCALES[[#This Row],[PayScaleCode]])&lt;100,0,1)</f>
        <v>0</v>
      </c>
      <c r="F8" s="57">
        <f>IF(LEN(PAYSCALES[[#This Row],[PayScaleTitle]])&lt;100,0,1)</f>
        <v>0</v>
      </c>
      <c r="G8" s="57">
        <f>COUNTBLANK(PAYSCALES[[#This Row],[PayScaleCode]:[AvailableToAllSchools]])+COUNTBLANK(PAYSCALES[[#This Row],[PayScaleEnabled]:[ExcludePension]])</f>
        <v>0</v>
      </c>
      <c r="H8" s="57">
        <f>IF(SUBSTITUTE(TEXT(PAYSCALES[[#This Row],[PayScaleCode]],10)," ","")=TEXT(PAYSCALES[[#This Row],[PayScaleCode]],10),0,1)</f>
        <v>0</v>
      </c>
      <c r="I8" s="57">
        <f>SUM(PAYSCALES[[#This Row],[Duplicate Scale Code]:[Space in Code]])</f>
        <v>0</v>
      </c>
      <c r="J8" s="57" t="s">
        <v>1392</v>
      </c>
      <c r="K8" s="117">
        <f>PAYSCALES[[#This Row],[IncrementDate]]</f>
        <v>44440</v>
      </c>
      <c r="L8" s="117">
        <f>PAYSCALES[[#This Row],[IncreaseDate]]</f>
        <v>44440</v>
      </c>
      <c r="N8" s="12" t="s">
        <v>1395</v>
      </c>
      <c r="O8" s="12" t="s">
        <v>1396</v>
      </c>
      <c r="P8" s="12" t="b">
        <v>0</v>
      </c>
      <c r="Q8" s="51">
        <v>44440</v>
      </c>
      <c r="R8" s="51">
        <v>44440</v>
      </c>
      <c r="S8" s="157">
        <v>2.75</v>
      </c>
      <c r="T8" s="12" t="b">
        <v>1</v>
      </c>
      <c r="U8" s="12"/>
      <c r="V8" s="12" t="b">
        <v>1</v>
      </c>
      <c r="W8" s="84" t="b">
        <v>0</v>
      </c>
      <c r="X8" s="84" t="b">
        <v>0</v>
      </c>
    </row>
    <row r="9" spans="1:26" x14ac:dyDescent="0.25">
      <c r="A9" s="57">
        <f>COUNTIF(PAYSCALES[PayScaleCode],PAYSCALES[[#This Row],[PayScaleCode]])-1</f>
        <v>0</v>
      </c>
      <c r="B9" s="57">
        <f>IF(PAYSCALES[[#This Row],[AvailableToAllSchools]]=FALSE,IF(ISBLANK(PAYSCALES[[#This Row],[SchoolCodes]]),1,0),IF(PAYSCALES[[#This Row],[AvailableToAllSchools]]=TRUE,IF(ISBLANK(PAYSCALES[[#This Row],[SchoolCodes]]),0,1)))</f>
        <v>0</v>
      </c>
      <c r="C9" s="57" cm="1">
        <f t="array" ref="C9">IF(PAYSCALES[[#This Row],[AvailableToAllSchools]]=TRUE,0,COUNTA(_xlfn.TEXTSPLIT(PAYSCALES[[#This Row],[SchoolCodes]],",",,TRUE))-SUM(COUNTIF(SCHOOLS[SchoolCode],_xlfn.TEXTSPLIT(PAYSCALES[[#This Row],[SchoolCodes]],",",,TRUE))))</f>
        <v>0</v>
      </c>
      <c r="D9"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9" s="57">
        <f>IF(LEN(PAYSCALES[[#This Row],[PayScaleCode]])&lt;100,0,1)</f>
        <v>0</v>
      </c>
      <c r="F9" s="57">
        <f>IF(LEN(PAYSCALES[[#This Row],[PayScaleTitle]])&lt;100,0,1)</f>
        <v>0</v>
      </c>
      <c r="G9" s="57">
        <f>COUNTBLANK(PAYSCALES[[#This Row],[PayScaleCode]:[AvailableToAllSchools]])+COUNTBLANK(PAYSCALES[[#This Row],[PayScaleEnabled]:[ExcludePension]])</f>
        <v>0</v>
      </c>
      <c r="H9" s="57">
        <f>IF(SUBSTITUTE(TEXT(PAYSCALES[[#This Row],[PayScaleCode]],10)," ","")=TEXT(PAYSCALES[[#This Row],[PayScaleCode]],10),0,1)</f>
        <v>0</v>
      </c>
      <c r="I9" s="57">
        <f>SUM(PAYSCALES[[#This Row],[Duplicate Scale Code]:[Space in Code]])</f>
        <v>0</v>
      </c>
      <c r="J9" s="57" t="s">
        <v>1392</v>
      </c>
      <c r="K9" s="117">
        <f>PAYSCALES[[#This Row],[IncrementDate]]</f>
        <v>44440</v>
      </c>
      <c r="L9" s="117">
        <f>PAYSCALES[[#This Row],[IncreaseDate]]</f>
        <v>44440</v>
      </c>
      <c r="N9" s="12" t="s">
        <v>1397</v>
      </c>
      <c r="O9" s="12" t="s">
        <v>1398</v>
      </c>
      <c r="P9" s="12" t="b">
        <v>0</v>
      </c>
      <c r="Q9" s="51">
        <v>44440</v>
      </c>
      <c r="R9" s="51">
        <v>44440</v>
      </c>
      <c r="S9" s="157">
        <v>2.75</v>
      </c>
      <c r="T9" s="12" t="b">
        <v>1</v>
      </c>
      <c r="U9" s="12"/>
      <c r="V9" s="15" t="b">
        <v>1</v>
      </c>
      <c r="W9" s="84" t="b">
        <v>0</v>
      </c>
      <c r="X9" s="84" t="b">
        <v>0</v>
      </c>
    </row>
    <row r="10" spans="1:26" x14ac:dyDescent="0.25">
      <c r="A10" s="57">
        <f>COUNTIF(PAYSCALES[PayScaleCode],PAYSCALES[[#This Row],[PayScaleCode]])-1</f>
        <v>0</v>
      </c>
      <c r="B10" s="57">
        <f>IF(PAYSCALES[[#This Row],[AvailableToAllSchools]]=FALSE,IF(ISBLANK(PAYSCALES[[#This Row],[SchoolCodes]]),1,0),IF(PAYSCALES[[#This Row],[AvailableToAllSchools]]=TRUE,IF(ISBLANK(PAYSCALES[[#This Row],[SchoolCodes]]),0,1)))</f>
        <v>0</v>
      </c>
      <c r="C10" s="57" cm="1">
        <f t="array" ref="C10">IF(PAYSCALES[[#This Row],[AvailableToAllSchools]]=TRUE,0,COUNTA(_xlfn.TEXTSPLIT(PAYSCALES[[#This Row],[SchoolCodes]],",",,TRUE))-SUM(COUNTIF(SCHOOLS[SchoolCode],_xlfn.TEXTSPLIT(PAYSCALES[[#This Row],[SchoolCodes]],",",,TRUE))))</f>
        <v>0</v>
      </c>
      <c r="D10"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0" s="57">
        <f>IF(LEN(PAYSCALES[[#This Row],[PayScaleCode]])&lt;100,0,1)</f>
        <v>0</v>
      </c>
      <c r="F10" s="57">
        <f>IF(LEN(PAYSCALES[[#This Row],[PayScaleTitle]])&lt;100,0,1)</f>
        <v>0</v>
      </c>
      <c r="G10" s="57">
        <f>COUNTBLANK(PAYSCALES[[#This Row],[PayScaleCode]:[AvailableToAllSchools]])+COUNTBLANK(PAYSCALES[[#This Row],[PayScaleEnabled]:[ExcludePension]])</f>
        <v>0</v>
      </c>
      <c r="H10" s="57">
        <f>IF(SUBSTITUTE(TEXT(PAYSCALES[[#This Row],[PayScaleCode]],10)," ","")=TEXT(PAYSCALES[[#This Row],[PayScaleCode]],10),0,1)</f>
        <v>0</v>
      </c>
      <c r="I10" s="57">
        <f>SUM(PAYSCALES[[#This Row],[Duplicate Scale Code]:[Space in Code]])</f>
        <v>0</v>
      </c>
      <c r="J10" s="57" t="s">
        <v>1392</v>
      </c>
      <c r="K10" s="117">
        <f>PAYSCALES[[#This Row],[IncrementDate]]</f>
        <v>44440</v>
      </c>
      <c r="L10" s="117">
        <f>PAYSCALES[[#This Row],[IncreaseDate]]</f>
        <v>44440</v>
      </c>
      <c r="N10" s="12" t="s">
        <v>1399</v>
      </c>
      <c r="O10" s="12" t="s">
        <v>1400</v>
      </c>
      <c r="P10" s="12" t="b">
        <v>0</v>
      </c>
      <c r="Q10" s="51">
        <v>44440</v>
      </c>
      <c r="R10" s="51">
        <v>44440</v>
      </c>
      <c r="S10" s="157">
        <v>2.75</v>
      </c>
      <c r="T10" s="12" t="b">
        <v>1</v>
      </c>
      <c r="U10" s="12"/>
      <c r="V10" s="15" t="b">
        <v>1</v>
      </c>
      <c r="W10" s="84" t="b">
        <v>0</v>
      </c>
      <c r="X10" s="84" t="b">
        <v>0</v>
      </c>
    </row>
    <row r="11" spans="1:26" x14ac:dyDescent="0.25">
      <c r="A11" s="57">
        <f>COUNTIF(PAYSCALES[PayScaleCode],PAYSCALES[[#This Row],[PayScaleCode]])-1</f>
        <v>0</v>
      </c>
      <c r="B11" s="57">
        <f>IF(PAYSCALES[[#This Row],[AvailableToAllSchools]]=FALSE,IF(ISBLANK(PAYSCALES[[#This Row],[SchoolCodes]]),1,0),IF(PAYSCALES[[#This Row],[AvailableToAllSchools]]=TRUE,IF(ISBLANK(PAYSCALES[[#This Row],[SchoolCodes]]),0,1)))</f>
        <v>0</v>
      </c>
      <c r="C11" s="57" cm="1">
        <f t="array" ref="C11">IF(PAYSCALES[[#This Row],[AvailableToAllSchools]]=TRUE,0,COUNTA(_xlfn.TEXTSPLIT(PAYSCALES[[#This Row],[SchoolCodes]],",",,TRUE))-SUM(COUNTIF(SCHOOLS[SchoolCode],_xlfn.TEXTSPLIT(PAYSCALES[[#This Row],[SchoolCodes]],",",,TRUE))))</f>
        <v>0</v>
      </c>
      <c r="D11"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1" s="57">
        <f>IF(LEN(PAYSCALES[[#This Row],[PayScaleCode]])&lt;100,0,1)</f>
        <v>0</v>
      </c>
      <c r="F11" s="57">
        <f>IF(LEN(PAYSCALES[[#This Row],[PayScaleTitle]])&lt;100,0,1)</f>
        <v>0</v>
      </c>
      <c r="G11" s="57">
        <f>COUNTBLANK(PAYSCALES[[#This Row],[PayScaleCode]:[AvailableToAllSchools]])+COUNTBLANK(PAYSCALES[[#This Row],[PayScaleEnabled]:[ExcludePension]])</f>
        <v>0</v>
      </c>
      <c r="H11" s="57">
        <f>IF(SUBSTITUTE(TEXT(PAYSCALES[[#This Row],[PayScaleCode]],10)," ","")=TEXT(PAYSCALES[[#This Row],[PayScaleCode]],10),0,1)</f>
        <v>0</v>
      </c>
      <c r="I11" s="57">
        <f>SUM(PAYSCALES[[#This Row],[Duplicate Scale Code]:[Space in Code]])</f>
        <v>0</v>
      </c>
      <c r="J11" s="57" t="s">
        <v>1401</v>
      </c>
      <c r="K11" s="117">
        <f>PAYSCALES[[#This Row],[IncrementDate]]</f>
        <v>44440</v>
      </c>
      <c r="L11" s="117">
        <f>PAYSCALES[[#This Row],[IncreaseDate]]</f>
        <v>44440</v>
      </c>
      <c r="N11" s="12" t="s">
        <v>1402</v>
      </c>
      <c r="O11" s="12" t="s">
        <v>1403</v>
      </c>
      <c r="P11" s="12" t="b">
        <v>0</v>
      </c>
      <c r="Q11" s="51">
        <v>44440</v>
      </c>
      <c r="R11" s="51">
        <v>44440</v>
      </c>
      <c r="S11" s="157">
        <v>2.75</v>
      </c>
      <c r="T11" s="12" t="b">
        <v>1</v>
      </c>
      <c r="U11" s="12"/>
      <c r="V11" s="15" t="b">
        <v>1</v>
      </c>
      <c r="W11" s="84" t="b">
        <v>0</v>
      </c>
      <c r="X11" s="84" t="b">
        <v>0</v>
      </c>
    </row>
    <row r="12" spans="1:26" x14ac:dyDescent="0.25">
      <c r="A12" s="57">
        <f>COUNTIF(PAYSCALES[PayScaleCode],PAYSCALES[[#This Row],[PayScaleCode]])-1</f>
        <v>0</v>
      </c>
      <c r="B12" s="57">
        <f>IF(PAYSCALES[[#This Row],[AvailableToAllSchools]]=FALSE,IF(ISBLANK(PAYSCALES[[#This Row],[SchoolCodes]]),1,0),IF(PAYSCALES[[#This Row],[AvailableToAllSchools]]=TRUE,IF(ISBLANK(PAYSCALES[[#This Row],[SchoolCodes]]),0,1)))</f>
        <v>0</v>
      </c>
      <c r="C12" s="57" cm="1">
        <f t="array" ref="C12">IF(PAYSCALES[[#This Row],[AvailableToAllSchools]]=TRUE,0,COUNTA(_xlfn.TEXTSPLIT(PAYSCALES[[#This Row],[SchoolCodes]],",",,TRUE))-SUM(COUNTIF(SCHOOLS[SchoolCode],_xlfn.TEXTSPLIT(PAYSCALES[[#This Row],[SchoolCodes]],",",,TRUE))))</f>
        <v>0</v>
      </c>
      <c r="D12"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2" s="57">
        <f>IF(LEN(PAYSCALES[[#This Row],[PayScaleCode]])&lt;100,0,1)</f>
        <v>0</v>
      </c>
      <c r="F12" s="57">
        <f>IF(LEN(PAYSCALES[[#This Row],[PayScaleTitle]])&lt;100,0,1)</f>
        <v>0</v>
      </c>
      <c r="G12" s="57">
        <f>COUNTBLANK(PAYSCALES[[#This Row],[PayScaleCode]:[AvailableToAllSchools]])+COUNTBLANK(PAYSCALES[[#This Row],[PayScaleEnabled]:[ExcludePension]])</f>
        <v>0</v>
      </c>
      <c r="H12" s="57">
        <f>IF(SUBSTITUTE(TEXT(PAYSCALES[[#This Row],[PayScaleCode]],10)," ","")=TEXT(PAYSCALES[[#This Row],[PayScaleCode]],10),0,1)</f>
        <v>0</v>
      </c>
      <c r="I12" s="57">
        <f>SUM(PAYSCALES[[#This Row],[Duplicate Scale Code]:[Space in Code]])</f>
        <v>0</v>
      </c>
      <c r="J12" s="57" t="s">
        <v>1401</v>
      </c>
      <c r="K12" s="117">
        <f>PAYSCALES[[#This Row],[IncrementDate]]</f>
        <v>44440</v>
      </c>
      <c r="L12" s="117">
        <f>PAYSCALES[[#This Row],[IncreaseDate]]</f>
        <v>44440</v>
      </c>
      <c r="N12" s="12" t="s">
        <v>1404</v>
      </c>
      <c r="O12" s="12" t="s">
        <v>1405</v>
      </c>
      <c r="P12" s="12" t="b">
        <v>0</v>
      </c>
      <c r="Q12" s="51">
        <v>44440</v>
      </c>
      <c r="R12" s="51">
        <v>44440</v>
      </c>
      <c r="S12" s="157">
        <v>2.75</v>
      </c>
      <c r="T12" s="12" t="b">
        <v>1</v>
      </c>
      <c r="U12" s="12"/>
      <c r="V12" s="15" t="b">
        <v>1</v>
      </c>
      <c r="W12" s="84" t="b">
        <v>0</v>
      </c>
      <c r="X12" s="84" t="b">
        <v>0</v>
      </c>
    </row>
    <row r="13" spans="1:26" x14ac:dyDescent="0.25">
      <c r="A13" s="57">
        <f>COUNTIF(PAYSCALES[PayScaleCode],PAYSCALES[[#This Row],[PayScaleCode]])-1</f>
        <v>0</v>
      </c>
      <c r="B13" s="57">
        <f>IF(PAYSCALES[[#This Row],[AvailableToAllSchools]]=FALSE,IF(ISBLANK(PAYSCALES[[#This Row],[SchoolCodes]]),1,0),IF(PAYSCALES[[#This Row],[AvailableToAllSchools]]=TRUE,IF(ISBLANK(PAYSCALES[[#This Row],[SchoolCodes]]),0,1)))</f>
        <v>0</v>
      </c>
      <c r="C13" s="57" cm="1">
        <f t="array" ref="C13">IF(PAYSCALES[[#This Row],[AvailableToAllSchools]]=TRUE,0,COUNTA(_xlfn.TEXTSPLIT(PAYSCALES[[#This Row],[SchoolCodes]],",",,TRUE))-SUM(COUNTIF(SCHOOLS[SchoolCode],_xlfn.TEXTSPLIT(PAYSCALES[[#This Row],[SchoolCodes]],",",,TRUE))))</f>
        <v>0</v>
      </c>
      <c r="D13"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3" s="57">
        <f>IF(LEN(PAYSCALES[[#This Row],[PayScaleCode]])&lt;100,0,1)</f>
        <v>0</v>
      </c>
      <c r="F13" s="57">
        <f>IF(LEN(PAYSCALES[[#This Row],[PayScaleTitle]])&lt;100,0,1)</f>
        <v>0</v>
      </c>
      <c r="G13" s="57">
        <f>COUNTBLANK(PAYSCALES[[#This Row],[PayScaleCode]:[AvailableToAllSchools]])+COUNTBLANK(PAYSCALES[[#This Row],[PayScaleEnabled]:[ExcludePension]])</f>
        <v>0</v>
      </c>
      <c r="H13" s="57">
        <f>IF(SUBSTITUTE(TEXT(PAYSCALES[[#This Row],[PayScaleCode]],10)," ","")=TEXT(PAYSCALES[[#This Row],[PayScaleCode]],10),0,1)</f>
        <v>0</v>
      </c>
      <c r="I13" s="57">
        <f>SUM(PAYSCALES[[#This Row],[Duplicate Scale Code]:[Space in Code]])</f>
        <v>0</v>
      </c>
      <c r="J13" s="57" t="s">
        <v>1401</v>
      </c>
      <c r="K13" s="117">
        <f>PAYSCALES[[#This Row],[IncrementDate]]</f>
        <v>44440</v>
      </c>
      <c r="L13" s="117">
        <f>PAYSCALES[[#This Row],[IncreaseDate]]</f>
        <v>44440</v>
      </c>
      <c r="N13" s="12" t="s">
        <v>1406</v>
      </c>
      <c r="O13" s="12" t="s">
        <v>1407</v>
      </c>
      <c r="P13" s="12" t="b">
        <v>0</v>
      </c>
      <c r="Q13" s="51">
        <v>44440</v>
      </c>
      <c r="R13" s="51">
        <v>44440</v>
      </c>
      <c r="S13" s="157">
        <v>2.75</v>
      </c>
      <c r="T13" s="12" t="b">
        <v>1</v>
      </c>
      <c r="U13" s="12"/>
      <c r="V13" s="15" t="b">
        <v>1</v>
      </c>
      <c r="W13" s="84" t="b">
        <v>0</v>
      </c>
      <c r="X13" s="84" t="b">
        <v>0</v>
      </c>
    </row>
    <row r="14" spans="1:26" x14ac:dyDescent="0.25">
      <c r="A14" s="57">
        <f>COUNTIF(PAYSCALES[PayScaleCode],PAYSCALES[[#This Row],[PayScaleCode]])-1</f>
        <v>0</v>
      </c>
      <c r="B14" s="57">
        <f>IF(PAYSCALES[[#This Row],[AvailableToAllSchools]]=FALSE,IF(ISBLANK(PAYSCALES[[#This Row],[SchoolCodes]]),1,0),IF(PAYSCALES[[#This Row],[AvailableToAllSchools]]=TRUE,IF(ISBLANK(PAYSCALES[[#This Row],[SchoolCodes]]),0,1)))</f>
        <v>0</v>
      </c>
      <c r="C14" s="57" cm="1">
        <f t="array" ref="C14">IF(PAYSCALES[[#This Row],[AvailableToAllSchools]]=TRUE,0,COUNTA(_xlfn.TEXTSPLIT(PAYSCALES[[#This Row],[SchoolCodes]],",",,TRUE))-SUM(COUNTIF(SCHOOLS[SchoolCode],_xlfn.TEXTSPLIT(PAYSCALES[[#This Row],[SchoolCodes]],",",,TRUE))))</f>
        <v>0</v>
      </c>
      <c r="D14"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4" s="57">
        <f>IF(LEN(PAYSCALES[[#This Row],[PayScaleCode]])&lt;100,0,1)</f>
        <v>0</v>
      </c>
      <c r="F14" s="57">
        <f>IF(LEN(PAYSCALES[[#This Row],[PayScaleTitle]])&lt;100,0,1)</f>
        <v>0</v>
      </c>
      <c r="G14" s="57">
        <f>COUNTBLANK(PAYSCALES[[#This Row],[PayScaleCode]:[AvailableToAllSchools]])+COUNTBLANK(PAYSCALES[[#This Row],[PayScaleEnabled]:[ExcludePension]])</f>
        <v>0</v>
      </c>
      <c r="H14" s="57">
        <f>IF(SUBSTITUTE(TEXT(PAYSCALES[[#This Row],[PayScaleCode]],10)," ","")=TEXT(PAYSCALES[[#This Row],[PayScaleCode]],10),0,1)</f>
        <v>0</v>
      </c>
      <c r="I14" s="57">
        <f>SUM(PAYSCALES[[#This Row],[Duplicate Scale Code]:[Space in Code]])</f>
        <v>0</v>
      </c>
      <c r="J14" s="57" t="s">
        <v>1401</v>
      </c>
      <c r="K14" s="117">
        <f>PAYSCALES[[#This Row],[IncrementDate]]</f>
        <v>44440</v>
      </c>
      <c r="L14" s="117">
        <f>PAYSCALES[[#This Row],[IncreaseDate]]</f>
        <v>44440</v>
      </c>
      <c r="N14" s="12" t="s">
        <v>1408</v>
      </c>
      <c r="O14" s="12" t="s">
        <v>1409</v>
      </c>
      <c r="P14" s="12" t="b">
        <v>0</v>
      </c>
      <c r="Q14" s="51">
        <v>44440</v>
      </c>
      <c r="R14" s="51">
        <v>44440</v>
      </c>
      <c r="S14" s="157">
        <v>2.75</v>
      </c>
      <c r="T14" s="12" t="b">
        <v>1</v>
      </c>
      <c r="U14" s="12"/>
      <c r="V14" s="15" t="b">
        <v>1</v>
      </c>
      <c r="W14" s="84" t="b">
        <v>0</v>
      </c>
      <c r="X14" s="84" t="b">
        <v>0</v>
      </c>
    </row>
    <row r="15" spans="1:26" x14ac:dyDescent="0.25">
      <c r="A15" s="57">
        <f>COUNTIF(PAYSCALES[PayScaleCode],PAYSCALES[[#This Row],[PayScaleCode]])-1</f>
        <v>0</v>
      </c>
      <c r="B15" s="57">
        <f>IF(PAYSCALES[[#This Row],[AvailableToAllSchools]]=FALSE,IF(ISBLANK(PAYSCALES[[#This Row],[SchoolCodes]]),1,0),IF(PAYSCALES[[#This Row],[AvailableToAllSchools]]=TRUE,IF(ISBLANK(PAYSCALES[[#This Row],[SchoolCodes]]),0,1)))</f>
        <v>0</v>
      </c>
      <c r="C15" s="57" cm="1">
        <f t="array" ref="C15">IF(PAYSCALES[[#This Row],[AvailableToAllSchools]]=TRUE,0,COUNTA(_xlfn.TEXTSPLIT(PAYSCALES[[#This Row],[SchoolCodes]],",",,TRUE))-SUM(COUNTIF(SCHOOLS[SchoolCode],_xlfn.TEXTSPLIT(PAYSCALES[[#This Row],[SchoolCodes]],",",,TRUE))))</f>
        <v>0</v>
      </c>
      <c r="D15"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5" s="57">
        <f>IF(LEN(PAYSCALES[[#This Row],[PayScaleCode]])&lt;100,0,1)</f>
        <v>0</v>
      </c>
      <c r="F15" s="57">
        <f>IF(LEN(PAYSCALES[[#This Row],[PayScaleTitle]])&lt;100,0,1)</f>
        <v>0</v>
      </c>
      <c r="G15" s="57">
        <f>COUNTBLANK(PAYSCALES[[#This Row],[PayScaleCode]:[AvailableToAllSchools]])+COUNTBLANK(PAYSCALES[[#This Row],[PayScaleEnabled]:[ExcludePension]])</f>
        <v>0</v>
      </c>
      <c r="H15" s="57">
        <f>IF(SUBSTITUTE(TEXT(PAYSCALES[[#This Row],[PayScaleCode]],10)," ","")=TEXT(PAYSCALES[[#This Row],[PayScaleCode]],10),0,1)</f>
        <v>0</v>
      </c>
      <c r="I15" s="57">
        <f>SUM(PAYSCALES[[#This Row],[Duplicate Scale Code]:[Space in Code]])</f>
        <v>0</v>
      </c>
      <c r="J15" s="57" t="s">
        <v>1401</v>
      </c>
      <c r="K15" s="117">
        <f>PAYSCALES[[#This Row],[IncrementDate]]</f>
        <v>44287</v>
      </c>
      <c r="L15" s="117">
        <f>PAYSCALES[[#This Row],[IncreaseDate]]</f>
        <v>44287</v>
      </c>
      <c r="N15" s="12" t="s">
        <v>1410</v>
      </c>
      <c r="O15" s="12" t="s">
        <v>1411</v>
      </c>
      <c r="P15" s="12" t="b">
        <v>0</v>
      </c>
      <c r="Q15" s="51">
        <v>44287</v>
      </c>
      <c r="R15" s="51">
        <v>44287</v>
      </c>
      <c r="S15" s="157">
        <v>2</v>
      </c>
      <c r="T15" s="12" t="b">
        <v>1</v>
      </c>
      <c r="U15" s="12"/>
      <c r="V15" s="15" t="b">
        <v>1</v>
      </c>
      <c r="W15" s="84" t="b">
        <v>0</v>
      </c>
      <c r="X15" s="84" t="b">
        <v>0</v>
      </c>
    </row>
    <row r="16" spans="1:26" x14ac:dyDescent="0.25">
      <c r="A16" s="57">
        <f>COUNTIF(PAYSCALES[PayScaleCode],PAYSCALES[[#This Row],[PayScaleCode]])-1</f>
        <v>0</v>
      </c>
      <c r="B16" s="57">
        <f>IF(PAYSCALES[[#This Row],[AvailableToAllSchools]]=FALSE,IF(ISBLANK(PAYSCALES[[#This Row],[SchoolCodes]]),1,0),IF(PAYSCALES[[#This Row],[AvailableToAllSchools]]=TRUE,IF(ISBLANK(PAYSCALES[[#This Row],[SchoolCodes]]),0,1)))</f>
        <v>0</v>
      </c>
      <c r="C16" s="57" cm="1">
        <f t="array" ref="C16">IF(PAYSCALES[[#This Row],[AvailableToAllSchools]]=TRUE,0,COUNTA(_xlfn.TEXTSPLIT(PAYSCALES[[#This Row],[SchoolCodes]],",",,TRUE))-SUM(COUNTIF(SCHOOLS[SchoolCode],_xlfn.TEXTSPLIT(PAYSCALES[[#This Row],[SchoolCodes]],",",,TRUE))))</f>
        <v>0</v>
      </c>
      <c r="D16"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6" s="57">
        <f>IF(LEN(PAYSCALES[[#This Row],[PayScaleCode]])&lt;100,0,1)</f>
        <v>0</v>
      </c>
      <c r="F16" s="57">
        <f>IF(LEN(PAYSCALES[[#This Row],[PayScaleTitle]])&lt;100,0,1)</f>
        <v>0</v>
      </c>
      <c r="G16" s="57">
        <f>COUNTBLANK(PAYSCALES[[#This Row],[PayScaleCode]:[AvailableToAllSchools]])+COUNTBLANK(PAYSCALES[[#This Row],[PayScaleEnabled]:[ExcludePension]])</f>
        <v>0</v>
      </c>
      <c r="H16" s="57">
        <f>IF(SUBSTITUTE(TEXT(PAYSCALES[[#This Row],[PayScaleCode]],10)," ","")=TEXT(PAYSCALES[[#This Row],[PayScaleCode]],10),0,1)</f>
        <v>0</v>
      </c>
      <c r="I16" s="57">
        <f>SUM(PAYSCALES[[#This Row],[Duplicate Scale Code]:[Space in Code]])</f>
        <v>0</v>
      </c>
      <c r="J16" s="57" t="s">
        <v>1412</v>
      </c>
      <c r="K16" s="117">
        <f>PAYSCALES[[#This Row],[IncrementDate]]</f>
        <v>44440</v>
      </c>
      <c r="L16" s="117">
        <f>PAYSCALES[[#This Row],[IncreaseDate]]</f>
        <v>44440</v>
      </c>
      <c r="N16" s="12" t="s">
        <v>1413</v>
      </c>
      <c r="O16" s="12" t="s">
        <v>1414</v>
      </c>
      <c r="P16" s="12" t="b">
        <v>0</v>
      </c>
      <c r="Q16" s="51">
        <v>44440</v>
      </c>
      <c r="R16" s="51">
        <v>44440</v>
      </c>
      <c r="S16" s="157">
        <v>2.75</v>
      </c>
      <c r="T16" s="12" t="b">
        <v>1</v>
      </c>
      <c r="U16" s="12"/>
      <c r="V16" s="15" t="b">
        <v>1</v>
      </c>
      <c r="W16" s="84" t="b">
        <v>0</v>
      </c>
      <c r="X16" s="84" t="b">
        <v>0</v>
      </c>
    </row>
    <row r="17" spans="1:24" x14ac:dyDescent="0.25">
      <c r="A17" s="57">
        <f>COUNTIF(PAYSCALES[PayScaleCode],PAYSCALES[[#This Row],[PayScaleCode]])-1</f>
        <v>0</v>
      </c>
      <c r="B17" s="57">
        <f>IF(PAYSCALES[[#This Row],[AvailableToAllSchools]]=FALSE,IF(ISBLANK(PAYSCALES[[#This Row],[SchoolCodes]]),1,0),IF(PAYSCALES[[#This Row],[AvailableToAllSchools]]=TRUE,IF(ISBLANK(PAYSCALES[[#This Row],[SchoolCodes]]),0,1)))</f>
        <v>0</v>
      </c>
      <c r="C17" s="57" cm="1">
        <f t="array" ref="C17">IF(PAYSCALES[[#This Row],[AvailableToAllSchools]]=TRUE,0,COUNTA(_xlfn.TEXTSPLIT(PAYSCALES[[#This Row],[SchoolCodes]],",",,TRUE))-SUM(COUNTIF(SCHOOLS[SchoolCode],_xlfn.TEXTSPLIT(PAYSCALES[[#This Row],[SchoolCodes]],",",,TRUE))))</f>
        <v>0</v>
      </c>
      <c r="D17"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7" s="57">
        <f>IF(LEN(PAYSCALES[[#This Row],[PayScaleCode]])&lt;100,0,1)</f>
        <v>0</v>
      </c>
      <c r="F17" s="57">
        <f>IF(LEN(PAYSCALES[[#This Row],[PayScaleTitle]])&lt;100,0,1)</f>
        <v>0</v>
      </c>
      <c r="G17" s="57">
        <f>COUNTBLANK(PAYSCALES[[#This Row],[PayScaleCode]:[AvailableToAllSchools]])+COUNTBLANK(PAYSCALES[[#This Row],[PayScaleEnabled]:[ExcludePension]])</f>
        <v>0</v>
      </c>
      <c r="H17" s="57">
        <f>IF(SUBSTITUTE(TEXT(PAYSCALES[[#This Row],[PayScaleCode]],10)," ","")=TEXT(PAYSCALES[[#This Row],[PayScaleCode]],10),0,1)</f>
        <v>0</v>
      </c>
      <c r="I17" s="57">
        <f>SUM(PAYSCALES[[#This Row],[Duplicate Scale Code]:[Space in Code]])</f>
        <v>0</v>
      </c>
      <c r="J17" s="57" t="s">
        <v>1412</v>
      </c>
      <c r="K17" s="117">
        <f>PAYSCALES[[#This Row],[IncrementDate]]</f>
        <v>44440</v>
      </c>
      <c r="L17" s="117">
        <f>PAYSCALES[[#This Row],[IncreaseDate]]</f>
        <v>44440</v>
      </c>
      <c r="N17" s="12" t="s">
        <v>1415</v>
      </c>
      <c r="O17" s="12" t="s">
        <v>1416</v>
      </c>
      <c r="P17" s="12" t="b">
        <v>0</v>
      </c>
      <c r="Q17" s="51">
        <v>44440</v>
      </c>
      <c r="R17" s="51">
        <v>44440</v>
      </c>
      <c r="S17" s="157">
        <v>2.75</v>
      </c>
      <c r="T17" s="12" t="b">
        <v>1</v>
      </c>
      <c r="U17" s="12"/>
      <c r="V17" s="15" t="b">
        <v>1</v>
      </c>
      <c r="W17" s="84" t="b">
        <v>0</v>
      </c>
      <c r="X17" s="84" t="b">
        <v>0</v>
      </c>
    </row>
    <row r="18" spans="1:24" x14ac:dyDescent="0.25">
      <c r="A18" s="57">
        <f>COUNTIF(PAYSCALES[PayScaleCode],PAYSCALES[[#This Row],[PayScaleCode]])-1</f>
        <v>0</v>
      </c>
      <c r="B18" s="57">
        <f>IF(PAYSCALES[[#This Row],[AvailableToAllSchools]]=FALSE,IF(ISBLANK(PAYSCALES[[#This Row],[SchoolCodes]]),1,0),IF(PAYSCALES[[#This Row],[AvailableToAllSchools]]=TRUE,IF(ISBLANK(PAYSCALES[[#This Row],[SchoolCodes]]),0,1)))</f>
        <v>0</v>
      </c>
      <c r="C18" s="57" cm="1">
        <f t="array" ref="C18">IF(PAYSCALES[[#This Row],[AvailableToAllSchools]]=TRUE,0,COUNTA(_xlfn.TEXTSPLIT(PAYSCALES[[#This Row],[SchoolCodes]],",",,TRUE))-SUM(COUNTIF(SCHOOLS[SchoolCode],_xlfn.TEXTSPLIT(PAYSCALES[[#This Row],[SchoolCodes]],",",,TRUE))))</f>
        <v>0</v>
      </c>
      <c r="D18"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8" s="57">
        <f>IF(LEN(PAYSCALES[[#This Row],[PayScaleCode]])&lt;100,0,1)</f>
        <v>0</v>
      </c>
      <c r="F18" s="57">
        <f>IF(LEN(PAYSCALES[[#This Row],[PayScaleTitle]])&lt;100,0,1)</f>
        <v>0</v>
      </c>
      <c r="G18" s="57">
        <f>COUNTBLANK(PAYSCALES[[#This Row],[PayScaleCode]:[AvailableToAllSchools]])+COUNTBLANK(PAYSCALES[[#This Row],[PayScaleEnabled]:[ExcludePension]])</f>
        <v>0</v>
      </c>
      <c r="H18" s="57">
        <f>IF(SUBSTITUTE(TEXT(PAYSCALES[[#This Row],[PayScaleCode]],10)," ","")=TEXT(PAYSCALES[[#This Row],[PayScaleCode]],10),0,1)</f>
        <v>0</v>
      </c>
      <c r="I18" s="57">
        <f>SUM(PAYSCALES[[#This Row],[Duplicate Scale Code]:[Space in Code]])</f>
        <v>0</v>
      </c>
      <c r="J18" s="57" t="s">
        <v>1412</v>
      </c>
      <c r="K18" s="117">
        <f>PAYSCALES[[#This Row],[IncrementDate]]</f>
        <v>44440</v>
      </c>
      <c r="L18" s="117">
        <f>PAYSCALES[[#This Row],[IncreaseDate]]</f>
        <v>44440</v>
      </c>
      <c r="N18" s="12" t="s">
        <v>1417</v>
      </c>
      <c r="O18" s="12" t="s">
        <v>1418</v>
      </c>
      <c r="P18" s="12" t="b">
        <v>0</v>
      </c>
      <c r="Q18" s="51">
        <v>44440</v>
      </c>
      <c r="R18" s="51">
        <v>44440</v>
      </c>
      <c r="S18" s="157">
        <v>2.75</v>
      </c>
      <c r="T18" s="12" t="b">
        <v>1</v>
      </c>
      <c r="U18" s="12"/>
      <c r="V18" s="15" t="b">
        <v>1</v>
      </c>
      <c r="W18" s="84" t="b">
        <v>0</v>
      </c>
      <c r="X18" s="84" t="b">
        <v>0</v>
      </c>
    </row>
    <row r="19" spans="1:24" x14ac:dyDescent="0.25">
      <c r="A19" s="57">
        <f>COUNTIF(PAYSCALES[PayScaleCode],PAYSCALES[[#This Row],[PayScaleCode]])-1</f>
        <v>0</v>
      </c>
      <c r="B19" s="57">
        <f>IF(PAYSCALES[[#This Row],[AvailableToAllSchools]]=FALSE,IF(ISBLANK(PAYSCALES[[#This Row],[SchoolCodes]]),1,0),IF(PAYSCALES[[#This Row],[AvailableToAllSchools]]=TRUE,IF(ISBLANK(PAYSCALES[[#This Row],[SchoolCodes]]),0,1)))</f>
        <v>0</v>
      </c>
      <c r="C19" s="57" cm="1">
        <f t="array" ref="C19">IF(PAYSCALES[[#This Row],[AvailableToAllSchools]]=TRUE,0,COUNTA(_xlfn.TEXTSPLIT(PAYSCALES[[#This Row],[SchoolCodes]],",",,TRUE))-SUM(COUNTIF(SCHOOLS[SchoolCode],_xlfn.TEXTSPLIT(PAYSCALES[[#This Row],[SchoolCodes]],",",,TRUE))))</f>
        <v>0</v>
      </c>
      <c r="D19"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19" s="57">
        <f>IF(LEN(PAYSCALES[[#This Row],[PayScaleCode]])&lt;100,0,1)</f>
        <v>0</v>
      </c>
      <c r="F19" s="57">
        <f>IF(LEN(PAYSCALES[[#This Row],[PayScaleTitle]])&lt;100,0,1)</f>
        <v>0</v>
      </c>
      <c r="G19" s="57">
        <f>COUNTBLANK(PAYSCALES[[#This Row],[PayScaleCode]:[AvailableToAllSchools]])+COUNTBLANK(PAYSCALES[[#This Row],[PayScaleEnabled]:[ExcludePension]])</f>
        <v>0</v>
      </c>
      <c r="H19" s="57">
        <f>IF(SUBSTITUTE(TEXT(PAYSCALES[[#This Row],[PayScaleCode]],10)," ","")=TEXT(PAYSCALES[[#This Row],[PayScaleCode]],10),0,1)</f>
        <v>0</v>
      </c>
      <c r="I19" s="57">
        <f>SUM(PAYSCALES[[#This Row],[Duplicate Scale Code]:[Space in Code]])</f>
        <v>0</v>
      </c>
      <c r="J19" s="57" t="s">
        <v>1412</v>
      </c>
      <c r="K19" s="117">
        <f>PAYSCALES[[#This Row],[IncrementDate]]</f>
        <v>44440</v>
      </c>
      <c r="L19" s="117">
        <f>PAYSCALES[[#This Row],[IncreaseDate]]</f>
        <v>44440</v>
      </c>
      <c r="N19" s="12" t="s">
        <v>1419</v>
      </c>
      <c r="O19" s="12" t="s">
        <v>1420</v>
      </c>
      <c r="P19" s="12" t="b">
        <v>0</v>
      </c>
      <c r="Q19" s="51">
        <v>44440</v>
      </c>
      <c r="R19" s="51">
        <v>44440</v>
      </c>
      <c r="S19" s="157">
        <v>2.75</v>
      </c>
      <c r="T19" s="12" t="b">
        <v>1</v>
      </c>
      <c r="U19" s="12"/>
      <c r="V19" s="15" t="b">
        <v>1</v>
      </c>
      <c r="W19" s="84" t="b">
        <v>0</v>
      </c>
      <c r="X19" s="84" t="b">
        <v>0</v>
      </c>
    </row>
    <row r="20" spans="1:24" x14ac:dyDescent="0.25">
      <c r="A20" s="57">
        <f>COUNTIF(PAYSCALES[PayScaleCode],PAYSCALES[[#This Row],[PayScaleCode]])-1</f>
        <v>0</v>
      </c>
      <c r="B20" s="57">
        <f>IF(PAYSCALES[[#This Row],[AvailableToAllSchools]]=FALSE,IF(ISBLANK(PAYSCALES[[#This Row],[SchoolCodes]]),1,0),IF(PAYSCALES[[#This Row],[AvailableToAllSchools]]=TRUE,IF(ISBLANK(PAYSCALES[[#This Row],[SchoolCodes]]),0,1)))</f>
        <v>0</v>
      </c>
      <c r="C20" s="57" cm="1">
        <f t="array" ref="C20">IF(PAYSCALES[[#This Row],[AvailableToAllSchools]]=TRUE,0,COUNTA(_xlfn.TEXTSPLIT(PAYSCALES[[#This Row],[SchoolCodes]],",",,TRUE))-SUM(COUNTIF(SCHOOLS[SchoolCode],_xlfn.TEXTSPLIT(PAYSCALES[[#This Row],[SchoolCodes]],",",,TRUE))))</f>
        <v>0</v>
      </c>
      <c r="D20"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20" s="57">
        <f>IF(LEN(PAYSCALES[[#This Row],[PayScaleCode]])&lt;100,0,1)</f>
        <v>0</v>
      </c>
      <c r="F20" s="57">
        <f>IF(LEN(PAYSCALES[[#This Row],[PayScaleTitle]])&lt;100,0,1)</f>
        <v>0</v>
      </c>
      <c r="G20" s="57">
        <f>COUNTBLANK(PAYSCALES[[#This Row],[PayScaleCode]:[AvailableToAllSchools]])+COUNTBLANK(PAYSCALES[[#This Row],[PayScaleEnabled]:[ExcludePension]])</f>
        <v>0</v>
      </c>
      <c r="H20" s="57">
        <f>IF(SUBSTITUTE(TEXT(PAYSCALES[[#This Row],[PayScaleCode]],10)," ","")=TEXT(PAYSCALES[[#This Row],[PayScaleCode]],10),0,1)</f>
        <v>0</v>
      </c>
      <c r="I20" s="57">
        <f>SUM(PAYSCALES[[#This Row],[Duplicate Scale Code]:[Space in Code]])</f>
        <v>0</v>
      </c>
      <c r="J20" s="57" t="s">
        <v>1412</v>
      </c>
      <c r="K20" s="117">
        <f>PAYSCALES[[#This Row],[IncrementDate]]</f>
        <v>44287</v>
      </c>
      <c r="L20" s="117">
        <f>PAYSCALES[[#This Row],[IncreaseDate]]</f>
        <v>44287</v>
      </c>
      <c r="N20" s="12" t="s">
        <v>1421</v>
      </c>
      <c r="O20" s="12" t="s">
        <v>1422</v>
      </c>
      <c r="P20" s="12" t="b">
        <v>0</v>
      </c>
      <c r="Q20" s="51">
        <v>44287</v>
      </c>
      <c r="R20" s="51">
        <v>44287</v>
      </c>
      <c r="S20" s="157">
        <v>2</v>
      </c>
      <c r="T20" s="12" t="b">
        <v>1</v>
      </c>
      <c r="U20" s="12"/>
      <c r="V20" s="15" t="b">
        <v>1</v>
      </c>
      <c r="W20" s="84" t="b">
        <v>0</v>
      </c>
      <c r="X20" s="84" t="b">
        <v>0</v>
      </c>
    </row>
    <row r="21" spans="1:24" x14ac:dyDescent="0.25">
      <c r="A21" s="57">
        <f>COUNTIF(PAYSCALES[PayScaleCode],PAYSCALES[[#This Row],[PayScaleCode]])-1</f>
        <v>0</v>
      </c>
      <c r="B21" s="57">
        <f>IF(PAYSCALES[[#This Row],[AvailableToAllSchools]]=FALSE,IF(ISBLANK(PAYSCALES[[#This Row],[SchoolCodes]]),1,0),IF(PAYSCALES[[#This Row],[AvailableToAllSchools]]=TRUE,IF(ISBLANK(PAYSCALES[[#This Row],[SchoolCodes]]),0,1)))</f>
        <v>0</v>
      </c>
      <c r="C21" s="57" cm="1">
        <f t="array" ref="C21">IF(PAYSCALES[[#This Row],[AvailableToAllSchools]]=TRUE,0,COUNTA(_xlfn.TEXTSPLIT(PAYSCALES[[#This Row],[SchoolCodes]],",",,TRUE))-SUM(COUNTIF(SCHOOLS[SchoolCode],_xlfn.TEXTSPLIT(PAYSCALES[[#This Row],[SchoolCodes]],",",,TRUE))))</f>
        <v>0</v>
      </c>
      <c r="D21"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21" s="57">
        <f>IF(LEN(PAYSCALES[[#This Row],[PayScaleCode]])&lt;100,0,1)</f>
        <v>0</v>
      </c>
      <c r="F21" s="57">
        <f>IF(LEN(PAYSCALES[[#This Row],[PayScaleTitle]])&lt;100,0,1)</f>
        <v>0</v>
      </c>
      <c r="G21" s="57">
        <f>COUNTBLANK(PAYSCALES[[#This Row],[PayScaleCode]:[AvailableToAllSchools]])+COUNTBLANK(PAYSCALES[[#This Row],[PayScaleEnabled]:[ExcludePension]])</f>
        <v>0</v>
      </c>
      <c r="H21" s="57">
        <f>IF(SUBSTITUTE(TEXT(PAYSCALES[[#This Row],[PayScaleCode]],10)," ","")=TEXT(PAYSCALES[[#This Row],[PayScaleCode]],10),0,1)</f>
        <v>0</v>
      </c>
      <c r="I21" s="57">
        <f>SUM(PAYSCALES[[#This Row],[Duplicate Scale Code]:[Space in Code]])</f>
        <v>0</v>
      </c>
      <c r="J21" s="57" t="s">
        <v>1137</v>
      </c>
      <c r="K21" s="117">
        <f>PAYSCALES[[#This Row],[IncrementDate]]</f>
        <v>44652</v>
      </c>
      <c r="L21" s="117">
        <f>PAYSCALES[[#This Row],[IncreaseDate]]</f>
        <v>44652</v>
      </c>
      <c r="N21" s="12" t="s">
        <v>1423</v>
      </c>
      <c r="O21" s="12" t="s">
        <v>1424</v>
      </c>
      <c r="P21" s="12" t="b">
        <v>0</v>
      </c>
      <c r="Q21" s="51">
        <v>44652</v>
      </c>
      <c r="R21" s="51">
        <v>44652</v>
      </c>
      <c r="S21" s="157">
        <v>3</v>
      </c>
      <c r="T21" s="12" t="b">
        <v>1</v>
      </c>
      <c r="U21" s="12"/>
      <c r="V21" s="15" t="b">
        <v>1</v>
      </c>
      <c r="W21" s="84" t="b">
        <v>0</v>
      </c>
      <c r="X21" s="84" t="b">
        <v>0</v>
      </c>
    </row>
    <row r="22" spans="1:24" x14ac:dyDescent="0.25">
      <c r="A22" s="57">
        <f>COUNTIF(PAYSCALES[PayScaleCode],PAYSCALES[[#This Row],[PayScaleCode]])-1</f>
        <v>0</v>
      </c>
      <c r="B22" s="57">
        <f>IF(PAYSCALES[[#This Row],[AvailableToAllSchools]]=FALSE,IF(ISBLANK(PAYSCALES[[#This Row],[SchoolCodes]]),1,0),IF(PAYSCALES[[#This Row],[AvailableToAllSchools]]=TRUE,IF(ISBLANK(PAYSCALES[[#This Row],[SchoolCodes]]),0,1)))</f>
        <v>0</v>
      </c>
      <c r="C22" s="57" cm="1">
        <f t="array" ref="C22">IF(PAYSCALES[[#This Row],[AvailableToAllSchools]]=TRUE,0,COUNTA(_xlfn.TEXTSPLIT(PAYSCALES[[#This Row],[SchoolCodes]],",",,TRUE))-SUM(COUNTIF(SCHOOLS[SchoolCode],_xlfn.TEXTSPLIT(PAYSCALES[[#This Row],[SchoolCodes]],",",,TRUE))))</f>
        <v>0</v>
      </c>
      <c r="D22"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22" s="57">
        <f>IF(LEN(PAYSCALES[[#This Row],[PayScaleCode]])&lt;100,0,1)</f>
        <v>0</v>
      </c>
      <c r="F22" s="57">
        <f>IF(LEN(PAYSCALES[[#This Row],[PayScaleTitle]])&lt;100,0,1)</f>
        <v>0</v>
      </c>
      <c r="G22" s="57">
        <f>COUNTBLANK(PAYSCALES[[#This Row],[PayScaleCode]:[AvailableToAllSchools]])+COUNTBLANK(PAYSCALES[[#This Row],[PayScaleEnabled]:[ExcludePension]])</f>
        <v>0</v>
      </c>
      <c r="H22" s="57">
        <f>IF(SUBSTITUTE(TEXT(PAYSCALES[[#This Row],[PayScaleCode]],10)," ","")=TEXT(PAYSCALES[[#This Row],[PayScaleCode]],10),0,1)</f>
        <v>0</v>
      </c>
      <c r="I22" s="57">
        <f>SUM(PAYSCALES[[#This Row],[Duplicate Scale Code]:[Space in Code]])</f>
        <v>0</v>
      </c>
      <c r="J22" s="57"/>
      <c r="K22" s="117">
        <f>PAYSCALES[[#This Row],[IncrementDate]]</f>
        <v>44287</v>
      </c>
      <c r="L22" s="117">
        <f>PAYSCALES[[#This Row],[IncreaseDate]]</f>
        <v>44287</v>
      </c>
      <c r="N22" s="12" t="s">
        <v>1425</v>
      </c>
      <c r="O22" s="12" t="s">
        <v>1426</v>
      </c>
      <c r="P22" s="12" t="b">
        <v>0</v>
      </c>
      <c r="Q22" s="51">
        <v>44287</v>
      </c>
      <c r="R22" s="51">
        <v>44287</v>
      </c>
      <c r="S22" s="157">
        <v>2</v>
      </c>
      <c r="T22" s="12" t="b">
        <v>1</v>
      </c>
      <c r="U22" s="12"/>
      <c r="V22" s="15" t="b">
        <v>1</v>
      </c>
      <c r="W22" s="84" t="b">
        <v>0</v>
      </c>
      <c r="X22" s="84" t="b">
        <v>0</v>
      </c>
    </row>
    <row r="23" spans="1:24" x14ac:dyDescent="0.25">
      <c r="A23" s="57">
        <f>COUNTIF(PAYSCALES[PayScaleCode],PAYSCALES[[#This Row],[PayScaleCode]])-1</f>
        <v>0</v>
      </c>
      <c r="B23" s="57">
        <f>IF(PAYSCALES[[#This Row],[AvailableToAllSchools]]=FALSE,IF(ISBLANK(PAYSCALES[[#This Row],[SchoolCodes]]),1,0),IF(PAYSCALES[[#This Row],[AvailableToAllSchools]]=TRUE,IF(ISBLANK(PAYSCALES[[#This Row],[SchoolCodes]]),0,1)))</f>
        <v>0</v>
      </c>
      <c r="C23" s="57" cm="1">
        <f t="array" ref="C23">IF(PAYSCALES[[#This Row],[AvailableToAllSchools]]=TRUE,0,COUNTA(_xlfn.TEXTSPLIT(PAYSCALES[[#This Row],[SchoolCodes]],",",,TRUE))-SUM(COUNTIF(SCHOOLS[SchoolCode],_xlfn.TEXTSPLIT(PAYSCALES[[#This Row],[SchoolCodes]],",",,TRUE))))</f>
        <v>0</v>
      </c>
      <c r="D23" s="57">
        <f>IF(OR(PAYSCALES[[#This Row],[PayScaleEnabled]]=TRUE,PAYSCALES[[#This Row],[PayScaleEnabled]]=FALSE),IF(OR(PAYSCALES[[#This Row],[ServiceIncrementDateEnabled]]=TRUE,PAYSCALES[[#This Row],[ServiceIncrementDateEnabled]]=FALSE),IF(OR(PAYSCALES[[#This Row],[AvailableToAllSchools]]=TRUE,PAYSCALES[[#This Row],[AvailableToAllSchools]]=FALSE),IF(OR(PAYSCALES[[#This Row],[ExcludeNationalInsurance]]=TRUE,PAYSCALES[[#This Row],[ExcludeNationalInsurance]]=FALSE),IF(OR(PAYSCALES[[#This Row],[ExcludePension]]=TRUE,PAYSCALES[[#This Row],[ExcludePension]]=FALSE),0,1),1),1),1),1)</f>
        <v>0</v>
      </c>
      <c r="E23" s="57">
        <f>IF(LEN(PAYSCALES[[#This Row],[PayScaleCode]])&lt;100,0,1)</f>
        <v>0</v>
      </c>
      <c r="F23" s="57">
        <f>IF(LEN(PAYSCALES[[#This Row],[PayScaleTitle]])&lt;100,0,1)</f>
        <v>0</v>
      </c>
      <c r="G23" s="57">
        <f>COUNTBLANK(PAYSCALES[[#This Row],[PayScaleCode]:[AvailableToAllSchools]])+COUNTBLANK(PAYSCALES[[#This Row],[PayScaleEnabled]:[ExcludePension]])</f>
        <v>0</v>
      </c>
      <c r="H23" s="57">
        <f>IF(SUBSTITUTE(TEXT(PAYSCALES[[#This Row],[PayScaleCode]],10)," ","")=TEXT(PAYSCALES[[#This Row],[PayScaleCode]],10),0,1)</f>
        <v>0</v>
      </c>
      <c r="I23" s="57">
        <f>SUM(PAYSCALES[[#This Row],[Duplicate Scale Code]:[Space in Code]])</f>
        <v>0</v>
      </c>
      <c r="J23" s="57"/>
      <c r="K23" s="117">
        <f>PAYSCALES[[#This Row],[IncrementDate]]</f>
        <v>44440</v>
      </c>
      <c r="L23" s="117">
        <f>PAYSCALES[[#This Row],[IncreaseDate]]</f>
        <v>44440</v>
      </c>
      <c r="N23" s="12" t="s">
        <v>1427</v>
      </c>
      <c r="O23" s="12" t="s">
        <v>1428</v>
      </c>
      <c r="P23" s="12" t="b">
        <v>0</v>
      </c>
      <c r="Q23" s="51">
        <v>44440</v>
      </c>
      <c r="R23" s="51">
        <v>44440</v>
      </c>
      <c r="S23" s="157">
        <v>2.75</v>
      </c>
      <c r="T23" s="12" t="b">
        <v>1</v>
      </c>
      <c r="U23" s="12"/>
      <c r="V23" s="15" t="b">
        <v>1</v>
      </c>
      <c r="W23" s="84" t="b">
        <v>0</v>
      </c>
      <c r="X23" s="84" t="b">
        <v>0</v>
      </c>
    </row>
    <row r="24" spans="1:24" x14ac:dyDescent="0.25">
      <c r="S24" s="12"/>
      <c r="T24" s="12"/>
    </row>
    <row r="25" spans="1:24" x14ac:dyDescent="0.25">
      <c r="S25" s="12"/>
      <c r="T25" s="12"/>
    </row>
    <row r="26" spans="1:24" x14ac:dyDescent="0.25">
      <c r="S26" s="12"/>
      <c r="T26" s="12"/>
    </row>
  </sheetData>
  <phoneticPr fontId="2" type="noConversion"/>
  <pageMargins left="0.7" right="0.7" top="0.75" bottom="0.75" header="0.3" footer="0.3"/>
  <pageSetup orientation="portrait" r:id="rId1"/>
  <legacyDrawing r:id="rId2"/>
  <tableParts count="1">
    <tablePart r:id="rId3"/>
  </tableParts>
  <extLst>
    <ext xmlns:x14="http://schemas.microsoft.com/office/spreadsheetml/2009/9/main" uri="{CCE6A557-97BC-4b89-ADB6-D9C93CAAB3DF}">
      <x14:dataValidations xmlns:xm="http://schemas.microsoft.com/office/excel/2006/main" count="2">
        <x14:dataValidation type="list" allowBlank="1" showInputMessage="1" showErrorMessage="1" xr:uid="{59E7ACFE-466C-48D9-9702-A15F18DD8959}">
          <x14:formula1>
            <xm:f>Validation!$A$10:$A$13</xm:f>
          </x14:formula1>
          <xm:sqref>J2:J23</xm:sqref>
        </x14:dataValidation>
        <x14:dataValidation type="list" allowBlank="1" showInputMessage="1" showErrorMessage="1" xr:uid="{452A9C64-F7A7-480D-B7A6-66FC016C680B}">
          <x14:formula1>
            <xm:f>Validation!$G$2:$G$3</xm:f>
          </x14:formula1>
          <xm:sqref>V3:V23</xm:sqref>
        </x14:dataValidation>
      </x14:dataValidations>
    </ext>
  </extLst>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D8CCC-E49B-45E2-AFB5-87643D74F4D5}">
  <sheetPr codeName="Sheet161">
    <tabColor theme="4" tint="0.79998168889431442"/>
  </sheetPr>
  <dimension ref="A1:W34"/>
  <sheetViews>
    <sheetView zoomScaleNormal="100" workbookViewId="0">
      <pane ySplit="1" topLeftCell="A7" activePane="bottomLeft" state="frozen"/>
      <selection activeCell="D2" sqref="D2"/>
      <selection pane="bottomLeft" activeCell="X31" sqref="X31"/>
    </sheetView>
  </sheetViews>
  <sheetFormatPr defaultColWidth="9.28515625" defaultRowHeight="15" outlineLevelCol="1" x14ac:dyDescent="0.25"/>
  <cols>
    <col min="1" max="2" width="9.28515625" style="12" hidden="1" customWidth="1" outlineLevel="1"/>
    <col min="3" max="4" width="10.140625" style="12" hidden="1" customWidth="1" outlineLevel="1"/>
    <col min="5" max="5" width="13.7109375" style="12" hidden="1" customWidth="1" outlineLevel="1"/>
    <col min="6" max="6" width="9.140625" style="12" hidden="1" customWidth="1" outlineLevel="1"/>
    <col min="7" max="9" width="10" style="12" hidden="1" customWidth="1" outlineLevel="1"/>
    <col min="10" max="10" width="8" style="12" hidden="1" customWidth="1" outlineLevel="1"/>
    <col min="11" max="11" width="8.42578125" style="12" customWidth="1" collapsed="1"/>
    <col min="12" max="12" width="15.85546875" style="12" bestFit="1" customWidth="1"/>
    <col min="13" max="13" width="14.28515625" style="12" customWidth="1"/>
    <col min="14" max="14" width="20" style="12" customWidth="1"/>
    <col min="15" max="15" width="30.7109375" style="12" bestFit="1" customWidth="1"/>
    <col min="16" max="16" width="14.28515625" style="12" customWidth="1"/>
    <col min="17" max="17" width="9.85546875" style="12" customWidth="1"/>
    <col min="19" max="19" width="10.28515625" style="12" customWidth="1"/>
    <col min="20" max="20" width="12.5703125" style="12" customWidth="1"/>
    <col min="21" max="21" width="17" style="12" customWidth="1"/>
    <col min="22" max="22" width="13.5703125" style="12" bestFit="1" customWidth="1"/>
    <col min="23" max="23" width="13.28515625" style="12" customWidth="1"/>
    <col min="24" max="24" width="9.28515625" style="12" customWidth="1"/>
    <col min="25" max="16384" width="9.28515625" style="12"/>
  </cols>
  <sheetData>
    <row r="1" spans="1:23" s="24" customFormat="1" ht="75" x14ac:dyDescent="0.25">
      <c r="A1" s="59" t="s">
        <v>1429</v>
      </c>
      <c r="B1" s="53" t="s">
        <v>1430</v>
      </c>
      <c r="C1" s="53" t="s">
        <v>1362</v>
      </c>
      <c r="D1" s="139" t="s">
        <v>1431</v>
      </c>
      <c r="E1" s="167" t="s">
        <v>1432</v>
      </c>
      <c r="F1" s="59" t="s">
        <v>1364</v>
      </c>
      <c r="G1" s="53" t="s">
        <v>1367</v>
      </c>
      <c r="H1" s="53" t="s">
        <v>1365</v>
      </c>
      <c r="I1" s="53" t="s">
        <v>1366</v>
      </c>
      <c r="J1" s="131" t="s">
        <v>1368</v>
      </c>
      <c r="K1" s="59" t="s">
        <v>1126</v>
      </c>
      <c r="L1" s="54" t="s">
        <v>1158</v>
      </c>
      <c r="M1" s="60" t="s">
        <v>1371</v>
      </c>
      <c r="N1" s="60" t="s">
        <v>1433</v>
      </c>
      <c r="O1" s="60" t="s">
        <v>1076</v>
      </c>
      <c r="P1" s="60" t="s">
        <v>1372</v>
      </c>
      <c r="Q1" s="60" t="s">
        <v>1434</v>
      </c>
      <c r="R1" s="60" t="s">
        <v>1435</v>
      </c>
      <c r="S1" s="59" t="s">
        <v>1436</v>
      </c>
      <c r="T1" s="59" t="s">
        <v>1437</v>
      </c>
      <c r="U1" s="60" t="s">
        <v>1150</v>
      </c>
      <c r="V1" s="60" t="s">
        <v>1151</v>
      </c>
      <c r="W1" s="60" t="s">
        <v>1438</v>
      </c>
    </row>
    <row r="2" spans="1:23" x14ac:dyDescent="0.25">
      <c r="A2" s="57" t="str">
        <f>IF(COUNTIF('19_PayScales'!N:N,'22_PayScaleGrades'!P2)&gt;0,"0","1")</f>
        <v>0</v>
      </c>
      <c r="B2" s="57">
        <f>COUNTIF(GRADES[PayScaleGradeCode],GRADES[[#This Row],[PayScaleGradeCode]])-1</f>
        <v>0</v>
      </c>
      <c r="C2" s="57" cm="1">
        <f t="array" ref="C2">IF(GRADES[[#This Row],[AvailableToAllSchools]]=FALSE,IF(ISBLANK(GRADES[[#This Row],[SchoolCodes]]),1,IF(AND(COUNTIF(SCHOOLS[SchoolCode],_xlfn.TEXTSPLIT(GRADES[[#This Row],[SchoolCodes]],","))),0,1)),IF(GRADES[[#This Row],[AvailableToAllSchools]]=TRUE,IF(ISBLANK(GRADES[[#This Row],[SchoolCodes]]),0,1)))</f>
        <v>0</v>
      </c>
      <c r="D2" s="57"/>
      <c r="E2" s="57" cm="1">
        <f t="array" ref="E2">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 s="57">
        <f>IF(OR(GRADES[[#This Row],[AvailableToAllSchools]]=TRUE,GRADES[[#This Row],[AvailableToAllSchools]]=FALSE),IF(OR(GRADES[[#This Row],[PayScaleGradeEnabled]]=TRUE,GRADES[[#This Row],[PayScaleGradeEnabled]]=FALSE),0,1),1)</f>
        <v>0</v>
      </c>
      <c r="G2" s="57">
        <f>(COUNTBLANK(GRADES[[#This Row],[PayScaleGradeCode]:[AvailableToAllSchools]])+COUNTBLANK(GRADES[[#This Row],[PayScaleGradeEnabled]]))</f>
        <v>0</v>
      </c>
      <c r="H2" s="57">
        <f>IF(LEN(GRADES[[#This Row],[PayScaleGradeCode]])&lt;100,0,1)</f>
        <v>0</v>
      </c>
      <c r="I2" s="57">
        <f>IF(LEN(GRADES[[#This Row],[Title]])&lt;100,0,1)</f>
        <v>0</v>
      </c>
      <c r="J2" s="57">
        <f>IF(SUBSTITUTE(TEXT(GRADES[[#This Row],[PayScaleGradeCode]],10)," ","")=TEXT(GRADES[[#This Row],[PayScaleGradeCode]],10),0,1)</f>
        <v>0</v>
      </c>
      <c r="K2" s="57">
        <f>SUM(GRADES[[#This Row],[Pay Scale issue]:[Schools Check]],GRADES[[#This Row],[TRUE /FALSE Typo]:[Space in Code]])</f>
        <v>0</v>
      </c>
      <c r="L2" s="57" t="str">
        <f>_xlfn.XLOOKUP(GRADES[[#This Row],[PayScaleCode]],PAYSCALES[PayScaleCode],PAYSCALES[London Weighting])</f>
        <v>England &amp; Wales</v>
      </c>
      <c r="N2" s="12" t="s">
        <v>1439</v>
      </c>
      <c r="O2" s="12" t="s">
        <v>1440</v>
      </c>
      <c r="P2" s="12" t="s">
        <v>1381</v>
      </c>
      <c r="Q2" s="12" t="s">
        <v>1441</v>
      </c>
      <c r="R2" s="12" t="s">
        <v>1442</v>
      </c>
      <c r="S2" s="57" cm="1">
        <f t="array" ref="S2">LOOKUP(2,1/(PSPOINTS[PayScaleCode]=GRADES[[#This Row],[PayScaleCode]])/(PSPOINTS[PayScalePointCode]=GRADES[[#This Row],[Point From (Check)]]),(PSPOINTS[ScalePointNumber]))</f>
        <v>1</v>
      </c>
      <c r="T2" s="57" cm="1">
        <f t="array" ref="T2">LOOKUP(2,1/(PSPOINTS[PayScaleCode]=GRADES[[#This Row],[PayScaleCode]])/(PSPOINTS[PayScalePointCode]=GRADES[[#This Row],[Point To (Check)]]),(PSPOINTS[ScalePointNumber]))</f>
        <v>11</v>
      </c>
      <c r="U2" s="12" t="b">
        <v>1</v>
      </c>
      <c r="W2" s="12" t="b">
        <v>1</v>
      </c>
    </row>
    <row r="3" spans="1:23" x14ac:dyDescent="0.25">
      <c r="A3" s="57" t="str">
        <f>IF(COUNTIF('19_PayScales'!N:N,'22_PayScaleGrades'!P3)&gt;0,"0","1")</f>
        <v>0</v>
      </c>
      <c r="B3" s="57">
        <f>COUNTIF(GRADES[PayScaleGradeCode],GRADES[[#This Row],[PayScaleGradeCode]])-1</f>
        <v>0</v>
      </c>
      <c r="C3" s="57" cm="1">
        <f t="array" ref="C3">IF(GRADES[[#This Row],[AvailableToAllSchools]]=FALSE,IF(ISBLANK(GRADES[[#This Row],[SchoolCodes]]),1,IF(AND(COUNTIF(SCHOOLS[SchoolCode],_xlfn.TEXTSPLIT(GRADES[[#This Row],[SchoolCodes]],","))),0,1)),IF(GRADES[[#This Row],[AvailableToAllSchools]]=TRUE,IF(ISBLANK(GRADES[[#This Row],[SchoolCodes]]),0,1)))</f>
        <v>0</v>
      </c>
      <c r="D3" s="57"/>
      <c r="E3" s="57" cm="1">
        <f t="array" ref="E3">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 s="57">
        <f>IF(OR(GRADES[[#This Row],[AvailableToAllSchools]]=TRUE,GRADES[[#This Row],[AvailableToAllSchools]]=FALSE),IF(OR(GRADES[[#This Row],[PayScaleGradeEnabled]]=TRUE,GRADES[[#This Row],[PayScaleGradeEnabled]]=FALSE),0,1),1)</f>
        <v>0</v>
      </c>
      <c r="G3" s="57">
        <f>(COUNTBLANK(GRADES[[#This Row],[PayScaleGradeCode]:[AvailableToAllSchools]])+COUNTBLANK(GRADES[[#This Row],[PayScaleGradeEnabled]]))</f>
        <v>0</v>
      </c>
      <c r="H3" s="57">
        <f>IF(LEN(GRADES[[#This Row],[PayScaleGradeCode]])&lt;100,0,1)</f>
        <v>0</v>
      </c>
      <c r="I3" s="57">
        <f>IF(LEN(GRADES[[#This Row],[Title]])&lt;100,0,1)</f>
        <v>0</v>
      </c>
      <c r="J3" s="57">
        <f>IF(SUBSTITUTE(TEXT(GRADES[[#This Row],[PayScaleGradeCode]],10)," ","")=TEXT(GRADES[[#This Row],[PayScaleGradeCode]],10),0,1)</f>
        <v>0</v>
      </c>
      <c r="K3" s="57">
        <f>SUM(GRADES[[#This Row],[Pay Scale issue]:[Schools Check]],GRADES[[#This Row],[TRUE /FALSE Typo]:[Space in Code]])</f>
        <v>0</v>
      </c>
      <c r="L3" s="57" t="str">
        <f>_xlfn.XLOOKUP(GRADES[[#This Row],[PayScaleCode]],PAYSCALES[PayScaleCode],PAYSCALES[London Weighting])</f>
        <v>England &amp; Wales</v>
      </c>
      <c r="N3" s="111" t="s">
        <v>1443</v>
      </c>
      <c r="O3" s="12" t="s">
        <v>1444</v>
      </c>
      <c r="P3" s="12" t="s">
        <v>1381</v>
      </c>
      <c r="Q3" s="12" t="s">
        <v>1441</v>
      </c>
      <c r="R3" s="12" t="s">
        <v>1445</v>
      </c>
      <c r="S3" s="57" cm="1">
        <f t="array" ref="S3">LOOKUP(2,1/(PSPOINTS[PayScaleCode]=GRADES[[#This Row],[PayScaleCode]])/(PSPOINTS[PayScalePointCode]=GRADES[[#This Row],[Point From (Check)]]),(PSPOINTS[ScalePointNumber]))</f>
        <v>1</v>
      </c>
      <c r="T3" s="57" cm="1">
        <f t="array" ref="T3">LOOKUP(2,1/(PSPOINTS[PayScaleCode]=GRADES[[#This Row],[PayScaleCode]])/(PSPOINTS[PayScalePointCode]=GRADES[[#This Row],[Point To (Check)]]),(PSPOINTS[ScalePointNumber]))</f>
        <v>6</v>
      </c>
      <c r="U3" s="12" t="b">
        <v>1</v>
      </c>
      <c r="V3" s="10"/>
      <c r="W3" s="12" t="b">
        <v>1</v>
      </c>
    </row>
    <row r="4" spans="1:23" x14ac:dyDescent="0.25">
      <c r="A4" s="57" t="str">
        <f>IF(COUNTIF('19_PayScales'!N:N,'22_PayScaleGrades'!P4)&gt;0,"0","1")</f>
        <v>0</v>
      </c>
      <c r="B4" s="57">
        <f>COUNTIF(GRADES[PayScaleGradeCode],GRADES[[#This Row],[PayScaleGradeCode]])-1</f>
        <v>0</v>
      </c>
      <c r="C4" s="57" cm="1">
        <f t="array" ref="C4">IF(GRADES[[#This Row],[AvailableToAllSchools]]=FALSE,IF(ISBLANK(GRADES[[#This Row],[SchoolCodes]]),1,IF(AND(COUNTIF(SCHOOLS[SchoolCode],_xlfn.TEXTSPLIT(GRADES[[#This Row],[SchoolCodes]],","))),0,1)),IF(GRADES[[#This Row],[AvailableToAllSchools]]=TRUE,IF(ISBLANK(GRADES[[#This Row],[SchoolCodes]]),0,1)))</f>
        <v>0</v>
      </c>
      <c r="D4" s="57"/>
      <c r="E4" s="57" cm="1">
        <f t="array" ref="E4">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4" s="57">
        <f>IF(OR(GRADES[[#This Row],[AvailableToAllSchools]]=TRUE,GRADES[[#This Row],[AvailableToAllSchools]]=FALSE),IF(OR(GRADES[[#This Row],[PayScaleGradeEnabled]]=TRUE,GRADES[[#This Row],[PayScaleGradeEnabled]]=FALSE),0,1),1)</f>
        <v>0</v>
      </c>
      <c r="G4" s="57">
        <f>(COUNTBLANK(GRADES[[#This Row],[PayScaleGradeCode]:[AvailableToAllSchools]])+COUNTBLANK(GRADES[[#This Row],[PayScaleGradeEnabled]]))</f>
        <v>0</v>
      </c>
      <c r="H4" s="57">
        <f>IF(LEN(GRADES[[#This Row],[PayScaleGradeCode]])&lt;100,0,1)</f>
        <v>0</v>
      </c>
      <c r="I4" s="57">
        <f>IF(LEN(GRADES[[#This Row],[Title]])&lt;100,0,1)</f>
        <v>0</v>
      </c>
      <c r="J4" s="57">
        <f>IF(SUBSTITUTE(TEXT(GRADES[[#This Row],[PayScaleGradeCode]],10)," ","")=TEXT(GRADES[[#This Row],[PayScaleGradeCode]],10),0,1)</f>
        <v>0</v>
      </c>
      <c r="K4" s="57">
        <f>SUM(GRADES[[#This Row],[Pay Scale issue]:[Schools Check]],GRADES[[#This Row],[TRUE /FALSE Typo]:[Space in Code]])</f>
        <v>0</v>
      </c>
      <c r="L4" s="57" t="str">
        <f>_xlfn.XLOOKUP(GRADES[[#This Row],[PayScaleCode]],PAYSCALES[PayScaleCode],PAYSCALES[London Weighting])</f>
        <v>England &amp; Wales</v>
      </c>
      <c r="N4" s="111" t="s">
        <v>1446</v>
      </c>
      <c r="O4" s="12" t="s">
        <v>1447</v>
      </c>
      <c r="P4" s="12" t="s">
        <v>1381</v>
      </c>
      <c r="Q4" s="12" t="s">
        <v>1448</v>
      </c>
      <c r="R4" s="12" t="s">
        <v>1442</v>
      </c>
      <c r="S4" s="57" cm="1">
        <f t="array" ref="S4">LOOKUP(2,1/(PSPOINTS[PayScaleCode]=GRADES[[#This Row],[PayScaleCode]])/(PSPOINTS[PayScalePointCode]=GRADES[[#This Row],[Point From (Check)]]),(PSPOINTS[ScalePointNumber]))</f>
        <v>7</v>
      </c>
      <c r="T4" s="57" cm="1">
        <f t="array" ref="T4">LOOKUP(2,1/(PSPOINTS[PayScaleCode]=GRADES[[#This Row],[PayScaleCode]])/(PSPOINTS[PayScalePointCode]=GRADES[[#This Row],[Point To (Check)]]),(PSPOINTS[ScalePointNumber]))</f>
        <v>11</v>
      </c>
      <c r="U4" s="12" t="b">
        <v>1</v>
      </c>
      <c r="W4" s="12" t="b">
        <v>1</v>
      </c>
    </row>
    <row r="5" spans="1:23" x14ac:dyDescent="0.25">
      <c r="A5" s="57" t="str">
        <f>IF(COUNTIF('19_PayScales'!N:N,'22_PayScaleGrades'!P5)&gt;0,"0","1")</f>
        <v>0</v>
      </c>
      <c r="B5" s="57">
        <f>COUNTIF(GRADES[PayScaleGradeCode],GRADES[[#This Row],[PayScaleGradeCode]])-1</f>
        <v>0</v>
      </c>
      <c r="C5" s="57" cm="1">
        <f t="array" ref="C5">IF(GRADES[[#This Row],[AvailableToAllSchools]]=FALSE,IF(ISBLANK(GRADES[[#This Row],[SchoolCodes]]),1,IF(AND(COUNTIF(SCHOOLS[SchoolCode],_xlfn.TEXTSPLIT(GRADES[[#This Row],[SchoolCodes]],","))),0,1)),IF(GRADES[[#This Row],[AvailableToAllSchools]]=TRUE,IF(ISBLANK(GRADES[[#This Row],[SchoolCodes]]),0,1)))</f>
        <v>0</v>
      </c>
      <c r="D5" s="57"/>
      <c r="E5" s="57" cm="1">
        <f t="array" ref="E5">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5" s="57">
        <f>IF(OR(GRADES[[#This Row],[AvailableToAllSchools]]=TRUE,GRADES[[#This Row],[AvailableToAllSchools]]=FALSE),IF(OR(GRADES[[#This Row],[PayScaleGradeEnabled]]=TRUE,GRADES[[#This Row],[PayScaleGradeEnabled]]=FALSE),0,1),1)</f>
        <v>0</v>
      </c>
      <c r="G5" s="57">
        <f>(COUNTBLANK(GRADES[[#This Row],[PayScaleGradeCode]:[AvailableToAllSchools]])+COUNTBLANK(GRADES[[#This Row],[PayScaleGradeEnabled]]))</f>
        <v>0</v>
      </c>
      <c r="H5" s="57">
        <f>IF(LEN(GRADES[[#This Row],[PayScaleGradeCode]])&lt;100,0,1)</f>
        <v>0</v>
      </c>
      <c r="I5" s="57">
        <f>IF(LEN(GRADES[[#This Row],[Title]])&lt;100,0,1)</f>
        <v>0</v>
      </c>
      <c r="J5" s="57">
        <f>IF(SUBSTITUTE(TEXT(GRADES[[#This Row],[PayScaleGradeCode]],10)," ","")=TEXT(GRADES[[#This Row],[PayScaleGradeCode]],10),0,1)</f>
        <v>0</v>
      </c>
      <c r="K5" s="57">
        <f>SUM(GRADES[[#This Row],[Pay Scale issue]:[Schools Check]],GRADES[[#This Row],[TRUE /FALSE Typo]:[Space in Code]])</f>
        <v>0</v>
      </c>
      <c r="L5" s="57" t="str">
        <f>_xlfn.XLOOKUP(GRADES[[#This Row],[PayScaleCode]],PAYSCALES[PayScaleCode],PAYSCALES[London Weighting])</f>
        <v>England &amp; Wales</v>
      </c>
      <c r="N5" s="12" t="s">
        <v>1449</v>
      </c>
      <c r="O5" s="12" t="s">
        <v>1450</v>
      </c>
      <c r="P5" s="12" t="s">
        <v>1386</v>
      </c>
      <c r="Q5" s="12" t="s">
        <v>1451</v>
      </c>
      <c r="R5" s="12" t="s">
        <v>1452</v>
      </c>
      <c r="S5" s="57" cm="1">
        <f t="array" ref="S5">LOOKUP(2,1/(PSPOINTS[PayScaleCode]=GRADES[[#This Row],[PayScaleCode]])/(PSPOINTS[PayScalePointCode]=GRADES[[#This Row],[Point From (Check)]]),(PSPOINTS[ScalePointNumber]))</f>
        <v>1</v>
      </c>
      <c r="T5" s="57" cm="1">
        <f t="array" ref="T5">LOOKUP(2,1/(PSPOINTS[PayScaleCode]=GRADES[[#This Row],[PayScaleCode]])/(PSPOINTS[PayScalePointCode]=GRADES[[#This Row],[Point To (Check)]]),(PSPOINTS[ScalePointNumber]))</f>
        <v>6</v>
      </c>
      <c r="U5" s="12" t="b">
        <v>1</v>
      </c>
      <c r="W5" s="12" t="b">
        <v>1</v>
      </c>
    </row>
    <row r="6" spans="1:23" x14ac:dyDescent="0.25">
      <c r="A6" s="57" t="str">
        <f>IF(COUNTIF('19_PayScales'!N:N,'22_PayScaleGrades'!P6)&gt;0,"0","1")</f>
        <v>0</v>
      </c>
      <c r="B6" s="57">
        <f>COUNTIF(GRADES[PayScaleGradeCode],GRADES[[#This Row],[PayScaleGradeCode]])-1</f>
        <v>0</v>
      </c>
      <c r="C6" s="57" cm="1">
        <f t="array" ref="C6">IF(GRADES[[#This Row],[AvailableToAllSchools]]=FALSE,IF(ISBLANK(GRADES[[#This Row],[SchoolCodes]]),1,IF(AND(COUNTIF(SCHOOLS[SchoolCode],_xlfn.TEXTSPLIT(GRADES[[#This Row],[SchoolCodes]],","))),0,1)),IF(GRADES[[#This Row],[AvailableToAllSchools]]=TRUE,IF(ISBLANK(GRADES[[#This Row],[SchoolCodes]]),0,1)))</f>
        <v>0</v>
      </c>
      <c r="D6" s="57"/>
      <c r="E6" s="57" cm="1">
        <f t="array" ref="E6">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6" s="57">
        <f>IF(OR(GRADES[[#This Row],[AvailableToAllSchools]]=TRUE,GRADES[[#This Row],[AvailableToAllSchools]]=FALSE),IF(OR(GRADES[[#This Row],[PayScaleGradeEnabled]]=TRUE,GRADES[[#This Row],[PayScaleGradeEnabled]]=FALSE),0,1),1)</f>
        <v>0</v>
      </c>
      <c r="G6" s="57">
        <f>(COUNTBLANK(GRADES[[#This Row],[PayScaleGradeCode]:[AvailableToAllSchools]])+COUNTBLANK(GRADES[[#This Row],[PayScaleGradeEnabled]]))</f>
        <v>0</v>
      </c>
      <c r="H6" s="57">
        <f>IF(LEN(GRADES[[#This Row],[PayScaleGradeCode]])&lt;100,0,1)</f>
        <v>0</v>
      </c>
      <c r="I6" s="57">
        <f>IF(LEN(GRADES[[#This Row],[Title]])&lt;100,0,1)</f>
        <v>0</v>
      </c>
      <c r="J6" s="57">
        <f>IF(SUBSTITUTE(TEXT(GRADES[[#This Row],[PayScaleGradeCode]],10)," ","")=TEXT(GRADES[[#This Row],[PayScaleGradeCode]],10),0,1)</f>
        <v>0</v>
      </c>
      <c r="K6" s="57">
        <f>SUM(GRADES[[#This Row],[Pay Scale issue]:[Schools Check]],GRADES[[#This Row],[TRUE /FALSE Typo]:[Space in Code]])</f>
        <v>0</v>
      </c>
      <c r="L6" s="57" t="str">
        <f>_xlfn.XLOOKUP(GRADES[[#This Row],[PayScaleCode]],PAYSCALES[PayScaleCode],PAYSCALES[London Weighting])</f>
        <v>England &amp; Wales</v>
      </c>
      <c r="N6" s="12" t="s">
        <v>1453</v>
      </c>
      <c r="O6" s="12" t="s">
        <v>1454</v>
      </c>
      <c r="P6" s="12" t="s">
        <v>1388</v>
      </c>
      <c r="Q6" s="12" t="s">
        <v>1455</v>
      </c>
      <c r="R6" s="12" t="s">
        <v>1456</v>
      </c>
      <c r="S6" s="57" cm="1">
        <f t="array" ref="S6">LOOKUP(2,1/(PSPOINTS[PayScaleCode]=GRADES[[#This Row],[PayScaleCode]])/(PSPOINTS[PayScalePointCode]=GRADES[[#This Row],[Point From (Check)]]),(PSPOINTS[ScalePointNumber]))</f>
        <v>1</v>
      </c>
      <c r="T6" s="57" cm="1">
        <f t="array" ref="T6">LOOKUP(2,1/(PSPOINTS[PayScaleCode]=GRADES[[#This Row],[PayScaleCode]])/(PSPOINTS[PayScalePointCode]=GRADES[[#This Row],[Point To (Check)]]),(PSPOINTS[ScalePointNumber]))</f>
        <v>43</v>
      </c>
      <c r="U6" s="12" t="b">
        <v>1</v>
      </c>
      <c r="W6" s="12" t="b">
        <v>1</v>
      </c>
    </row>
    <row r="7" spans="1:23" x14ac:dyDescent="0.25">
      <c r="A7" s="57" t="str">
        <f>IF(COUNTIF('19_PayScales'!N:N,'22_PayScaleGrades'!P7)&gt;0,"0","1")</f>
        <v>0</v>
      </c>
      <c r="B7" s="57">
        <f>COUNTIF(GRADES[PayScaleGradeCode],GRADES[[#This Row],[PayScaleGradeCode]])-1</f>
        <v>0</v>
      </c>
      <c r="C7" s="57" cm="1">
        <f t="array" ref="C7">IF(GRADES[[#This Row],[AvailableToAllSchools]]=FALSE,IF(ISBLANK(GRADES[[#This Row],[SchoolCodes]]),1,IF(AND(COUNTIF(SCHOOLS[SchoolCode],_xlfn.TEXTSPLIT(GRADES[[#This Row],[SchoolCodes]],","))),0,1)),IF(GRADES[[#This Row],[AvailableToAllSchools]]=TRUE,IF(ISBLANK(GRADES[[#This Row],[SchoolCodes]]),0,1)))</f>
        <v>0</v>
      </c>
      <c r="D7" s="57"/>
      <c r="E7" s="57" cm="1">
        <f t="array" ref="E7">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7" s="57">
        <f>IF(OR(GRADES[[#This Row],[AvailableToAllSchools]]=TRUE,GRADES[[#This Row],[AvailableToAllSchools]]=FALSE),IF(OR(GRADES[[#This Row],[PayScaleGradeEnabled]]=TRUE,GRADES[[#This Row],[PayScaleGradeEnabled]]=FALSE),0,1),1)</f>
        <v>0</v>
      </c>
      <c r="G7" s="57">
        <f>(COUNTBLANK(GRADES[[#This Row],[PayScaleGradeCode]:[AvailableToAllSchools]])+COUNTBLANK(GRADES[[#This Row],[PayScaleGradeEnabled]]))</f>
        <v>0</v>
      </c>
      <c r="H7" s="57">
        <f>IF(LEN(GRADES[[#This Row],[PayScaleGradeCode]])&lt;100,0,1)</f>
        <v>0</v>
      </c>
      <c r="I7" s="57">
        <f>IF(LEN(GRADES[[#This Row],[Title]])&lt;100,0,1)</f>
        <v>0</v>
      </c>
      <c r="J7" s="57">
        <f>IF(SUBSTITUTE(TEXT(GRADES[[#This Row],[PayScaleGradeCode]],10)," ","")=TEXT(GRADES[[#This Row],[PayScaleGradeCode]],10),0,1)</f>
        <v>0</v>
      </c>
      <c r="K7" s="57">
        <f>SUM(GRADES[[#This Row],[Pay Scale issue]:[Schools Check]],GRADES[[#This Row],[TRUE /FALSE Typo]:[Space in Code]])</f>
        <v>0</v>
      </c>
      <c r="L7" s="57" t="str">
        <f>_xlfn.XLOOKUP(GRADES[[#This Row],[PayScaleCode]],PAYSCALES[PayScaleCode],PAYSCALES[London Weighting])</f>
        <v>England &amp; Wales</v>
      </c>
      <c r="N7" s="12" t="s">
        <v>1457</v>
      </c>
      <c r="O7" s="12" t="s">
        <v>1458</v>
      </c>
      <c r="P7" s="12" t="s">
        <v>1384</v>
      </c>
      <c r="Q7" s="12" t="s">
        <v>1459</v>
      </c>
      <c r="R7" s="12" t="s">
        <v>1460</v>
      </c>
      <c r="S7" s="57" cm="1">
        <f t="array" ref="S7">LOOKUP(2,1/(PSPOINTS[PayScaleCode]=GRADES[[#This Row],[PayScaleCode]])/(PSPOINTS[PayScalePointCode]=GRADES[[#This Row],[Point From (Check)]]),(PSPOINTS[ScalePointNumber]))</f>
        <v>1</v>
      </c>
      <c r="T7" s="57" cm="1">
        <f t="array" ref="T7">LOOKUP(2,1/(PSPOINTS[PayScaleCode]=GRADES[[#This Row],[PayScaleCode]])/(PSPOINTS[PayScalePointCode]=GRADES[[#This Row],[Point To (Check)]]),(PSPOINTS[ScalePointNumber]))</f>
        <v>18</v>
      </c>
      <c r="U7" s="12" t="b">
        <v>1</v>
      </c>
      <c r="W7" s="12" t="b">
        <v>1</v>
      </c>
    </row>
    <row r="8" spans="1:23" x14ac:dyDescent="0.25">
      <c r="A8" s="57" t="str">
        <f>IF(COUNTIF('19_PayScales'!N:N,'22_PayScaleGrades'!P8)&gt;0,"0","1")</f>
        <v>0</v>
      </c>
      <c r="B8" s="57">
        <f>COUNTIF(GRADES[PayScaleGradeCode],GRADES[[#This Row],[PayScaleGradeCode]])-1</f>
        <v>0</v>
      </c>
      <c r="C8" s="57" cm="1">
        <f t="array" ref="C8">IF(GRADES[[#This Row],[AvailableToAllSchools]]=FALSE,IF(ISBLANK(GRADES[[#This Row],[SchoolCodes]]),1,IF(AND(COUNTIF(SCHOOLS[SchoolCode],_xlfn.TEXTSPLIT(GRADES[[#This Row],[SchoolCodes]],","))),0,1)),IF(GRADES[[#This Row],[AvailableToAllSchools]]=TRUE,IF(ISBLANK(GRADES[[#This Row],[SchoolCodes]]),0,1)))</f>
        <v>0</v>
      </c>
      <c r="D8" s="57"/>
      <c r="E8" s="57" cm="1">
        <f t="array" ref="E8">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8" s="57">
        <f>IF(OR(GRADES[[#This Row],[AvailableToAllSchools]]=TRUE,GRADES[[#This Row],[AvailableToAllSchools]]=FALSE),IF(OR(GRADES[[#This Row],[PayScaleGradeEnabled]]=TRUE,GRADES[[#This Row],[PayScaleGradeEnabled]]=FALSE),0,1),1)</f>
        <v>0</v>
      </c>
      <c r="G8" s="57">
        <f>(COUNTBLANK(GRADES[[#This Row],[PayScaleGradeCode]:[AvailableToAllSchools]])+COUNTBLANK(GRADES[[#This Row],[PayScaleGradeEnabled]]))</f>
        <v>0</v>
      </c>
      <c r="H8" s="57">
        <f>IF(LEN(GRADES[[#This Row],[PayScaleGradeCode]])&lt;100,0,1)</f>
        <v>0</v>
      </c>
      <c r="I8" s="57">
        <f>IF(LEN(GRADES[[#This Row],[Title]])&lt;100,0,1)</f>
        <v>0</v>
      </c>
      <c r="J8" s="57">
        <f>IF(SUBSTITUTE(TEXT(GRADES[[#This Row],[PayScaleGradeCode]],10)," ","")=TEXT(GRADES[[#This Row],[PayScaleGradeCode]],10),0,1)</f>
        <v>0</v>
      </c>
      <c r="K8" s="57">
        <f>SUM(GRADES[[#This Row],[Pay Scale issue]:[Schools Check]],GRADES[[#This Row],[TRUE /FALSE Typo]:[Space in Code]])</f>
        <v>0</v>
      </c>
      <c r="L8" s="57" t="str">
        <f>_xlfn.XLOOKUP(GRADES[[#This Row],[PayScaleCode]],PAYSCALES[PayScaleCode],PAYSCALES[London Weighting])</f>
        <v>England &amp; Wales</v>
      </c>
      <c r="N8" s="12" t="s">
        <v>1390</v>
      </c>
      <c r="O8" s="12" t="s">
        <v>1391</v>
      </c>
      <c r="P8" s="12" t="s">
        <v>1390</v>
      </c>
      <c r="Q8" s="12">
        <v>1</v>
      </c>
      <c r="R8" s="12">
        <v>43</v>
      </c>
      <c r="S8" s="57" cm="1">
        <f t="array" ref="S8">LOOKUP(2,1/(PSPOINTS[PayScaleCode]=GRADES[[#This Row],[PayScaleCode]])/(PSPOINTS[PayScalePointCode]=GRADES[[#This Row],[Point From (Check)]]),(PSPOINTS[ScalePointNumber]))</f>
        <v>1</v>
      </c>
      <c r="T8" s="57" cm="1">
        <f t="array" ref="T8">LOOKUP(2,1/(PSPOINTS[PayScaleCode]=GRADES[[#This Row],[PayScaleCode]])/(PSPOINTS[PayScalePointCode]=GRADES[[#This Row],[Point To (Check)]]),(PSPOINTS[ScalePointNumber]))</f>
        <v>43</v>
      </c>
      <c r="U8" s="12" t="b">
        <v>1</v>
      </c>
      <c r="W8" s="12" t="b">
        <v>1</v>
      </c>
    </row>
    <row r="9" spans="1:23" x14ac:dyDescent="0.25">
      <c r="A9" s="57" t="str">
        <f>IF(COUNTIF('19_PayScales'!N:N,'22_PayScaleGrades'!P9)&gt;0,"0","1")</f>
        <v>0</v>
      </c>
      <c r="B9" s="57">
        <f>COUNTIF(GRADES[PayScaleGradeCode],GRADES[[#This Row],[PayScaleGradeCode]])-1</f>
        <v>0</v>
      </c>
      <c r="C9" s="57" cm="1">
        <f t="array" ref="C9">IF(GRADES[[#This Row],[AvailableToAllSchools]]=FALSE,IF(ISBLANK(GRADES[[#This Row],[SchoolCodes]]),1,IF(AND(COUNTIF(SCHOOLS[SchoolCode],_xlfn.TEXTSPLIT(GRADES[[#This Row],[SchoolCodes]],","))),0,1)),IF(GRADES[[#This Row],[AvailableToAllSchools]]=TRUE,IF(ISBLANK(GRADES[[#This Row],[SchoolCodes]]),0,1)))</f>
        <v>0</v>
      </c>
      <c r="D9" s="57"/>
      <c r="E9" s="57" cm="1">
        <f t="array" ref="E9">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9" s="57">
        <f>IF(OR(GRADES[[#This Row],[AvailableToAllSchools]]=TRUE,GRADES[[#This Row],[AvailableToAllSchools]]=FALSE),IF(OR(GRADES[[#This Row],[PayScaleGradeEnabled]]=TRUE,GRADES[[#This Row],[PayScaleGradeEnabled]]=FALSE),0,1),1)</f>
        <v>0</v>
      </c>
      <c r="G9" s="57">
        <f>(COUNTBLANK(GRADES[[#This Row],[PayScaleGradeCode]:[AvailableToAllSchools]])+COUNTBLANK(GRADES[[#This Row],[PayScaleGradeEnabled]]))</f>
        <v>0</v>
      </c>
      <c r="H9" s="57">
        <f>IF(LEN(GRADES[[#This Row],[PayScaleGradeCode]])&lt;100,0,1)</f>
        <v>0</v>
      </c>
      <c r="I9" s="57">
        <f>IF(LEN(GRADES[[#This Row],[Title]])&lt;100,0,1)</f>
        <v>0</v>
      </c>
      <c r="J9" s="57">
        <f>IF(SUBSTITUTE(TEXT(GRADES[[#This Row],[PayScaleGradeCode]],10)," ","")=TEXT(GRADES[[#This Row],[PayScaleGradeCode]],10),0,1)</f>
        <v>0</v>
      </c>
      <c r="K9" s="57">
        <f>SUM(GRADES[[#This Row],[Pay Scale issue]:[Schools Check]],GRADES[[#This Row],[TRUE /FALSE Typo]:[Space in Code]])</f>
        <v>0</v>
      </c>
      <c r="L9" s="57" t="str">
        <f>_xlfn.XLOOKUP(GRADES[[#This Row],[PayScaleCode]],PAYSCALES[PayScaleCode],PAYSCALES[London Weighting])</f>
        <v>England &amp; Wales</v>
      </c>
      <c r="N9" s="123" t="s">
        <v>1461</v>
      </c>
      <c r="O9" s="12" t="s">
        <v>1462</v>
      </c>
      <c r="P9" s="12" t="s">
        <v>1423</v>
      </c>
      <c r="Q9" s="12" t="s">
        <v>1463</v>
      </c>
      <c r="R9" s="12" t="s">
        <v>1463</v>
      </c>
      <c r="S9" s="57" cm="1">
        <f t="array" ref="S9">LOOKUP(2,1/(PSPOINTS[PayScaleCode]=GRADES[[#This Row],[PayScaleCode]])/(PSPOINTS[PayScalePointCode]=GRADES[[#This Row],[Point From (Check)]]),(PSPOINTS[ScalePointNumber]))</f>
        <v>1</v>
      </c>
      <c r="T9" s="57" cm="1">
        <f t="array" ref="T9">LOOKUP(2,1/(PSPOINTS[PayScaleCode]=GRADES[[#This Row],[PayScaleCode]])/(PSPOINTS[PayScalePointCode]=GRADES[[#This Row],[Point To (Check)]]),(PSPOINTS[ScalePointNumber]))</f>
        <v>1</v>
      </c>
      <c r="U9" s="12" t="b">
        <v>1</v>
      </c>
      <c r="W9" s="12" t="b">
        <v>1</v>
      </c>
    </row>
    <row r="10" spans="1:23" x14ac:dyDescent="0.25">
      <c r="A10" s="57" t="str">
        <f>IF(COUNTIF('19_PayScales'!N:N,'22_PayScaleGrades'!P10)&gt;0,"0","1")</f>
        <v>0</v>
      </c>
      <c r="B10" s="57">
        <f>COUNTIF(GRADES[PayScaleGradeCode],GRADES[[#This Row],[PayScaleGradeCode]])-1</f>
        <v>0</v>
      </c>
      <c r="C10" s="57" cm="1">
        <f t="array" ref="C10">IF(GRADES[[#This Row],[AvailableToAllSchools]]=FALSE,IF(ISBLANK(GRADES[[#This Row],[SchoolCodes]]),1,IF(AND(COUNTIF(SCHOOLS[SchoolCode],_xlfn.TEXTSPLIT(GRADES[[#This Row],[SchoolCodes]],","))),0,1)),IF(GRADES[[#This Row],[AvailableToAllSchools]]=TRUE,IF(ISBLANK(GRADES[[#This Row],[SchoolCodes]]),0,1)))</f>
        <v>0</v>
      </c>
      <c r="D10" s="57"/>
      <c r="E10" s="57" cm="1">
        <f t="array" ref="E10">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0" s="57">
        <f>IF(OR(GRADES[[#This Row],[AvailableToAllSchools]]=TRUE,GRADES[[#This Row],[AvailableToAllSchools]]=FALSE),IF(OR(GRADES[[#This Row],[PayScaleGradeEnabled]]=TRUE,GRADES[[#This Row],[PayScaleGradeEnabled]]=FALSE),0,1),1)</f>
        <v>0</v>
      </c>
      <c r="G10" s="57">
        <f>(COUNTBLANK(GRADES[[#This Row],[PayScaleGradeCode]:[AvailableToAllSchools]])+COUNTBLANK(GRADES[[#This Row],[PayScaleGradeEnabled]]))</f>
        <v>0</v>
      </c>
      <c r="H10" s="57">
        <f>IF(LEN(GRADES[[#This Row],[PayScaleGradeCode]])&lt;100,0,1)</f>
        <v>0</v>
      </c>
      <c r="I10" s="57">
        <f>IF(LEN(GRADES[[#This Row],[Title]])&lt;100,0,1)</f>
        <v>0</v>
      </c>
      <c r="J10" s="57">
        <f>IF(SUBSTITUTE(TEXT(GRADES[[#This Row],[PayScaleGradeCode]],10)," ","")=TEXT(GRADES[[#This Row],[PayScaleGradeCode]],10),0,1)</f>
        <v>0</v>
      </c>
      <c r="K10" s="57">
        <f>SUM(GRADES[[#This Row],[Pay Scale issue]:[Schools Check]],GRADES[[#This Row],[TRUE /FALSE Typo]:[Space in Code]])</f>
        <v>0</v>
      </c>
      <c r="L10" s="57" t="str">
        <f>_xlfn.XLOOKUP(GRADES[[#This Row],[PayScaleCode]],PAYSCALES[PayScaleCode],PAYSCALES[London Weighting])</f>
        <v>England &amp; Wales</v>
      </c>
      <c r="N10" s="123" t="s">
        <v>1464</v>
      </c>
      <c r="O10" s="12" t="s">
        <v>1465</v>
      </c>
      <c r="P10" s="12" t="s">
        <v>1423</v>
      </c>
      <c r="Q10" s="12" t="s">
        <v>1466</v>
      </c>
      <c r="R10" s="12" t="s">
        <v>1466</v>
      </c>
      <c r="S10" s="57" cm="1">
        <f t="array" ref="S10">LOOKUP(2,1/(PSPOINTS[PayScaleCode]=GRADES[[#This Row],[PayScaleCode]])/(PSPOINTS[PayScalePointCode]=GRADES[[#This Row],[Point From (Check)]]),(PSPOINTS[ScalePointNumber]))</f>
        <v>2</v>
      </c>
      <c r="T10" s="57" cm="1">
        <f t="array" ref="T10">LOOKUP(2,1/(PSPOINTS[PayScaleCode]=GRADES[[#This Row],[PayScaleCode]])/(PSPOINTS[PayScalePointCode]=GRADES[[#This Row],[Point To (Check)]]),(PSPOINTS[ScalePointNumber]))</f>
        <v>2</v>
      </c>
      <c r="U10" s="12" t="b">
        <v>1</v>
      </c>
      <c r="W10" s="12" t="b">
        <v>1</v>
      </c>
    </row>
    <row r="11" spans="1:23" x14ac:dyDescent="0.25">
      <c r="A11" s="57" t="str">
        <f>IF(COUNTIF('19_PayScales'!N:N,'22_PayScaleGrades'!P11)&gt;0,"0","1")</f>
        <v>0</v>
      </c>
      <c r="B11" s="57">
        <f>COUNTIF(GRADES[PayScaleGradeCode],GRADES[[#This Row],[PayScaleGradeCode]])-1</f>
        <v>0</v>
      </c>
      <c r="C11" s="57" cm="1">
        <f t="array" ref="C11">IF(GRADES[[#This Row],[AvailableToAllSchools]]=FALSE,IF(ISBLANK(GRADES[[#This Row],[SchoolCodes]]),1,IF(AND(COUNTIF(SCHOOLS[SchoolCode],_xlfn.TEXTSPLIT(GRADES[[#This Row],[SchoolCodes]],","))),0,1)),IF(GRADES[[#This Row],[AvailableToAllSchools]]=TRUE,IF(ISBLANK(GRADES[[#This Row],[SchoolCodes]]),0,1)))</f>
        <v>0</v>
      </c>
      <c r="D11" s="57"/>
      <c r="E11" s="57" cm="1">
        <f t="array" ref="E11">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1" s="57">
        <f>IF(OR(GRADES[[#This Row],[AvailableToAllSchools]]=TRUE,GRADES[[#This Row],[AvailableToAllSchools]]=FALSE),IF(OR(GRADES[[#This Row],[PayScaleGradeEnabled]]=TRUE,GRADES[[#This Row],[PayScaleGradeEnabled]]=FALSE),0,1),1)</f>
        <v>0</v>
      </c>
      <c r="G11" s="57">
        <f>(COUNTBLANK(GRADES[[#This Row],[PayScaleGradeCode]:[AvailableToAllSchools]])+COUNTBLANK(GRADES[[#This Row],[PayScaleGradeEnabled]]))</f>
        <v>0</v>
      </c>
      <c r="H11" s="57">
        <f>IF(LEN(GRADES[[#This Row],[PayScaleGradeCode]])&lt;100,0,1)</f>
        <v>0</v>
      </c>
      <c r="I11" s="57">
        <f>IF(LEN(GRADES[[#This Row],[Title]])&lt;100,0,1)</f>
        <v>0</v>
      </c>
      <c r="J11" s="57">
        <f>IF(SUBSTITUTE(TEXT(GRADES[[#This Row],[PayScaleGradeCode]],10)," ","")=TEXT(GRADES[[#This Row],[PayScaleGradeCode]],10),0,1)</f>
        <v>0</v>
      </c>
      <c r="K11" s="57">
        <f>SUM(GRADES[[#This Row],[Pay Scale issue]:[Schools Check]],GRADES[[#This Row],[TRUE /FALSE Typo]:[Space in Code]])</f>
        <v>0</v>
      </c>
      <c r="L11" s="57" t="str">
        <f>_xlfn.XLOOKUP(GRADES[[#This Row],[PayScaleCode]],PAYSCALES[PayScaleCode],PAYSCALES[London Weighting])</f>
        <v>England &amp; Wales</v>
      </c>
      <c r="N11" s="123" t="s">
        <v>1467</v>
      </c>
      <c r="O11" s="12" t="s">
        <v>1468</v>
      </c>
      <c r="P11" s="12" t="s">
        <v>1423</v>
      </c>
      <c r="Q11" s="12" t="s">
        <v>1469</v>
      </c>
      <c r="R11" s="12" t="s">
        <v>1469</v>
      </c>
      <c r="S11" s="57" cm="1">
        <f t="array" ref="S11">LOOKUP(2,1/(PSPOINTS[PayScaleCode]=GRADES[[#This Row],[PayScaleCode]])/(PSPOINTS[PayScalePointCode]=GRADES[[#This Row],[Point From (Check)]]),(PSPOINTS[ScalePointNumber]))</f>
        <v>3</v>
      </c>
      <c r="T11" s="57" cm="1">
        <f t="array" ref="T11">LOOKUP(2,1/(PSPOINTS[PayScaleCode]=GRADES[[#This Row],[PayScaleCode]])/(PSPOINTS[PayScalePointCode]=GRADES[[#This Row],[Point To (Check)]]),(PSPOINTS[ScalePointNumber]))</f>
        <v>3</v>
      </c>
      <c r="U11" s="12" t="b">
        <v>1</v>
      </c>
      <c r="W11" s="12" t="b">
        <v>1</v>
      </c>
    </row>
    <row r="12" spans="1:23" x14ac:dyDescent="0.25">
      <c r="A12" s="57" t="str">
        <f>IF(COUNTIF('19_PayScales'!N:N,'22_PayScaleGrades'!P12)&gt;0,"0","1")</f>
        <v>0</v>
      </c>
      <c r="B12" s="57">
        <f>COUNTIF(GRADES[PayScaleGradeCode],GRADES[[#This Row],[PayScaleGradeCode]])-1</f>
        <v>0</v>
      </c>
      <c r="C12" s="57" cm="1">
        <f t="array" ref="C12">IF(GRADES[[#This Row],[AvailableToAllSchools]]=FALSE,IF(ISBLANK(GRADES[[#This Row],[SchoolCodes]]),1,IF(AND(COUNTIF(SCHOOLS[SchoolCode],_xlfn.TEXTSPLIT(GRADES[[#This Row],[SchoolCodes]],","))),0,1)),IF(GRADES[[#This Row],[AvailableToAllSchools]]=TRUE,IF(ISBLANK(GRADES[[#This Row],[SchoolCodes]]),0,1)))</f>
        <v>0</v>
      </c>
      <c r="D12" s="57"/>
      <c r="E12" s="57" cm="1">
        <f t="array" ref="E12">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2" s="57">
        <f>IF(OR(GRADES[[#This Row],[AvailableToAllSchools]]=TRUE,GRADES[[#This Row],[AvailableToAllSchools]]=FALSE),IF(OR(GRADES[[#This Row],[PayScaleGradeEnabled]]=TRUE,GRADES[[#This Row],[PayScaleGradeEnabled]]=FALSE),0,1),1)</f>
        <v>0</v>
      </c>
      <c r="G12" s="57">
        <f>(COUNTBLANK(GRADES[[#This Row],[PayScaleGradeCode]:[AvailableToAllSchools]])+COUNTBLANK(GRADES[[#This Row],[PayScaleGradeEnabled]]))</f>
        <v>0</v>
      </c>
      <c r="H12" s="57">
        <f>IF(LEN(GRADES[[#This Row],[PayScaleGradeCode]])&lt;100,0,1)</f>
        <v>0</v>
      </c>
      <c r="I12" s="57">
        <f>IF(LEN(GRADES[[#This Row],[Title]])&lt;100,0,1)</f>
        <v>0</v>
      </c>
      <c r="J12" s="57">
        <f>IF(SUBSTITUTE(TEXT(GRADES[[#This Row],[PayScaleGradeCode]],10)," ","")=TEXT(GRADES[[#This Row],[PayScaleGradeCode]],10),0,1)</f>
        <v>0</v>
      </c>
      <c r="K12" s="57">
        <f>SUM(GRADES[[#This Row],[Pay Scale issue]:[Schools Check]],GRADES[[#This Row],[TRUE /FALSE Typo]:[Space in Code]])</f>
        <v>0</v>
      </c>
      <c r="L12" s="57" t="str">
        <f>_xlfn.XLOOKUP(GRADES[[#This Row],[PayScaleCode]],PAYSCALES[PayScaleCode],PAYSCALES[London Weighting])</f>
        <v>England &amp; Wales</v>
      </c>
      <c r="N12" s="123" t="s">
        <v>1470</v>
      </c>
      <c r="O12" s="12" t="s">
        <v>1471</v>
      </c>
      <c r="P12" s="12" t="s">
        <v>1423</v>
      </c>
      <c r="Q12" s="12" t="s">
        <v>1472</v>
      </c>
      <c r="R12" s="12" t="s">
        <v>1472</v>
      </c>
      <c r="S12" s="57" cm="1">
        <f t="array" ref="S12">LOOKUP(2,1/(PSPOINTS[PayScaleCode]=GRADES[[#This Row],[PayScaleCode]])/(PSPOINTS[PayScalePointCode]=GRADES[[#This Row],[Point From (Check)]]),(PSPOINTS[ScalePointNumber]))</f>
        <v>4</v>
      </c>
      <c r="T12" s="57" cm="1">
        <f t="array" ref="T12">LOOKUP(2,1/(PSPOINTS[PayScaleCode]=GRADES[[#This Row],[PayScaleCode]])/(PSPOINTS[PayScalePointCode]=GRADES[[#This Row],[Point To (Check)]]),(PSPOINTS[ScalePointNumber]))</f>
        <v>4</v>
      </c>
      <c r="U12" s="12" t="b">
        <v>1</v>
      </c>
      <c r="W12" s="12" t="b">
        <v>1</v>
      </c>
    </row>
    <row r="13" spans="1:23" x14ac:dyDescent="0.25">
      <c r="A13" s="57" t="str">
        <f>IF(COUNTIF('19_PayScales'!N:N,'22_PayScaleGrades'!P13)&gt;0,"0","1")</f>
        <v>0</v>
      </c>
      <c r="B13" s="57">
        <f>COUNTIF(GRADES[PayScaleGradeCode],GRADES[[#This Row],[PayScaleGradeCode]])-1</f>
        <v>0</v>
      </c>
      <c r="C13" s="57" cm="1">
        <f t="array" ref="C13">IF(GRADES[[#This Row],[AvailableToAllSchools]]=FALSE,IF(ISBLANK(GRADES[[#This Row],[SchoolCodes]]),1,IF(AND(COUNTIF(SCHOOLS[SchoolCode],_xlfn.TEXTSPLIT(GRADES[[#This Row],[SchoolCodes]],","))),0,1)),IF(GRADES[[#This Row],[AvailableToAllSchools]]=TRUE,IF(ISBLANK(GRADES[[#This Row],[SchoolCodes]]),0,1)))</f>
        <v>0</v>
      </c>
      <c r="D13" s="57"/>
      <c r="E13" s="57" cm="1">
        <f t="array" ref="E13">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3" s="57">
        <f>IF(OR(GRADES[[#This Row],[AvailableToAllSchools]]=TRUE,GRADES[[#This Row],[AvailableToAllSchools]]=FALSE),IF(OR(GRADES[[#This Row],[PayScaleGradeEnabled]]=TRUE,GRADES[[#This Row],[PayScaleGradeEnabled]]=FALSE),0,1),1)</f>
        <v>0</v>
      </c>
      <c r="G13" s="57">
        <f>(COUNTBLANK(GRADES[[#This Row],[PayScaleGradeCode]:[AvailableToAllSchools]])+COUNTBLANK(GRADES[[#This Row],[PayScaleGradeEnabled]]))</f>
        <v>0</v>
      </c>
      <c r="H13" s="57">
        <f>IF(LEN(GRADES[[#This Row],[PayScaleGradeCode]])&lt;100,0,1)</f>
        <v>0</v>
      </c>
      <c r="I13" s="57">
        <f>IF(LEN(GRADES[[#This Row],[Title]])&lt;100,0,1)</f>
        <v>0</v>
      </c>
      <c r="J13" s="57">
        <f>IF(SUBSTITUTE(TEXT(GRADES[[#This Row],[PayScaleGradeCode]],10)," ","")=TEXT(GRADES[[#This Row],[PayScaleGradeCode]],10),0,1)</f>
        <v>0</v>
      </c>
      <c r="K13" s="57">
        <f>SUM(GRADES[[#This Row],[Pay Scale issue]:[Schools Check]],GRADES[[#This Row],[TRUE /FALSE Typo]:[Space in Code]])</f>
        <v>0</v>
      </c>
      <c r="L13" s="57">
        <f>_xlfn.XLOOKUP(GRADES[[#This Row],[PayScaleCode]],PAYSCALES[PayScaleCode],PAYSCALES[London Weighting])</f>
        <v>0</v>
      </c>
      <c r="N13" s="12" t="s">
        <v>1473</v>
      </c>
      <c r="O13" s="12" t="s">
        <v>1474</v>
      </c>
      <c r="P13" s="12" t="s">
        <v>1425</v>
      </c>
      <c r="Q13" s="12" t="s">
        <v>1475</v>
      </c>
      <c r="R13" s="12" t="s">
        <v>1475</v>
      </c>
      <c r="S13" s="57" cm="1">
        <f t="array" ref="S13">LOOKUP(2,1/(PSPOINTS[PayScaleCode]=GRADES[[#This Row],[PayScaleCode]])/(PSPOINTS[PayScalePointCode]=GRADES[[#This Row],[Point From (Check)]]),(PSPOINTS[ScalePointNumber]))</f>
        <v>1</v>
      </c>
      <c r="T13" s="57" cm="1">
        <f t="array" ref="T13">LOOKUP(2,1/(PSPOINTS[PayScaleCode]=GRADES[[#This Row],[PayScaleCode]])/(PSPOINTS[PayScalePointCode]=GRADES[[#This Row],[Point To (Check)]]),(PSPOINTS[ScalePointNumber]))</f>
        <v>1</v>
      </c>
      <c r="U13" s="12" t="b">
        <v>1</v>
      </c>
      <c r="W13" s="12" t="b">
        <v>1</v>
      </c>
    </row>
    <row r="14" spans="1:23" x14ac:dyDescent="0.25">
      <c r="A14" s="57" t="str">
        <f>IF(COUNTIF('19_PayScales'!N:N,'22_PayScaleGrades'!P14)&gt;0,"0","1")</f>
        <v>0</v>
      </c>
      <c r="B14" s="57">
        <f>COUNTIF(GRADES[PayScaleGradeCode],GRADES[[#This Row],[PayScaleGradeCode]])-1</f>
        <v>0</v>
      </c>
      <c r="C14" s="57" cm="1">
        <f t="array" ref="C14">IF(GRADES[[#This Row],[AvailableToAllSchools]]=FALSE,IF(ISBLANK(GRADES[[#This Row],[SchoolCodes]]),1,IF(AND(COUNTIF(SCHOOLS[SchoolCode],_xlfn.TEXTSPLIT(GRADES[[#This Row],[SchoolCodes]],","))),0,1)),IF(GRADES[[#This Row],[AvailableToAllSchools]]=TRUE,IF(ISBLANK(GRADES[[#This Row],[SchoolCodes]]),0,1)))</f>
        <v>0</v>
      </c>
      <c r="D14" s="57"/>
      <c r="E14" s="57" cm="1">
        <f t="array" ref="E14">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4" s="57">
        <f>IF(OR(GRADES[[#This Row],[AvailableToAllSchools]]=TRUE,GRADES[[#This Row],[AvailableToAllSchools]]=FALSE),IF(OR(GRADES[[#This Row],[PayScaleGradeEnabled]]=TRUE,GRADES[[#This Row],[PayScaleGradeEnabled]]=FALSE),0,1),1)</f>
        <v>0</v>
      </c>
      <c r="G14" s="57">
        <f>(COUNTBLANK(GRADES[[#This Row],[PayScaleGradeCode]:[AvailableToAllSchools]])+COUNTBLANK(GRADES[[#This Row],[PayScaleGradeEnabled]]))</f>
        <v>0</v>
      </c>
      <c r="H14" s="57">
        <f>IF(LEN(GRADES[[#This Row],[PayScaleGradeCode]])&lt;100,0,1)</f>
        <v>0</v>
      </c>
      <c r="I14" s="57">
        <f>IF(LEN(GRADES[[#This Row],[Title]])&lt;100,0,1)</f>
        <v>0</v>
      </c>
      <c r="J14" s="57">
        <f>IF(SUBSTITUTE(TEXT(GRADES[[#This Row],[PayScaleGradeCode]],10)," ","")=TEXT(GRADES[[#This Row],[PayScaleGradeCode]],10),0,1)</f>
        <v>0</v>
      </c>
      <c r="K14" s="57">
        <f>SUM(GRADES[[#This Row],[Pay Scale issue]:[Schools Check]],GRADES[[#This Row],[TRUE /FALSE Typo]:[Space in Code]])</f>
        <v>0</v>
      </c>
      <c r="L14" s="57">
        <f>_xlfn.XLOOKUP(GRADES[[#This Row],[PayScaleCode]],PAYSCALES[PayScaleCode],PAYSCALES[London Weighting])</f>
        <v>0</v>
      </c>
      <c r="N14" s="12" t="s">
        <v>1476</v>
      </c>
      <c r="O14" s="12" t="s">
        <v>1477</v>
      </c>
      <c r="P14" s="12" t="s">
        <v>1427</v>
      </c>
      <c r="Q14" s="12" t="s">
        <v>1478</v>
      </c>
      <c r="R14" s="12" t="s">
        <v>1478</v>
      </c>
      <c r="S14" s="57" cm="1">
        <f t="array" ref="S14">LOOKUP(2,1/(PSPOINTS[PayScaleCode]=GRADES[[#This Row],[PayScaleCode]])/(PSPOINTS[PayScalePointCode]=GRADES[[#This Row],[Point From (Check)]]),(PSPOINTS[ScalePointNumber]))</f>
        <v>1</v>
      </c>
      <c r="T14" s="57" cm="1">
        <f t="array" ref="T14">LOOKUP(2,1/(PSPOINTS[PayScaleCode]=GRADES[[#This Row],[PayScaleCode]])/(PSPOINTS[PayScalePointCode]=GRADES[[#This Row],[Point To (Check)]]),(PSPOINTS[ScalePointNumber]))</f>
        <v>1</v>
      </c>
      <c r="U14" s="12" t="b">
        <v>1</v>
      </c>
      <c r="W14" s="12" t="b">
        <v>1</v>
      </c>
    </row>
    <row r="15" spans="1:23" x14ac:dyDescent="0.25">
      <c r="A15" s="57" t="str">
        <f>IF(COUNTIF('19_PayScales'!N:N,'22_PayScaleGrades'!P15)&gt;0,"0","1")</f>
        <v>0</v>
      </c>
      <c r="B15" s="57">
        <f>COUNTIF(GRADES[PayScaleGradeCode],GRADES[[#This Row],[PayScaleGradeCode]])-1</f>
        <v>0</v>
      </c>
      <c r="C15" s="57" cm="1">
        <f t="array" ref="C15">IF(GRADES[[#This Row],[AvailableToAllSchools]]=FALSE,IF(ISBLANK(GRADES[[#This Row],[SchoolCodes]]),1,IF(AND(COUNTIF(SCHOOLS[SchoolCode],_xlfn.TEXTSPLIT(GRADES[[#This Row],[SchoolCodes]],","))),0,1)),IF(GRADES[[#This Row],[AvailableToAllSchools]]=TRUE,IF(ISBLANK(GRADES[[#This Row],[SchoolCodes]]),0,1)))</f>
        <v>0</v>
      </c>
      <c r="D15" s="57"/>
      <c r="E15" s="57" cm="1">
        <f t="array" ref="E15">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5" s="57">
        <f>IF(OR(GRADES[[#This Row],[AvailableToAllSchools]]=TRUE,GRADES[[#This Row],[AvailableToAllSchools]]=FALSE),IF(OR(GRADES[[#This Row],[PayScaleGradeEnabled]]=TRUE,GRADES[[#This Row],[PayScaleGradeEnabled]]=FALSE),0,1),1)</f>
        <v>0</v>
      </c>
      <c r="G15" s="57">
        <f>(COUNTBLANK(GRADES[[#This Row],[PayScaleGradeCode]:[AvailableToAllSchools]])+COUNTBLANK(GRADES[[#This Row],[PayScaleGradeEnabled]]))</f>
        <v>0</v>
      </c>
      <c r="H15" s="57">
        <f>IF(LEN(GRADES[[#This Row],[PayScaleGradeCode]])&lt;100,0,1)</f>
        <v>0</v>
      </c>
      <c r="I15" s="57">
        <f>IF(LEN(GRADES[[#This Row],[Title]])&lt;100,0,1)</f>
        <v>0</v>
      </c>
      <c r="J15" s="57">
        <f>IF(SUBSTITUTE(TEXT(GRADES[[#This Row],[PayScaleGradeCode]],10)," ","")=TEXT(GRADES[[#This Row],[PayScaleGradeCode]],10),0,1)</f>
        <v>0</v>
      </c>
      <c r="K15" s="57">
        <f>SUM(GRADES[[#This Row],[Pay Scale issue]:[Schools Check]],GRADES[[#This Row],[TRUE /FALSE Typo]:[Space in Code]])</f>
        <v>0</v>
      </c>
      <c r="L15" s="57" t="str">
        <f>_xlfn.XLOOKUP(GRADES[[#This Row],[PayScaleCode]],PAYSCALES[PayScaleCode],PAYSCALES[London Weighting])</f>
        <v>Fringe</v>
      </c>
      <c r="N15" s="12" t="s">
        <v>1479</v>
      </c>
      <c r="O15" s="12" t="s">
        <v>1480</v>
      </c>
      <c r="P15" s="12" t="s">
        <v>1393</v>
      </c>
      <c r="Q15" s="12" t="s">
        <v>1441</v>
      </c>
      <c r="R15" s="12" t="s">
        <v>1442</v>
      </c>
      <c r="S15" s="57" cm="1">
        <f t="array" ref="S15">LOOKUP(2,1/(PSPOINTS[PayScaleCode]=GRADES[[#This Row],[PayScaleCode]])/(PSPOINTS[PayScalePointCode]=GRADES[[#This Row],[Point From (Check)]]),(PSPOINTS[ScalePointNumber]))</f>
        <v>1</v>
      </c>
      <c r="T15" s="57" cm="1">
        <f t="array" ref="T15">LOOKUP(2,1/(PSPOINTS[PayScaleCode]=GRADES[[#This Row],[PayScaleCode]])/(PSPOINTS[PayScalePointCode]=GRADES[[#This Row],[Point To (Check)]]),(PSPOINTS[ScalePointNumber]))</f>
        <v>11</v>
      </c>
      <c r="U15" s="12" t="b">
        <v>1</v>
      </c>
      <c r="W15" s="12" t="b">
        <v>1</v>
      </c>
    </row>
    <row r="16" spans="1:23" x14ac:dyDescent="0.25">
      <c r="A16" s="57" t="str">
        <f>IF(COUNTIF('19_PayScales'!N:N,'22_PayScaleGrades'!P16)&gt;0,"0","1")</f>
        <v>0</v>
      </c>
      <c r="B16" s="57">
        <f>COUNTIF(GRADES[PayScaleGradeCode],GRADES[[#This Row],[PayScaleGradeCode]])-1</f>
        <v>0</v>
      </c>
      <c r="C16" s="57" cm="1">
        <f t="array" ref="C16">IF(GRADES[[#This Row],[AvailableToAllSchools]]=FALSE,IF(ISBLANK(GRADES[[#This Row],[SchoolCodes]]),1,IF(AND(COUNTIF(SCHOOLS[SchoolCode],_xlfn.TEXTSPLIT(GRADES[[#This Row],[SchoolCodes]],","))),0,1)),IF(GRADES[[#This Row],[AvailableToAllSchools]]=TRUE,IF(ISBLANK(GRADES[[#This Row],[SchoolCodes]]),0,1)))</f>
        <v>0</v>
      </c>
      <c r="D16" s="57"/>
      <c r="E16" s="57" cm="1">
        <f t="array" ref="E16">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6" s="57">
        <f>IF(OR(GRADES[[#This Row],[AvailableToAllSchools]]=TRUE,GRADES[[#This Row],[AvailableToAllSchools]]=FALSE),IF(OR(GRADES[[#This Row],[PayScaleGradeEnabled]]=TRUE,GRADES[[#This Row],[PayScaleGradeEnabled]]=FALSE),0,1),1)</f>
        <v>0</v>
      </c>
      <c r="G16" s="57">
        <f>(COUNTBLANK(GRADES[[#This Row],[PayScaleGradeCode]:[AvailableToAllSchools]])+COUNTBLANK(GRADES[[#This Row],[PayScaleGradeEnabled]]))</f>
        <v>0</v>
      </c>
      <c r="H16" s="57">
        <f>IF(LEN(GRADES[[#This Row],[PayScaleGradeCode]])&lt;100,0,1)</f>
        <v>0</v>
      </c>
      <c r="I16" s="57">
        <f>IF(LEN(GRADES[[#This Row],[Title]])&lt;100,0,1)</f>
        <v>0</v>
      </c>
      <c r="J16" s="57">
        <f>IF(SUBSTITUTE(TEXT(GRADES[[#This Row],[PayScaleGradeCode]],10)," ","")=TEXT(GRADES[[#This Row],[PayScaleGradeCode]],10),0,1)</f>
        <v>0</v>
      </c>
      <c r="K16" s="57">
        <f>SUM(GRADES[[#This Row],[Pay Scale issue]:[Schools Check]],GRADES[[#This Row],[TRUE /FALSE Typo]:[Space in Code]])</f>
        <v>0</v>
      </c>
      <c r="L16" s="57" t="str">
        <f>_xlfn.XLOOKUP(GRADES[[#This Row],[PayScaleCode]],PAYSCALES[PayScaleCode],PAYSCALES[London Weighting])</f>
        <v>Fringe</v>
      </c>
      <c r="N16" s="111" t="s">
        <v>1393</v>
      </c>
      <c r="O16" s="12" t="s">
        <v>1481</v>
      </c>
      <c r="P16" s="12" t="s">
        <v>1393</v>
      </c>
      <c r="Q16" s="12" t="s">
        <v>1441</v>
      </c>
      <c r="R16" s="12" t="s">
        <v>1445</v>
      </c>
      <c r="S16" s="57" cm="1">
        <f t="array" ref="S16">LOOKUP(2,1/(PSPOINTS[PayScaleCode]=GRADES[[#This Row],[PayScaleCode]])/(PSPOINTS[PayScalePointCode]=GRADES[[#This Row],[Point From (Check)]]),(PSPOINTS[ScalePointNumber]))</f>
        <v>1</v>
      </c>
      <c r="T16" s="57" cm="1">
        <f t="array" ref="T16">LOOKUP(2,1/(PSPOINTS[PayScaleCode]=GRADES[[#This Row],[PayScaleCode]])/(PSPOINTS[PayScalePointCode]=GRADES[[#This Row],[Point To (Check)]]),(PSPOINTS[ScalePointNumber]))</f>
        <v>6</v>
      </c>
      <c r="U16" s="12" t="b">
        <v>1</v>
      </c>
      <c r="W16" s="12" t="b">
        <v>1</v>
      </c>
    </row>
    <row r="17" spans="1:23" x14ac:dyDescent="0.25">
      <c r="A17" s="57" t="str">
        <f>IF(COUNTIF('19_PayScales'!N:N,'22_PayScaleGrades'!P17)&gt;0,"0","1")</f>
        <v>0</v>
      </c>
      <c r="B17" s="57">
        <f>COUNTIF(GRADES[PayScaleGradeCode],GRADES[[#This Row],[PayScaleGradeCode]])-1</f>
        <v>0</v>
      </c>
      <c r="C17" s="57" cm="1">
        <f t="array" ref="C17">IF(GRADES[[#This Row],[AvailableToAllSchools]]=FALSE,IF(ISBLANK(GRADES[[#This Row],[SchoolCodes]]),1,IF(AND(COUNTIF(SCHOOLS[SchoolCode],_xlfn.TEXTSPLIT(GRADES[[#This Row],[SchoolCodes]],","))),0,1)),IF(GRADES[[#This Row],[AvailableToAllSchools]]=TRUE,IF(ISBLANK(GRADES[[#This Row],[SchoolCodes]]),0,1)))</f>
        <v>0</v>
      </c>
      <c r="D17" s="57"/>
      <c r="E17" s="57" cm="1">
        <f t="array" ref="E17">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7" s="57">
        <f>IF(OR(GRADES[[#This Row],[AvailableToAllSchools]]=TRUE,GRADES[[#This Row],[AvailableToAllSchools]]=FALSE),IF(OR(GRADES[[#This Row],[PayScaleGradeEnabled]]=TRUE,GRADES[[#This Row],[PayScaleGradeEnabled]]=FALSE),0,1),1)</f>
        <v>0</v>
      </c>
      <c r="G17" s="57">
        <f>(COUNTBLANK(GRADES[[#This Row],[PayScaleGradeCode]:[AvailableToAllSchools]])+COUNTBLANK(GRADES[[#This Row],[PayScaleGradeEnabled]]))</f>
        <v>0</v>
      </c>
      <c r="H17" s="57">
        <f>IF(LEN(GRADES[[#This Row],[PayScaleGradeCode]])&lt;100,0,1)</f>
        <v>0</v>
      </c>
      <c r="I17" s="57">
        <f>IF(LEN(GRADES[[#This Row],[Title]])&lt;100,0,1)</f>
        <v>0</v>
      </c>
      <c r="J17" s="57">
        <f>IF(SUBSTITUTE(TEXT(GRADES[[#This Row],[PayScaleGradeCode]],10)," ","")=TEXT(GRADES[[#This Row],[PayScaleGradeCode]],10),0,1)</f>
        <v>0</v>
      </c>
      <c r="K17" s="57">
        <f>SUM(GRADES[[#This Row],[Pay Scale issue]:[Schools Check]],GRADES[[#This Row],[TRUE /FALSE Typo]:[Space in Code]])</f>
        <v>0</v>
      </c>
      <c r="L17" s="57" t="str">
        <f>_xlfn.XLOOKUP(GRADES[[#This Row],[PayScaleCode]],PAYSCALES[PayScaleCode],PAYSCALES[London Weighting])</f>
        <v>Fringe</v>
      </c>
      <c r="N17" s="111" t="s">
        <v>1482</v>
      </c>
      <c r="O17" s="12" t="s">
        <v>1483</v>
      </c>
      <c r="P17" s="12" t="s">
        <v>1393</v>
      </c>
      <c r="Q17" s="12" t="s">
        <v>1448</v>
      </c>
      <c r="R17" s="12" t="s">
        <v>1442</v>
      </c>
      <c r="S17" s="57" cm="1">
        <f t="array" ref="S17">LOOKUP(2,1/(PSPOINTS[PayScaleCode]=GRADES[[#This Row],[PayScaleCode]])/(PSPOINTS[PayScalePointCode]=GRADES[[#This Row],[Point From (Check)]]),(PSPOINTS[ScalePointNumber]))</f>
        <v>7</v>
      </c>
      <c r="T17" s="57" cm="1">
        <f t="array" ref="T17">LOOKUP(2,1/(PSPOINTS[PayScaleCode]=GRADES[[#This Row],[PayScaleCode]])/(PSPOINTS[PayScalePointCode]=GRADES[[#This Row],[Point To (Check)]]),(PSPOINTS[ScalePointNumber]))</f>
        <v>11</v>
      </c>
      <c r="U17" s="12" t="b">
        <v>1</v>
      </c>
      <c r="W17" s="12" t="b">
        <v>1</v>
      </c>
    </row>
    <row r="18" spans="1:23" x14ac:dyDescent="0.25">
      <c r="A18" s="57" t="str">
        <f>IF(COUNTIF('19_PayScales'!N:N,'22_PayScaleGrades'!P18)&gt;0,"0","1")</f>
        <v>0</v>
      </c>
      <c r="B18" s="57">
        <f>COUNTIF(GRADES[PayScaleGradeCode],GRADES[[#This Row],[PayScaleGradeCode]])-1</f>
        <v>0</v>
      </c>
      <c r="C18" s="57" cm="1">
        <f t="array" ref="C18">IF(GRADES[[#This Row],[AvailableToAllSchools]]=FALSE,IF(ISBLANK(GRADES[[#This Row],[SchoolCodes]]),1,IF(AND(COUNTIF(SCHOOLS[SchoolCode],_xlfn.TEXTSPLIT(GRADES[[#This Row],[SchoolCodes]],","))),0,1)),IF(GRADES[[#This Row],[AvailableToAllSchools]]=TRUE,IF(ISBLANK(GRADES[[#This Row],[SchoolCodes]]),0,1)))</f>
        <v>0</v>
      </c>
      <c r="D18" s="57"/>
      <c r="E18" s="57" cm="1">
        <f t="array" ref="E18">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8" s="57">
        <f>IF(OR(GRADES[[#This Row],[AvailableToAllSchools]]=TRUE,GRADES[[#This Row],[AvailableToAllSchools]]=FALSE),IF(OR(GRADES[[#This Row],[PayScaleGradeEnabled]]=TRUE,GRADES[[#This Row],[PayScaleGradeEnabled]]=FALSE),0,1),1)</f>
        <v>0</v>
      </c>
      <c r="G18" s="57">
        <f>(COUNTBLANK(GRADES[[#This Row],[PayScaleGradeCode]:[AvailableToAllSchools]])+COUNTBLANK(GRADES[[#This Row],[PayScaleGradeEnabled]]))</f>
        <v>0</v>
      </c>
      <c r="H18" s="57">
        <f>IF(LEN(GRADES[[#This Row],[PayScaleGradeCode]])&lt;100,0,1)</f>
        <v>0</v>
      </c>
      <c r="I18" s="57">
        <f>IF(LEN(GRADES[[#This Row],[Title]])&lt;100,0,1)</f>
        <v>0</v>
      </c>
      <c r="J18" s="57">
        <f>IF(SUBSTITUTE(TEXT(GRADES[[#This Row],[PayScaleGradeCode]],10)," ","")=TEXT(GRADES[[#This Row],[PayScaleGradeCode]],10),0,1)</f>
        <v>0</v>
      </c>
      <c r="K18" s="57">
        <f>SUM(GRADES[[#This Row],[Pay Scale issue]:[Schools Check]],GRADES[[#This Row],[TRUE /FALSE Typo]:[Space in Code]])</f>
        <v>0</v>
      </c>
      <c r="L18" s="57" t="str">
        <f>_xlfn.XLOOKUP(GRADES[[#This Row],[PayScaleCode]],PAYSCALES[PayScaleCode],PAYSCALES[London Weighting])</f>
        <v>Fringe</v>
      </c>
      <c r="N18" s="12" t="s">
        <v>1397</v>
      </c>
      <c r="O18" s="12" t="s">
        <v>1484</v>
      </c>
      <c r="P18" s="12" t="s">
        <v>1397</v>
      </c>
      <c r="Q18" s="12" t="s">
        <v>1451</v>
      </c>
      <c r="R18" s="12" t="s">
        <v>1452</v>
      </c>
      <c r="S18" s="57" cm="1">
        <f t="array" ref="S18">LOOKUP(2,1/(PSPOINTS[PayScaleCode]=GRADES[[#This Row],[PayScaleCode]])/(PSPOINTS[PayScalePointCode]=GRADES[[#This Row],[Point From (Check)]]),(PSPOINTS[ScalePointNumber]))</f>
        <v>1</v>
      </c>
      <c r="T18" s="57" cm="1">
        <f t="array" ref="T18">LOOKUP(2,1/(PSPOINTS[PayScaleCode]=GRADES[[#This Row],[PayScaleCode]])/(PSPOINTS[PayScalePointCode]=GRADES[[#This Row],[Point To (Check)]]),(PSPOINTS[ScalePointNumber]))</f>
        <v>6</v>
      </c>
      <c r="U18" s="12" t="b">
        <v>1</v>
      </c>
      <c r="W18" s="12" t="b">
        <v>1</v>
      </c>
    </row>
    <row r="19" spans="1:23" x14ac:dyDescent="0.25">
      <c r="A19" s="57" t="str">
        <f>IF(COUNTIF('19_PayScales'!N:N,'22_PayScaleGrades'!P19)&gt;0,"0","1")</f>
        <v>0</v>
      </c>
      <c r="B19" s="57">
        <f>COUNTIF(GRADES[PayScaleGradeCode],GRADES[[#This Row],[PayScaleGradeCode]])-1</f>
        <v>0</v>
      </c>
      <c r="C19" s="57" cm="1">
        <f t="array" ref="C19">IF(GRADES[[#This Row],[AvailableToAllSchools]]=FALSE,IF(ISBLANK(GRADES[[#This Row],[SchoolCodes]]),1,IF(AND(COUNTIF(SCHOOLS[SchoolCode],_xlfn.TEXTSPLIT(GRADES[[#This Row],[SchoolCodes]],","))),0,1)),IF(GRADES[[#This Row],[AvailableToAllSchools]]=TRUE,IF(ISBLANK(GRADES[[#This Row],[SchoolCodes]]),0,1)))</f>
        <v>0</v>
      </c>
      <c r="D19" s="57"/>
      <c r="E19" s="57" cm="1">
        <f t="array" ref="E19">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19" s="57">
        <f>IF(OR(GRADES[[#This Row],[AvailableToAllSchools]]=TRUE,GRADES[[#This Row],[AvailableToAllSchools]]=FALSE),IF(OR(GRADES[[#This Row],[PayScaleGradeEnabled]]=TRUE,GRADES[[#This Row],[PayScaleGradeEnabled]]=FALSE),0,1),1)</f>
        <v>0</v>
      </c>
      <c r="G19" s="57">
        <f>(COUNTBLANK(GRADES[[#This Row],[PayScaleGradeCode]:[AvailableToAllSchools]])+COUNTBLANK(GRADES[[#This Row],[PayScaleGradeEnabled]]))</f>
        <v>0</v>
      </c>
      <c r="H19" s="57">
        <f>IF(LEN(GRADES[[#This Row],[PayScaleGradeCode]])&lt;100,0,1)</f>
        <v>0</v>
      </c>
      <c r="I19" s="57">
        <f>IF(LEN(GRADES[[#This Row],[Title]])&lt;100,0,1)</f>
        <v>0</v>
      </c>
      <c r="J19" s="57">
        <f>IF(SUBSTITUTE(TEXT(GRADES[[#This Row],[PayScaleGradeCode]],10)," ","")=TEXT(GRADES[[#This Row],[PayScaleGradeCode]],10),0,1)</f>
        <v>0</v>
      </c>
      <c r="K19" s="57">
        <f>SUM(GRADES[[#This Row],[Pay Scale issue]:[Schools Check]],GRADES[[#This Row],[TRUE /FALSE Typo]:[Space in Code]])</f>
        <v>0</v>
      </c>
      <c r="L19" s="57" t="str">
        <f>_xlfn.XLOOKUP(GRADES[[#This Row],[PayScaleCode]],PAYSCALES[PayScaleCode],PAYSCALES[London Weighting])</f>
        <v>Fringe</v>
      </c>
      <c r="N19" s="12" t="s">
        <v>1399</v>
      </c>
      <c r="O19" s="12" t="s">
        <v>1400</v>
      </c>
      <c r="P19" s="12" t="s">
        <v>1399</v>
      </c>
      <c r="Q19" s="12" t="s">
        <v>1455</v>
      </c>
      <c r="R19" s="12" t="s">
        <v>1456</v>
      </c>
      <c r="S19" s="57" cm="1">
        <f t="array" ref="S19">LOOKUP(2,1/(PSPOINTS[PayScaleCode]=GRADES[[#This Row],[PayScaleCode]])/(PSPOINTS[PayScalePointCode]=GRADES[[#This Row],[Point From (Check)]]),(PSPOINTS[ScalePointNumber]))</f>
        <v>1</v>
      </c>
      <c r="T19" s="57" cm="1">
        <f t="array" ref="T19">LOOKUP(2,1/(PSPOINTS[PayScaleCode]=GRADES[[#This Row],[PayScaleCode]])/(PSPOINTS[PayScalePointCode]=GRADES[[#This Row],[Point To (Check)]]),(PSPOINTS[ScalePointNumber]))</f>
        <v>43</v>
      </c>
      <c r="U19" s="12" t="b">
        <v>1</v>
      </c>
      <c r="W19" s="12" t="b">
        <v>1</v>
      </c>
    </row>
    <row r="20" spans="1:23" x14ac:dyDescent="0.25">
      <c r="A20" s="57" t="str">
        <f>IF(COUNTIF('19_PayScales'!N:N,'22_PayScaleGrades'!P20)&gt;0,"0","1")</f>
        <v>0</v>
      </c>
      <c r="B20" s="57">
        <f>COUNTIF(GRADES[PayScaleGradeCode],GRADES[[#This Row],[PayScaleGradeCode]])-1</f>
        <v>0</v>
      </c>
      <c r="C20" s="57" cm="1">
        <f t="array" ref="C20">IF(GRADES[[#This Row],[AvailableToAllSchools]]=FALSE,IF(ISBLANK(GRADES[[#This Row],[SchoolCodes]]),1,IF(AND(COUNTIF(SCHOOLS[SchoolCode],_xlfn.TEXTSPLIT(GRADES[[#This Row],[SchoolCodes]],","))),0,1)),IF(GRADES[[#This Row],[AvailableToAllSchools]]=TRUE,IF(ISBLANK(GRADES[[#This Row],[SchoolCodes]]),0,1)))</f>
        <v>0</v>
      </c>
      <c r="D20" s="57"/>
      <c r="E20" s="57" cm="1">
        <f t="array" ref="E20">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0" s="57">
        <f>IF(OR(GRADES[[#This Row],[AvailableToAllSchools]]=TRUE,GRADES[[#This Row],[AvailableToAllSchools]]=FALSE),IF(OR(GRADES[[#This Row],[PayScaleGradeEnabled]]=TRUE,GRADES[[#This Row],[PayScaleGradeEnabled]]=FALSE),0,1),1)</f>
        <v>0</v>
      </c>
      <c r="G20" s="57">
        <f>(COUNTBLANK(GRADES[[#This Row],[PayScaleGradeCode]:[AvailableToAllSchools]])+COUNTBLANK(GRADES[[#This Row],[PayScaleGradeEnabled]]))</f>
        <v>0</v>
      </c>
      <c r="H20" s="57">
        <f>IF(LEN(GRADES[[#This Row],[PayScaleGradeCode]])&lt;100,0,1)</f>
        <v>0</v>
      </c>
      <c r="I20" s="57">
        <f>IF(LEN(GRADES[[#This Row],[Title]])&lt;100,0,1)</f>
        <v>0</v>
      </c>
      <c r="J20" s="57">
        <f>IF(SUBSTITUTE(TEXT(GRADES[[#This Row],[PayScaleGradeCode]],10)," ","")=TEXT(GRADES[[#This Row],[PayScaleGradeCode]],10),0,1)</f>
        <v>0</v>
      </c>
      <c r="K20" s="57">
        <f>SUM(GRADES[[#This Row],[Pay Scale issue]:[Schools Check]],GRADES[[#This Row],[TRUE /FALSE Typo]:[Space in Code]])</f>
        <v>0</v>
      </c>
      <c r="L20" s="57" t="str">
        <f>_xlfn.XLOOKUP(GRADES[[#This Row],[PayScaleCode]],PAYSCALES[PayScaleCode],PAYSCALES[London Weighting])</f>
        <v>Fringe</v>
      </c>
      <c r="N20" s="12" t="s">
        <v>1395</v>
      </c>
      <c r="O20" s="12" t="s">
        <v>1485</v>
      </c>
      <c r="P20" s="12" t="s">
        <v>1395</v>
      </c>
      <c r="Q20" s="12" t="s">
        <v>1459</v>
      </c>
      <c r="R20" s="12" t="s">
        <v>1460</v>
      </c>
      <c r="S20" s="57" cm="1">
        <f t="array" ref="S20">LOOKUP(2,1/(PSPOINTS[PayScaleCode]=GRADES[[#This Row],[PayScaleCode]])/(PSPOINTS[PayScalePointCode]=GRADES[[#This Row],[Point From (Check)]]),(PSPOINTS[ScalePointNumber]))</f>
        <v>1</v>
      </c>
      <c r="T20" s="57" cm="1">
        <f t="array" ref="T20">LOOKUP(2,1/(PSPOINTS[PayScaleCode]=GRADES[[#This Row],[PayScaleCode]])/(PSPOINTS[PayScalePointCode]=GRADES[[#This Row],[Point To (Check)]]),(PSPOINTS[ScalePointNumber]))</f>
        <v>18</v>
      </c>
      <c r="U20" s="12" t="b">
        <v>1</v>
      </c>
      <c r="W20" s="12" t="b">
        <v>1</v>
      </c>
    </row>
    <row r="21" spans="1:23" x14ac:dyDescent="0.25">
      <c r="A21" s="57" t="str">
        <f>IF(COUNTIF('19_PayScales'!N:N,'22_PayScaleGrades'!P21)&gt;0,"0","1")</f>
        <v>0</v>
      </c>
      <c r="B21" s="57">
        <f>COUNTIF(GRADES[PayScaleGradeCode],GRADES[[#This Row],[PayScaleGradeCode]])-1</f>
        <v>0</v>
      </c>
      <c r="C21" s="57" cm="1">
        <f t="array" ref="C21">IF(GRADES[[#This Row],[AvailableToAllSchools]]=FALSE,IF(ISBLANK(GRADES[[#This Row],[SchoolCodes]]),1,IF(AND(COUNTIF(SCHOOLS[SchoolCode],_xlfn.TEXTSPLIT(GRADES[[#This Row],[SchoolCodes]],","))),0,1)),IF(GRADES[[#This Row],[AvailableToAllSchools]]=TRUE,IF(ISBLANK(GRADES[[#This Row],[SchoolCodes]]),0,1)))</f>
        <v>0</v>
      </c>
      <c r="D21" s="57"/>
      <c r="E21" s="57" cm="1">
        <f t="array" ref="E21">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1" s="57">
        <f>IF(OR(GRADES[[#This Row],[AvailableToAllSchools]]=TRUE,GRADES[[#This Row],[AvailableToAllSchools]]=FALSE),IF(OR(GRADES[[#This Row],[PayScaleGradeEnabled]]=TRUE,GRADES[[#This Row],[PayScaleGradeEnabled]]=FALSE),0,1),1)</f>
        <v>0</v>
      </c>
      <c r="G21" s="57">
        <f>(COUNTBLANK(GRADES[[#This Row],[PayScaleGradeCode]:[AvailableToAllSchools]])+COUNTBLANK(GRADES[[#This Row],[PayScaleGradeEnabled]]))</f>
        <v>0</v>
      </c>
      <c r="H21" s="57">
        <f>IF(LEN(GRADES[[#This Row],[PayScaleGradeCode]])&lt;100,0,1)</f>
        <v>0</v>
      </c>
      <c r="I21" s="57">
        <f>IF(LEN(GRADES[[#This Row],[Title]])&lt;100,0,1)</f>
        <v>0</v>
      </c>
      <c r="J21" s="57">
        <f>IF(SUBSTITUTE(TEXT(GRADES[[#This Row],[PayScaleGradeCode]],10)," ","")=TEXT(GRADES[[#This Row],[PayScaleGradeCode]],10),0,1)</f>
        <v>0</v>
      </c>
      <c r="K21" s="57">
        <f>SUM(GRADES[[#This Row],[Pay Scale issue]:[Schools Check]],GRADES[[#This Row],[TRUE /FALSE Typo]:[Space in Code]])</f>
        <v>0</v>
      </c>
      <c r="L21" s="57" t="str">
        <f>_xlfn.XLOOKUP(GRADES[[#This Row],[PayScaleCode]],PAYSCALES[PayScaleCode],PAYSCALES[London Weighting])</f>
        <v>Outer</v>
      </c>
      <c r="N21" s="12" t="s">
        <v>1486</v>
      </c>
      <c r="O21" s="12" t="s">
        <v>1487</v>
      </c>
      <c r="P21" s="12" t="s">
        <v>1413</v>
      </c>
      <c r="Q21" s="12" t="s">
        <v>1441</v>
      </c>
      <c r="R21" s="12" t="s">
        <v>1442</v>
      </c>
      <c r="S21" s="57" cm="1">
        <f t="array" ref="S21">LOOKUP(2,1/(PSPOINTS[PayScaleCode]=GRADES[[#This Row],[PayScaleCode]])/(PSPOINTS[PayScalePointCode]=GRADES[[#This Row],[Point From (Check)]]),(PSPOINTS[ScalePointNumber]))</f>
        <v>1</v>
      </c>
      <c r="T21" s="57" cm="1">
        <f t="array" ref="T21">LOOKUP(2,1/(PSPOINTS[PayScaleCode]=GRADES[[#This Row],[PayScaleCode]])/(PSPOINTS[PayScalePointCode]=GRADES[[#This Row],[Point To (Check)]]),(PSPOINTS[ScalePointNumber]))</f>
        <v>11</v>
      </c>
      <c r="U21" s="12" t="b">
        <v>1</v>
      </c>
      <c r="W21" s="12" t="b">
        <v>1</v>
      </c>
    </row>
    <row r="22" spans="1:23" x14ac:dyDescent="0.25">
      <c r="A22" s="57" t="str">
        <f>IF(COUNTIF('19_PayScales'!N:N,'22_PayScaleGrades'!P22)&gt;0,"0","1")</f>
        <v>0</v>
      </c>
      <c r="B22" s="57">
        <f>COUNTIF(GRADES[PayScaleGradeCode],GRADES[[#This Row],[PayScaleGradeCode]])-1</f>
        <v>0</v>
      </c>
      <c r="C22" s="57" cm="1">
        <f t="array" ref="C22">IF(GRADES[[#This Row],[AvailableToAllSchools]]=FALSE,IF(ISBLANK(GRADES[[#This Row],[SchoolCodes]]),1,IF(AND(COUNTIF(SCHOOLS[SchoolCode],_xlfn.TEXTSPLIT(GRADES[[#This Row],[SchoolCodes]],","))),0,1)),IF(GRADES[[#This Row],[AvailableToAllSchools]]=TRUE,IF(ISBLANK(GRADES[[#This Row],[SchoolCodes]]),0,1)))</f>
        <v>0</v>
      </c>
      <c r="D22" s="57"/>
      <c r="E22" s="57" cm="1">
        <f t="array" ref="E22">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2" s="57">
        <f>IF(OR(GRADES[[#This Row],[AvailableToAllSchools]]=TRUE,GRADES[[#This Row],[AvailableToAllSchools]]=FALSE),IF(OR(GRADES[[#This Row],[PayScaleGradeEnabled]]=TRUE,GRADES[[#This Row],[PayScaleGradeEnabled]]=FALSE),0,1),1)</f>
        <v>0</v>
      </c>
      <c r="G22" s="57">
        <f>(COUNTBLANK(GRADES[[#This Row],[PayScaleGradeCode]:[AvailableToAllSchools]])+COUNTBLANK(GRADES[[#This Row],[PayScaleGradeEnabled]]))</f>
        <v>0</v>
      </c>
      <c r="H22" s="57">
        <f>IF(LEN(GRADES[[#This Row],[PayScaleGradeCode]])&lt;100,0,1)</f>
        <v>0</v>
      </c>
      <c r="I22" s="57">
        <f>IF(LEN(GRADES[[#This Row],[Title]])&lt;100,0,1)</f>
        <v>0</v>
      </c>
      <c r="J22" s="57">
        <f>IF(SUBSTITUTE(TEXT(GRADES[[#This Row],[PayScaleGradeCode]],10)," ","")=TEXT(GRADES[[#This Row],[PayScaleGradeCode]],10),0,1)</f>
        <v>0</v>
      </c>
      <c r="K22" s="57">
        <f>SUM(GRADES[[#This Row],[Pay Scale issue]:[Schools Check]],GRADES[[#This Row],[TRUE /FALSE Typo]:[Space in Code]])</f>
        <v>0</v>
      </c>
      <c r="L22" s="57" t="str">
        <f>_xlfn.XLOOKUP(GRADES[[#This Row],[PayScaleCode]],PAYSCALES[PayScaleCode],PAYSCALES[London Weighting])</f>
        <v>Outer</v>
      </c>
      <c r="N22" s="111" t="s">
        <v>1413</v>
      </c>
      <c r="O22" s="12" t="s">
        <v>1488</v>
      </c>
      <c r="P22" s="12" t="s">
        <v>1413</v>
      </c>
      <c r="Q22" s="12" t="s">
        <v>1441</v>
      </c>
      <c r="R22" s="12" t="s">
        <v>1445</v>
      </c>
      <c r="S22" s="57" cm="1">
        <f t="array" ref="S22">LOOKUP(2,1/(PSPOINTS[PayScaleCode]=GRADES[[#This Row],[PayScaleCode]])/(PSPOINTS[PayScalePointCode]=GRADES[[#This Row],[Point From (Check)]]),(PSPOINTS[ScalePointNumber]))</f>
        <v>1</v>
      </c>
      <c r="T22" s="57" cm="1">
        <f t="array" ref="T22">LOOKUP(2,1/(PSPOINTS[PayScaleCode]=GRADES[[#This Row],[PayScaleCode]])/(PSPOINTS[PayScalePointCode]=GRADES[[#This Row],[Point To (Check)]]),(PSPOINTS[ScalePointNumber]))</f>
        <v>6</v>
      </c>
      <c r="U22" s="12" t="b">
        <v>1</v>
      </c>
      <c r="W22" s="12" t="b">
        <v>1</v>
      </c>
    </row>
    <row r="23" spans="1:23" x14ac:dyDescent="0.25">
      <c r="A23" s="57" t="str">
        <f>IF(COUNTIF('19_PayScales'!N:N,'22_PayScaleGrades'!P23)&gt;0,"0","1")</f>
        <v>0</v>
      </c>
      <c r="B23" s="57">
        <f>COUNTIF(GRADES[PayScaleGradeCode],GRADES[[#This Row],[PayScaleGradeCode]])-1</f>
        <v>0</v>
      </c>
      <c r="C23" s="57" cm="1">
        <f t="array" ref="C23">IF(GRADES[[#This Row],[AvailableToAllSchools]]=FALSE,IF(ISBLANK(GRADES[[#This Row],[SchoolCodes]]),1,IF(AND(COUNTIF(SCHOOLS[SchoolCode],_xlfn.TEXTSPLIT(GRADES[[#This Row],[SchoolCodes]],","))),0,1)),IF(GRADES[[#This Row],[AvailableToAllSchools]]=TRUE,IF(ISBLANK(GRADES[[#This Row],[SchoolCodes]]),0,1)))</f>
        <v>0</v>
      </c>
      <c r="D23" s="57"/>
      <c r="E23" s="57" cm="1">
        <f t="array" ref="E23">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3" s="57">
        <f>IF(OR(GRADES[[#This Row],[AvailableToAllSchools]]=TRUE,GRADES[[#This Row],[AvailableToAllSchools]]=FALSE),IF(OR(GRADES[[#This Row],[PayScaleGradeEnabled]]=TRUE,GRADES[[#This Row],[PayScaleGradeEnabled]]=FALSE),0,1),1)</f>
        <v>0</v>
      </c>
      <c r="G23" s="57">
        <f>(COUNTBLANK(GRADES[[#This Row],[PayScaleGradeCode]:[AvailableToAllSchools]])+COUNTBLANK(GRADES[[#This Row],[PayScaleGradeEnabled]]))</f>
        <v>0</v>
      </c>
      <c r="H23" s="57">
        <f>IF(LEN(GRADES[[#This Row],[PayScaleGradeCode]])&lt;100,0,1)</f>
        <v>0</v>
      </c>
      <c r="I23" s="57">
        <f>IF(LEN(GRADES[[#This Row],[Title]])&lt;100,0,1)</f>
        <v>0</v>
      </c>
      <c r="J23" s="57">
        <f>IF(SUBSTITUTE(TEXT(GRADES[[#This Row],[PayScaleGradeCode]],10)," ","")=TEXT(GRADES[[#This Row],[PayScaleGradeCode]],10),0,1)</f>
        <v>0</v>
      </c>
      <c r="K23" s="57">
        <f>SUM(GRADES[[#This Row],[Pay Scale issue]:[Schools Check]],GRADES[[#This Row],[TRUE /FALSE Typo]:[Space in Code]])</f>
        <v>0</v>
      </c>
      <c r="L23" s="57" t="str">
        <f>_xlfn.XLOOKUP(GRADES[[#This Row],[PayScaleCode]],PAYSCALES[PayScaleCode],PAYSCALES[London Weighting])</f>
        <v>Outer</v>
      </c>
      <c r="N23" s="111" t="s">
        <v>1489</v>
      </c>
      <c r="O23" s="12" t="s">
        <v>1490</v>
      </c>
      <c r="P23" s="12" t="s">
        <v>1413</v>
      </c>
      <c r="Q23" s="12" t="s">
        <v>1448</v>
      </c>
      <c r="R23" s="12" t="s">
        <v>1442</v>
      </c>
      <c r="S23" s="57" cm="1">
        <f t="array" ref="S23">LOOKUP(2,1/(PSPOINTS[PayScaleCode]=GRADES[[#This Row],[PayScaleCode]])/(PSPOINTS[PayScalePointCode]=GRADES[[#This Row],[Point From (Check)]]),(PSPOINTS[ScalePointNumber]))</f>
        <v>7</v>
      </c>
      <c r="T23" s="57" cm="1">
        <f t="array" ref="T23">LOOKUP(2,1/(PSPOINTS[PayScaleCode]=GRADES[[#This Row],[PayScaleCode]])/(PSPOINTS[PayScalePointCode]=GRADES[[#This Row],[Point To (Check)]]),(PSPOINTS[ScalePointNumber]))</f>
        <v>11</v>
      </c>
      <c r="U23" s="12" t="b">
        <v>1</v>
      </c>
      <c r="W23" s="12" t="b">
        <v>1</v>
      </c>
    </row>
    <row r="24" spans="1:23" x14ac:dyDescent="0.25">
      <c r="A24" s="57" t="str">
        <f>IF(COUNTIF('19_PayScales'!N:N,'22_PayScaleGrades'!P24)&gt;0,"0","1")</f>
        <v>0</v>
      </c>
      <c r="B24" s="57">
        <f>COUNTIF(GRADES[PayScaleGradeCode],GRADES[[#This Row],[PayScaleGradeCode]])-1</f>
        <v>0</v>
      </c>
      <c r="C24" s="57" cm="1">
        <f t="array" ref="C24">IF(GRADES[[#This Row],[AvailableToAllSchools]]=FALSE,IF(ISBLANK(GRADES[[#This Row],[SchoolCodes]]),1,IF(AND(COUNTIF(SCHOOLS[SchoolCode],_xlfn.TEXTSPLIT(GRADES[[#This Row],[SchoolCodes]],","))),0,1)),IF(GRADES[[#This Row],[AvailableToAllSchools]]=TRUE,IF(ISBLANK(GRADES[[#This Row],[SchoolCodes]]),0,1)))</f>
        <v>0</v>
      </c>
      <c r="D24" s="57"/>
      <c r="E24" s="57" cm="1">
        <f t="array" ref="E24">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4" s="57">
        <f>IF(OR(GRADES[[#This Row],[AvailableToAllSchools]]=TRUE,GRADES[[#This Row],[AvailableToAllSchools]]=FALSE),IF(OR(GRADES[[#This Row],[PayScaleGradeEnabled]]=TRUE,GRADES[[#This Row],[PayScaleGradeEnabled]]=FALSE),0,1),1)</f>
        <v>0</v>
      </c>
      <c r="G24" s="57">
        <f>(COUNTBLANK(GRADES[[#This Row],[PayScaleGradeCode]:[AvailableToAllSchools]])+COUNTBLANK(GRADES[[#This Row],[PayScaleGradeEnabled]]))</f>
        <v>0</v>
      </c>
      <c r="H24" s="57">
        <f>IF(LEN(GRADES[[#This Row],[PayScaleGradeCode]])&lt;100,0,1)</f>
        <v>0</v>
      </c>
      <c r="I24" s="57">
        <f>IF(LEN(GRADES[[#This Row],[Title]])&lt;100,0,1)</f>
        <v>0</v>
      </c>
      <c r="J24" s="57">
        <f>IF(SUBSTITUTE(TEXT(GRADES[[#This Row],[PayScaleGradeCode]],10)," ","")=TEXT(GRADES[[#This Row],[PayScaleGradeCode]],10),0,1)</f>
        <v>0</v>
      </c>
      <c r="K24" s="57">
        <f>SUM(GRADES[[#This Row],[Pay Scale issue]:[Schools Check]],GRADES[[#This Row],[TRUE /FALSE Typo]:[Space in Code]])</f>
        <v>0</v>
      </c>
      <c r="L24" s="57" t="str">
        <f>_xlfn.XLOOKUP(GRADES[[#This Row],[PayScaleCode]],PAYSCALES[PayScaleCode],PAYSCALES[London Weighting])</f>
        <v>Outer</v>
      </c>
      <c r="N24" s="12" t="s">
        <v>1417</v>
      </c>
      <c r="O24" s="12" t="s">
        <v>1491</v>
      </c>
      <c r="P24" s="12" t="s">
        <v>1417</v>
      </c>
      <c r="Q24" s="12" t="s">
        <v>1451</v>
      </c>
      <c r="R24" s="12" t="s">
        <v>1452</v>
      </c>
      <c r="S24" s="57" cm="1">
        <f t="array" ref="S24">LOOKUP(2,1/(PSPOINTS[PayScaleCode]=GRADES[[#This Row],[PayScaleCode]])/(PSPOINTS[PayScalePointCode]=GRADES[[#This Row],[Point From (Check)]]),(PSPOINTS[ScalePointNumber]))</f>
        <v>1</v>
      </c>
      <c r="T24" s="57" cm="1">
        <f t="array" ref="T24">LOOKUP(2,1/(PSPOINTS[PayScaleCode]=GRADES[[#This Row],[PayScaleCode]])/(PSPOINTS[PayScalePointCode]=GRADES[[#This Row],[Point To (Check)]]),(PSPOINTS[ScalePointNumber]))</f>
        <v>6</v>
      </c>
      <c r="U24" s="12" t="b">
        <v>1</v>
      </c>
      <c r="W24" s="12" t="b">
        <v>1</v>
      </c>
    </row>
    <row r="25" spans="1:23" x14ac:dyDescent="0.25">
      <c r="A25" s="57" t="str">
        <f>IF(COUNTIF('19_PayScales'!N:N,'22_PayScaleGrades'!P25)&gt;0,"0","1")</f>
        <v>0</v>
      </c>
      <c r="B25" s="57">
        <f>COUNTIF(GRADES[PayScaleGradeCode],GRADES[[#This Row],[PayScaleGradeCode]])-1</f>
        <v>0</v>
      </c>
      <c r="C25" s="57" cm="1">
        <f t="array" ref="C25">IF(GRADES[[#This Row],[AvailableToAllSchools]]=FALSE,IF(ISBLANK(GRADES[[#This Row],[SchoolCodes]]),1,IF(AND(COUNTIF(SCHOOLS[SchoolCode],_xlfn.TEXTSPLIT(GRADES[[#This Row],[SchoolCodes]],","))),0,1)),IF(GRADES[[#This Row],[AvailableToAllSchools]]=TRUE,IF(ISBLANK(GRADES[[#This Row],[SchoolCodes]]),0,1)))</f>
        <v>0</v>
      </c>
      <c r="D25" s="57"/>
      <c r="E25" s="57" cm="1">
        <f t="array" ref="E25">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5" s="57">
        <f>IF(OR(GRADES[[#This Row],[AvailableToAllSchools]]=TRUE,GRADES[[#This Row],[AvailableToAllSchools]]=FALSE),IF(OR(GRADES[[#This Row],[PayScaleGradeEnabled]]=TRUE,GRADES[[#This Row],[PayScaleGradeEnabled]]=FALSE),0,1),1)</f>
        <v>0</v>
      </c>
      <c r="G25" s="57">
        <f>(COUNTBLANK(GRADES[[#This Row],[PayScaleGradeCode]:[AvailableToAllSchools]])+COUNTBLANK(GRADES[[#This Row],[PayScaleGradeEnabled]]))</f>
        <v>0</v>
      </c>
      <c r="H25" s="57">
        <f>IF(LEN(GRADES[[#This Row],[PayScaleGradeCode]])&lt;100,0,1)</f>
        <v>0</v>
      </c>
      <c r="I25" s="57">
        <f>IF(LEN(GRADES[[#This Row],[Title]])&lt;100,0,1)</f>
        <v>0</v>
      </c>
      <c r="J25" s="57">
        <f>IF(SUBSTITUTE(TEXT(GRADES[[#This Row],[PayScaleGradeCode]],10)," ","")=TEXT(GRADES[[#This Row],[PayScaleGradeCode]],10),0,1)</f>
        <v>0</v>
      </c>
      <c r="K25" s="57">
        <f>SUM(GRADES[[#This Row],[Pay Scale issue]:[Schools Check]],GRADES[[#This Row],[TRUE /FALSE Typo]:[Space in Code]])</f>
        <v>0</v>
      </c>
      <c r="L25" s="57" t="str">
        <f>_xlfn.XLOOKUP(GRADES[[#This Row],[PayScaleCode]],PAYSCALES[PayScaleCode],PAYSCALES[London Weighting])</f>
        <v>Outer</v>
      </c>
      <c r="N25" s="12" t="s">
        <v>1419</v>
      </c>
      <c r="O25" s="12" t="s">
        <v>1420</v>
      </c>
      <c r="P25" s="12" t="s">
        <v>1419</v>
      </c>
      <c r="Q25" s="12" t="s">
        <v>1455</v>
      </c>
      <c r="R25" s="12" t="s">
        <v>1456</v>
      </c>
      <c r="S25" s="57" cm="1">
        <f t="array" ref="S25">LOOKUP(2,1/(PSPOINTS[PayScaleCode]=GRADES[[#This Row],[PayScaleCode]])/(PSPOINTS[PayScalePointCode]=GRADES[[#This Row],[Point From (Check)]]),(PSPOINTS[ScalePointNumber]))</f>
        <v>1</v>
      </c>
      <c r="T25" s="57" cm="1">
        <f t="array" ref="T25">LOOKUP(2,1/(PSPOINTS[PayScaleCode]=GRADES[[#This Row],[PayScaleCode]])/(PSPOINTS[PayScalePointCode]=GRADES[[#This Row],[Point To (Check)]]),(PSPOINTS[ScalePointNumber]))</f>
        <v>43</v>
      </c>
      <c r="U25" s="12" t="b">
        <v>1</v>
      </c>
      <c r="W25" s="12" t="b">
        <v>1</v>
      </c>
    </row>
    <row r="26" spans="1:23" x14ac:dyDescent="0.25">
      <c r="A26" s="57" t="str">
        <f>IF(COUNTIF('19_PayScales'!N:N,'22_PayScaleGrades'!P26)&gt;0,"0","1")</f>
        <v>0</v>
      </c>
      <c r="B26" s="57">
        <f>COUNTIF(GRADES[PayScaleGradeCode],GRADES[[#This Row],[PayScaleGradeCode]])-1</f>
        <v>0</v>
      </c>
      <c r="C26" s="57" cm="1">
        <f t="array" ref="C26">IF(GRADES[[#This Row],[AvailableToAllSchools]]=FALSE,IF(ISBLANK(GRADES[[#This Row],[SchoolCodes]]),1,IF(AND(COUNTIF(SCHOOLS[SchoolCode],_xlfn.TEXTSPLIT(GRADES[[#This Row],[SchoolCodes]],","))),0,1)),IF(GRADES[[#This Row],[AvailableToAllSchools]]=TRUE,IF(ISBLANK(GRADES[[#This Row],[SchoolCodes]]),0,1)))</f>
        <v>0</v>
      </c>
      <c r="D26" s="57"/>
      <c r="E26" s="57" cm="1">
        <f t="array" ref="E26">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6" s="57">
        <f>IF(OR(GRADES[[#This Row],[AvailableToAllSchools]]=TRUE,GRADES[[#This Row],[AvailableToAllSchools]]=FALSE),IF(OR(GRADES[[#This Row],[PayScaleGradeEnabled]]=TRUE,GRADES[[#This Row],[PayScaleGradeEnabled]]=FALSE),0,1),1)</f>
        <v>0</v>
      </c>
      <c r="G26" s="57">
        <f>(COUNTBLANK(GRADES[[#This Row],[PayScaleGradeCode]:[AvailableToAllSchools]])+COUNTBLANK(GRADES[[#This Row],[PayScaleGradeEnabled]]))</f>
        <v>0</v>
      </c>
      <c r="H26" s="57">
        <f>IF(LEN(GRADES[[#This Row],[PayScaleGradeCode]])&lt;100,0,1)</f>
        <v>0</v>
      </c>
      <c r="I26" s="57">
        <f>IF(LEN(GRADES[[#This Row],[Title]])&lt;100,0,1)</f>
        <v>0</v>
      </c>
      <c r="J26" s="57">
        <f>IF(SUBSTITUTE(TEXT(GRADES[[#This Row],[PayScaleGradeCode]],10)," ","")=TEXT(GRADES[[#This Row],[PayScaleGradeCode]],10),0,1)</f>
        <v>0</v>
      </c>
      <c r="K26" s="57">
        <f>SUM(GRADES[[#This Row],[Pay Scale issue]:[Schools Check]],GRADES[[#This Row],[TRUE /FALSE Typo]:[Space in Code]])</f>
        <v>0</v>
      </c>
      <c r="L26" s="57" t="str">
        <f>_xlfn.XLOOKUP(GRADES[[#This Row],[PayScaleCode]],PAYSCALES[PayScaleCode],PAYSCALES[London Weighting])</f>
        <v>Outer</v>
      </c>
      <c r="N26" s="12" t="s">
        <v>1415</v>
      </c>
      <c r="O26" s="12" t="s">
        <v>1492</v>
      </c>
      <c r="P26" s="12" t="s">
        <v>1415</v>
      </c>
      <c r="Q26" s="12" t="s">
        <v>1459</v>
      </c>
      <c r="R26" s="12" t="s">
        <v>1460</v>
      </c>
      <c r="S26" s="57" cm="1">
        <f t="array" ref="S26">LOOKUP(2,1/(PSPOINTS[PayScaleCode]=GRADES[[#This Row],[PayScaleCode]])/(PSPOINTS[PayScalePointCode]=GRADES[[#This Row],[Point From (Check)]]),(PSPOINTS[ScalePointNumber]))</f>
        <v>1</v>
      </c>
      <c r="T26" s="57" cm="1">
        <f t="array" ref="T26">LOOKUP(2,1/(PSPOINTS[PayScaleCode]=GRADES[[#This Row],[PayScaleCode]])/(PSPOINTS[PayScalePointCode]=GRADES[[#This Row],[Point To (Check)]]),(PSPOINTS[ScalePointNumber]))</f>
        <v>18</v>
      </c>
      <c r="U26" s="12" t="b">
        <v>1</v>
      </c>
      <c r="W26" s="12" t="b">
        <v>1</v>
      </c>
    </row>
    <row r="27" spans="1:23" x14ac:dyDescent="0.25">
      <c r="A27" s="57" t="str">
        <f>IF(COUNTIF('19_PayScales'!N:N,'22_PayScaleGrades'!P27)&gt;0,"0","1")</f>
        <v>0</v>
      </c>
      <c r="B27" s="57">
        <f>COUNTIF(GRADES[PayScaleGradeCode],GRADES[[#This Row],[PayScaleGradeCode]])-1</f>
        <v>0</v>
      </c>
      <c r="C27" s="57" cm="1">
        <f t="array" ref="C27">IF(GRADES[[#This Row],[AvailableToAllSchools]]=FALSE,IF(ISBLANK(GRADES[[#This Row],[SchoolCodes]]),1,IF(AND(COUNTIF(SCHOOLS[SchoolCode],_xlfn.TEXTSPLIT(GRADES[[#This Row],[SchoolCodes]],","))),0,1)),IF(GRADES[[#This Row],[AvailableToAllSchools]]=TRUE,IF(ISBLANK(GRADES[[#This Row],[SchoolCodes]]),0,1)))</f>
        <v>0</v>
      </c>
      <c r="D27" s="57"/>
      <c r="E27" s="57" cm="1">
        <f t="array" ref="E27">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7" s="57">
        <f>IF(OR(GRADES[[#This Row],[AvailableToAllSchools]]=TRUE,GRADES[[#This Row],[AvailableToAllSchools]]=FALSE),IF(OR(GRADES[[#This Row],[PayScaleGradeEnabled]]=TRUE,GRADES[[#This Row],[PayScaleGradeEnabled]]=FALSE),0,1),1)</f>
        <v>0</v>
      </c>
      <c r="G27" s="57">
        <f>(COUNTBLANK(GRADES[[#This Row],[PayScaleGradeCode]:[AvailableToAllSchools]])+COUNTBLANK(GRADES[[#This Row],[PayScaleGradeEnabled]]))</f>
        <v>0</v>
      </c>
      <c r="H27" s="57">
        <f>IF(LEN(GRADES[[#This Row],[PayScaleGradeCode]])&lt;100,0,1)</f>
        <v>0</v>
      </c>
      <c r="I27" s="57">
        <f>IF(LEN(GRADES[[#This Row],[Title]])&lt;100,0,1)</f>
        <v>0</v>
      </c>
      <c r="J27" s="57">
        <f>IF(SUBSTITUTE(TEXT(GRADES[[#This Row],[PayScaleGradeCode]],10)," ","")=TEXT(GRADES[[#This Row],[PayScaleGradeCode]],10),0,1)</f>
        <v>0</v>
      </c>
      <c r="K27" s="57">
        <f>SUM(GRADES[[#This Row],[Pay Scale issue]:[Schools Check]],GRADES[[#This Row],[TRUE /FALSE Typo]:[Space in Code]])</f>
        <v>0</v>
      </c>
      <c r="L27" s="57" t="str">
        <f>_xlfn.XLOOKUP(GRADES[[#This Row],[PayScaleCode]],PAYSCALES[PayScaleCode],PAYSCALES[London Weighting])</f>
        <v>Outer</v>
      </c>
      <c r="N27" s="12" t="s">
        <v>1421</v>
      </c>
      <c r="O27" s="12" t="s">
        <v>1493</v>
      </c>
      <c r="P27" s="12" t="s">
        <v>1421</v>
      </c>
      <c r="Q27" s="12">
        <v>1</v>
      </c>
      <c r="R27" s="12">
        <v>65</v>
      </c>
      <c r="S27" s="57" cm="1">
        <f t="array" ref="S27">LOOKUP(2,1/(PSPOINTS[PayScaleCode]=GRADES[[#This Row],[PayScaleCode]])/(PSPOINTS[PayScalePointCode]=GRADES[[#This Row],[Point From (Check)]]),(PSPOINTS[ScalePointNumber]))</f>
        <v>1</v>
      </c>
      <c r="T27" s="66" cm="1">
        <f t="array" ref="T27">LOOKUP(2,1/(PSPOINTS[PayScaleCode]=GRADES[[#This Row],[PayScaleCode]])/(PSPOINTS[PayScalePointCode]=GRADES[[#This Row],[Point To (Check)]]),(PSPOINTS[ScalePointNumber]))</f>
        <v>65</v>
      </c>
      <c r="U27" s="12" t="b">
        <v>1</v>
      </c>
      <c r="W27" s="12" t="b">
        <v>1</v>
      </c>
    </row>
    <row r="28" spans="1:23" x14ac:dyDescent="0.25">
      <c r="A28" s="57" t="str">
        <f>IF(COUNTIF('19_PayScales'!N:N,'22_PayScaleGrades'!P28)&gt;0,"0","1")</f>
        <v>0</v>
      </c>
      <c r="B28" s="57">
        <f>COUNTIF(GRADES[PayScaleGradeCode],GRADES[[#This Row],[PayScaleGradeCode]])-1</f>
        <v>0</v>
      </c>
      <c r="C28" s="57" cm="1">
        <f t="array" ref="C28">IF(GRADES[[#This Row],[AvailableToAllSchools]]=FALSE,IF(ISBLANK(GRADES[[#This Row],[SchoolCodes]]),1,IF(AND(COUNTIF(SCHOOLS[SchoolCode],_xlfn.TEXTSPLIT(GRADES[[#This Row],[SchoolCodes]],","))),0,1)),IF(GRADES[[#This Row],[AvailableToAllSchools]]=TRUE,IF(ISBLANK(GRADES[[#This Row],[SchoolCodes]]),0,1)))</f>
        <v>0</v>
      </c>
      <c r="D28" s="57"/>
      <c r="E28" s="57" cm="1">
        <f t="array" ref="E28">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8" s="57">
        <f>IF(OR(GRADES[[#This Row],[AvailableToAllSchools]]=TRUE,GRADES[[#This Row],[AvailableToAllSchools]]=FALSE),IF(OR(GRADES[[#This Row],[PayScaleGradeEnabled]]=TRUE,GRADES[[#This Row],[PayScaleGradeEnabled]]=FALSE),0,1),1)</f>
        <v>0</v>
      </c>
      <c r="G28" s="57">
        <f>(COUNTBLANK(GRADES[[#This Row],[PayScaleGradeCode]:[AvailableToAllSchools]])+COUNTBLANK(GRADES[[#This Row],[PayScaleGradeEnabled]]))</f>
        <v>0</v>
      </c>
      <c r="H28" s="57">
        <f>IF(LEN(GRADES[[#This Row],[PayScaleGradeCode]])&lt;100,0,1)</f>
        <v>0</v>
      </c>
      <c r="I28" s="57">
        <f>IF(LEN(GRADES[[#This Row],[Title]])&lt;100,0,1)</f>
        <v>0</v>
      </c>
      <c r="J28" s="57">
        <f>IF(SUBSTITUTE(TEXT(GRADES[[#This Row],[PayScaleGradeCode]],10)," ","")=TEXT(GRADES[[#This Row],[PayScaleGradeCode]],10),0,1)</f>
        <v>0</v>
      </c>
      <c r="K28" s="57">
        <f>SUM(GRADES[[#This Row],[Pay Scale issue]:[Schools Check]],GRADES[[#This Row],[TRUE /FALSE Typo]:[Space in Code]])</f>
        <v>0</v>
      </c>
      <c r="L28" s="57" t="str">
        <f>_xlfn.XLOOKUP(GRADES[[#This Row],[PayScaleCode]],PAYSCALES[PayScaleCode],PAYSCALES[London Weighting])</f>
        <v>Inner</v>
      </c>
      <c r="N28" s="12" t="s">
        <v>1494</v>
      </c>
      <c r="O28" s="12" t="s">
        <v>1495</v>
      </c>
      <c r="P28" s="12" t="s">
        <v>1402</v>
      </c>
      <c r="Q28" s="12" t="s">
        <v>1441</v>
      </c>
      <c r="R28" s="12" t="s">
        <v>1442</v>
      </c>
      <c r="S28" s="57" cm="1">
        <f t="array" ref="S28">LOOKUP(2,1/(PSPOINTS[PayScaleCode]=GRADES[[#This Row],[PayScaleCode]])/(PSPOINTS[PayScalePointCode]=GRADES[[#This Row],[Point From (Check)]]),(PSPOINTS[ScalePointNumber]))</f>
        <v>1</v>
      </c>
      <c r="T28" s="57" cm="1">
        <f t="array" ref="T28">LOOKUP(2,1/(PSPOINTS[PayScaleCode]=GRADES[[#This Row],[PayScaleCode]])/(PSPOINTS[PayScalePointCode]=GRADES[[#This Row],[Point To (Check)]]),(PSPOINTS[ScalePointNumber]))</f>
        <v>11</v>
      </c>
      <c r="U28" s="12" t="b">
        <v>1</v>
      </c>
      <c r="W28" s="12" t="b">
        <v>1</v>
      </c>
    </row>
    <row r="29" spans="1:23" x14ac:dyDescent="0.25">
      <c r="A29" s="57" t="str">
        <f>IF(COUNTIF('19_PayScales'!N:N,'22_PayScaleGrades'!P29)&gt;0,"0","1")</f>
        <v>0</v>
      </c>
      <c r="B29" s="57">
        <f>COUNTIF(GRADES[PayScaleGradeCode],GRADES[[#This Row],[PayScaleGradeCode]])-1</f>
        <v>0</v>
      </c>
      <c r="C29" s="57" cm="1">
        <f t="array" ref="C29">IF(GRADES[[#This Row],[AvailableToAllSchools]]=FALSE,IF(ISBLANK(GRADES[[#This Row],[SchoolCodes]]),1,IF(AND(COUNTIF(SCHOOLS[SchoolCode],_xlfn.TEXTSPLIT(GRADES[[#This Row],[SchoolCodes]],","))),0,1)),IF(GRADES[[#This Row],[AvailableToAllSchools]]=TRUE,IF(ISBLANK(GRADES[[#This Row],[SchoolCodes]]),0,1)))</f>
        <v>0</v>
      </c>
      <c r="D29" s="57"/>
      <c r="E29" s="57" cm="1">
        <f t="array" ref="E29">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29" s="57">
        <f>IF(OR(GRADES[[#This Row],[AvailableToAllSchools]]=TRUE,GRADES[[#This Row],[AvailableToAllSchools]]=FALSE),IF(OR(GRADES[[#This Row],[PayScaleGradeEnabled]]=TRUE,GRADES[[#This Row],[PayScaleGradeEnabled]]=FALSE),0,1),1)</f>
        <v>0</v>
      </c>
      <c r="G29" s="57">
        <f>(COUNTBLANK(GRADES[[#This Row],[PayScaleGradeCode]:[AvailableToAllSchools]])+COUNTBLANK(GRADES[[#This Row],[PayScaleGradeEnabled]]))</f>
        <v>0</v>
      </c>
      <c r="H29" s="57">
        <f>IF(LEN(GRADES[[#This Row],[PayScaleGradeCode]])&lt;100,0,1)</f>
        <v>0</v>
      </c>
      <c r="I29" s="57">
        <f>IF(LEN(GRADES[[#This Row],[Title]])&lt;100,0,1)</f>
        <v>0</v>
      </c>
      <c r="J29" s="57">
        <f>IF(SUBSTITUTE(TEXT(GRADES[[#This Row],[PayScaleGradeCode]],10)," ","")=TEXT(GRADES[[#This Row],[PayScaleGradeCode]],10),0,1)</f>
        <v>0</v>
      </c>
      <c r="K29" s="57">
        <f>SUM(GRADES[[#This Row],[Pay Scale issue]:[Schools Check]],GRADES[[#This Row],[TRUE /FALSE Typo]:[Space in Code]])</f>
        <v>0</v>
      </c>
      <c r="L29" s="57" t="str">
        <f>_xlfn.XLOOKUP(GRADES[[#This Row],[PayScaleCode]],PAYSCALES[PayScaleCode],PAYSCALES[London Weighting])</f>
        <v>Inner</v>
      </c>
      <c r="N29" s="111" t="s">
        <v>1402</v>
      </c>
      <c r="O29" s="12" t="s">
        <v>1496</v>
      </c>
      <c r="P29" s="12" t="s">
        <v>1402</v>
      </c>
      <c r="Q29" s="12" t="s">
        <v>1441</v>
      </c>
      <c r="R29" s="12" t="s">
        <v>1445</v>
      </c>
      <c r="S29" s="57" cm="1">
        <f t="array" ref="S29">LOOKUP(2,1/(PSPOINTS[PayScaleCode]=GRADES[[#This Row],[PayScaleCode]])/(PSPOINTS[PayScalePointCode]=GRADES[[#This Row],[Point From (Check)]]),(PSPOINTS[ScalePointNumber]))</f>
        <v>1</v>
      </c>
      <c r="T29" s="57" cm="1">
        <f t="array" ref="T29">LOOKUP(2,1/(PSPOINTS[PayScaleCode]=GRADES[[#This Row],[PayScaleCode]])/(PSPOINTS[PayScalePointCode]=GRADES[[#This Row],[Point To (Check)]]),(PSPOINTS[ScalePointNumber]))</f>
        <v>6</v>
      </c>
      <c r="U29" s="12" t="b">
        <v>1</v>
      </c>
      <c r="W29" s="12" t="b">
        <v>1</v>
      </c>
    </row>
    <row r="30" spans="1:23" x14ac:dyDescent="0.25">
      <c r="A30" s="57" t="str">
        <f>IF(COUNTIF('19_PayScales'!N:N,'22_PayScaleGrades'!P30)&gt;0,"0","1")</f>
        <v>0</v>
      </c>
      <c r="B30" s="57">
        <f>COUNTIF(GRADES[PayScaleGradeCode],GRADES[[#This Row],[PayScaleGradeCode]])-1</f>
        <v>0</v>
      </c>
      <c r="C30" s="57" cm="1">
        <f t="array" ref="C30">IF(GRADES[[#This Row],[AvailableToAllSchools]]=FALSE,IF(ISBLANK(GRADES[[#This Row],[SchoolCodes]]),1,IF(AND(COUNTIF(SCHOOLS[SchoolCode],_xlfn.TEXTSPLIT(GRADES[[#This Row],[SchoolCodes]],","))),0,1)),IF(GRADES[[#This Row],[AvailableToAllSchools]]=TRUE,IF(ISBLANK(GRADES[[#This Row],[SchoolCodes]]),0,1)))</f>
        <v>0</v>
      </c>
      <c r="D30" s="57"/>
      <c r="E30" s="57" cm="1">
        <f t="array" ref="E30">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0" s="57">
        <f>IF(OR(GRADES[[#This Row],[AvailableToAllSchools]]=TRUE,GRADES[[#This Row],[AvailableToAllSchools]]=FALSE),IF(OR(GRADES[[#This Row],[PayScaleGradeEnabled]]=TRUE,GRADES[[#This Row],[PayScaleGradeEnabled]]=FALSE),0,1),1)</f>
        <v>0</v>
      </c>
      <c r="G30" s="57">
        <f>(COUNTBLANK(GRADES[[#This Row],[PayScaleGradeCode]:[AvailableToAllSchools]])+COUNTBLANK(GRADES[[#This Row],[PayScaleGradeEnabled]]))</f>
        <v>0</v>
      </c>
      <c r="H30" s="57">
        <f>IF(LEN(GRADES[[#This Row],[PayScaleGradeCode]])&lt;100,0,1)</f>
        <v>0</v>
      </c>
      <c r="I30" s="57">
        <f>IF(LEN(GRADES[[#This Row],[Title]])&lt;100,0,1)</f>
        <v>0</v>
      </c>
      <c r="J30" s="57">
        <f>IF(SUBSTITUTE(TEXT(GRADES[[#This Row],[PayScaleGradeCode]],10)," ","")=TEXT(GRADES[[#This Row],[PayScaleGradeCode]],10),0,1)</f>
        <v>0</v>
      </c>
      <c r="K30" s="57">
        <f>SUM(GRADES[[#This Row],[Pay Scale issue]:[Schools Check]],GRADES[[#This Row],[TRUE /FALSE Typo]:[Space in Code]])</f>
        <v>0</v>
      </c>
      <c r="L30" s="57" t="str">
        <f>_xlfn.XLOOKUP(GRADES[[#This Row],[PayScaleCode]],PAYSCALES[PayScaleCode],PAYSCALES[London Weighting])</f>
        <v>Inner</v>
      </c>
      <c r="N30" s="111" t="s">
        <v>1497</v>
      </c>
      <c r="O30" s="12" t="s">
        <v>1498</v>
      </c>
      <c r="P30" s="12" t="s">
        <v>1402</v>
      </c>
      <c r="Q30" s="12" t="s">
        <v>1448</v>
      </c>
      <c r="R30" s="12" t="s">
        <v>1442</v>
      </c>
      <c r="S30" s="57" cm="1">
        <f t="array" ref="S30">LOOKUP(2,1/(PSPOINTS[PayScaleCode]=GRADES[[#This Row],[PayScaleCode]])/(PSPOINTS[PayScalePointCode]=GRADES[[#This Row],[Point From (Check)]]),(PSPOINTS[ScalePointNumber]))</f>
        <v>7</v>
      </c>
      <c r="T30" s="57" cm="1">
        <f t="array" ref="T30">LOOKUP(2,1/(PSPOINTS[PayScaleCode]=GRADES[[#This Row],[PayScaleCode]])/(PSPOINTS[PayScalePointCode]=GRADES[[#This Row],[Point To (Check)]]),(PSPOINTS[ScalePointNumber]))</f>
        <v>11</v>
      </c>
      <c r="U30" s="12" t="b">
        <v>1</v>
      </c>
      <c r="W30" s="12" t="b">
        <v>1</v>
      </c>
    </row>
    <row r="31" spans="1:23" x14ac:dyDescent="0.25">
      <c r="A31" s="57" t="str">
        <f>IF(COUNTIF('19_PayScales'!N:N,'22_PayScaleGrades'!P31)&gt;0,"0","1")</f>
        <v>0</v>
      </c>
      <c r="B31" s="57">
        <f>COUNTIF(GRADES[PayScaleGradeCode],GRADES[[#This Row],[PayScaleGradeCode]])-1</f>
        <v>0</v>
      </c>
      <c r="C31" s="57" cm="1">
        <f t="array" ref="C31">IF(GRADES[[#This Row],[AvailableToAllSchools]]=FALSE,IF(ISBLANK(GRADES[[#This Row],[SchoolCodes]]),1,IF(AND(COUNTIF(SCHOOLS[SchoolCode],_xlfn.TEXTSPLIT(GRADES[[#This Row],[SchoolCodes]],","))),0,1)),IF(GRADES[[#This Row],[AvailableToAllSchools]]=TRUE,IF(ISBLANK(GRADES[[#This Row],[SchoolCodes]]),0,1)))</f>
        <v>0</v>
      </c>
      <c r="D31" s="57"/>
      <c r="E31" s="57" cm="1">
        <f t="array" ref="E31">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1" s="57">
        <f>IF(OR(GRADES[[#This Row],[AvailableToAllSchools]]=TRUE,GRADES[[#This Row],[AvailableToAllSchools]]=FALSE),IF(OR(GRADES[[#This Row],[PayScaleGradeEnabled]]=TRUE,GRADES[[#This Row],[PayScaleGradeEnabled]]=FALSE),0,1),1)</f>
        <v>0</v>
      </c>
      <c r="G31" s="57">
        <f>(COUNTBLANK(GRADES[[#This Row],[PayScaleGradeCode]:[AvailableToAllSchools]])+COUNTBLANK(GRADES[[#This Row],[PayScaleGradeEnabled]]))</f>
        <v>0</v>
      </c>
      <c r="H31" s="57">
        <f>IF(LEN(GRADES[[#This Row],[PayScaleGradeCode]])&lt;100,0,1)</f>
        <v>0</v>
      </c>
      <c r="I31" s="57">
        <f>IF(LEN(GRADES[[#This Row],[Title]])&lt;100,0,1)</f>
        <v>0</v>
      </c>
      <c r="J31" s="57">
        <f>IF(SUBSTITUTE(TEXT(GRADES[[#This Row],[PayScaleGradeCode]],10)," ","")=TEXT(GRADES[[#This Row],[PayScaleGradeCode]],10),0,1)</f>
        <v>0</v>
      </c>
      <c r="K31" s="57">
        <f>SUM(GRADES[[#This Row],[Pay Scale issue]:[Schools Check]],GRADES[[#This Row],[TRUE /FALSE Typo]:[Space in Code]])</f>
        <v>0</v>
      </c>
      <c r="L31" s="57" t="str">
        <f>_xlfn.XLOOKUP(GRADES[[#This Row],[PayScaleCode]],PAYSCALES[PayScaleCode],PAYSCALES[London Weighting])</f>
        <v>Inner</v>
      </c>
      <c r="N31" s="12" t="s">
        <v>1406</v>
      </c>
      <c r="O31" s="12" t="s">
        <v>1499</v>
      </c>
      <c r="P31" s="12" t="s">
        <v>1406</v>
      </c>
      <c r="Q31" s="12" t="s">
        <v>1451</v>
      </c>
      <c r="R31" s="12" t="s">
        <v>1452</v>
      </c>
      <c r="S31" s="57" cm="1">
        <f t="array" ref="S31">LOOKUP(2,1/(PSPOINTS[PayScaleCode]=GRADES[[#This Row],[PayScaleCode]])/(PSPOINTS[PayScalePointCode]=GRADES[[#This Row],[Point From (Check)]]),(PSPOINTS[ScalePointNumber]))</f>
        <v>1</v>
      </c>
      <c r="T31" s="57" cm="1">
        <f t="array" ref="T31">LOOKUP(2,1/(PSPOINTS[PayScaleCode]=GRADES[[#This Row],[PayScaleCode]])/(PSPOINTS[PayScalePointCode]=GRADES[[#This Row],[Point To (Check)]]),(PSPOINTS[ScalePointNumber]))</f>
        <v>6</v>
      </c>
      <c r="U31" s="12" t="b">
        <v>1</v>
      </c>
      <c r="W31" s="12" t="b">
        <v>1</v>
      </c>
    </row>
    <row r="32" spans="1:23" x14ac:dyDescent="0.25">
      <c r="A32" s="57" t="str">
        <f>IF(COUNTIF('19_PayScales'!N:N,'22_PayScaleGrades'!P32)&gt;0,"0","1")</f>
        <v>0</v>
      </c>
      <c r="B32" s="57">
        <f>COUNTIF(GRADES[PayScaleGradeCode],GRADES[[#This Row],[PayScaleGradeCode]])-1</f>
        <v>0</v>
      </c>
      <c r="C32" s="57" cm="1">
        <f t="array" ref="C32">IF(GRADES[[#This Row],[AvailableToAllSchools]]=FALSE,IF(ISBLANK(GRADES[[#This Row],[SchoolCodes]]),1,IF(AND(COUNTIF(SCHOOLS[SchoolCode],_xlfn.TEXTSPLIT(GRADES[[#This Row],[SchoolCodes]],","))),0,1)),IF(GRADES[[#This Row],[AvailableToAllSchools]]=TRUE,IF(ISBLANK(GRADES[[#This Row],[SchoolCodes]]),0,1)))</f>
        <v>0</v>
      </c>
      <c r="D32" s="57"/>
      <c r="E32" s="57" cm="1">
        <f t="array" ref="E32">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2" s="57">
        <f>IF(OR(GRADES[[#This Row],[AvailableToAllSchools]]=TRUE,GRADES[[#This Row],[AvailableToAllSchools]]=FALSE),IF(OR(GRADES[[#This Row],[PayScaleGradeEnabled]]=TRUE,GRADES[[#This Row],[PayScaleGradeEnabled]]=FALSE),0,1),1)</f>
        <v>0</v>
      </c>
      <c r="G32" s="57">
        <f>(COUNTBLANK(GRADES[[#This Row],[PayScaleGradeCode]:[AvailableToAllSchools]])+COUNTBLANK(GRADES[[#This Row],[PayScaleGradeEnabled]]))</f>
        <v>0</v>
      </c>
      <c r="H32" s="57">
        <f>IF(LEN(GRADES[[#This Row],[PayScaleGradeCode]])&lt;100,0,1)</f>
        <v>0</v>
      </c>
      <c r="I32" s="57">
        <f>IF(LEN(GRADES[[#This Row],[Title]])&lt;100,0,1)</f>
        <v>0</v>
      </c>
      <c r="J32" s="57">
        <f>IF(SUBSTITUTE(TEXT(GRADES[[#This Row],[PayScaleGradeCode]],10)," ","")=TEXT(GRADES[[#This Row],[PayScaleGradeCode]],10),0,1)</f>
        <v>0</v>
      </c>
      <c r="K32" s="57">
        <f>SUM(GRADES[[#This Row],[Pay Scale issue]:[Schools Check]],GRADES[[#This Row],[TRUE /FALSE Typo]:[Space in Code]])</f>
        <v>0</v>
      </c>
      <c r="L32" s="57" t="str">
        <f>_xlfn.XLOOKUP(GRADES[[#This Row],[PayScaleCode]],PAYSCALES[PayScaleCode],PAYSCALES[London Weighting])</f>
        <v>Inner</v>
      </c>
      <c r="N32" s="12" t="s">
        <v>1408</v>
      </c>
      <c r="O32" s="12" t="s">
        <v>1409</v>
      </c>
      <c r="P32" s="12" t="s">
        <v>1408</v>
      </c>
      <c r="Q32" s="12" t="s">
        <v>1455</v>
      </c>
      <c r="R32" s="12" t="s">
        <v>1456</v>
      </c>
      <c r="S32" s="57" cm="1">
        <f t="array" ref="S32">LOOKUP(2,1/(PSPOINTS[PayScaleCode]=GRADES[[#This Row],[PayScaleCode]])/(PSPOINTS[PayScalePointCode]=GRADES[[#This Row],[Point From (Check)]]),(PSPOINTS[ScalePointNumber]))</f>
        <v>1</v>
      </c>
      <c r="T32" s="57" cm="1">
        <f t="array" ref="T32">LOOKUP(2,1/(PSPOINTS[PayScaleCode]=GRADES[[#This Row],[PayScaleCode]])/(PSPOINTS[PayScalePointCode]=GRADES[[#This Row],[Point To (Check)]]),(PSPOINTS[ScalePointNumber]))</f>
        <v>43</v>
      </c>
      <c r="U32" s="12" t="b">
        <v>1</v>
      </c>
      <c r="W32" s="12" t="b">
        <v>1</v>
      </c>
    </row>
    <row r="33" spans="1:23" x14ac:dyDescent="0.25">
      <c r="A33" s="57" t="str">
        <f>IF(COUNTIF('19_PayScales'!N:N,'22_PayScaleGrades'!P33)&gt;0,"0","1")</f>
        <v>0</v>
      </c>
      <c r="B33" s="57">
        <f>COUNTIF(GRADES[PayScaleGradeCode],GRADES[[#This Row],[PayScaleGradeCode]])-1</f>
        <v>0</v>
      </c>
      <c r="C33" s="57" cm="1">
        <f t="array" ref="C33">IF(GRADES[[#This Row],[AvailableToAllSchools]]=FALSE,IF(ISBLANK(GRADES[[#This Row],[SchoolCodes]]),1,IF(AND(COUNTIF(SCHOOLS[SchoolCode],_xlfn.TEXTSPLIT(GRADES[[#This Row],[SchoolCodes]],","))),0,1)),IF(GRADES[[#This Row],[AvailableToAllSchools]]=TRUE,IF(ISBLANK(GRADES[[#This Row],[SchoolCodes]]),0,1)))</f>
        <v>0</v>
      </c>
      <c r="D33" s="57"/>
      <c r="E33" s="57" cm="1">
        <f t="array" ref="E33">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3" s="57">
        <f>IF(OR(GRADES[[#This Row],[AvailableToAllSchools]]=TRUE,GRADES[[#This Row],[AvailableToAllSchools]]=FALSE),IF(OR(GRADES[[#This Row],[PayScaleGradeEnabled]]=TRUE,GRADES[[#This Row],[PayScaleGradeEnabled]]=FALSE),0,1),1)</f>
        <v>0</v>
      </c>
      <c r="G33" s="57">
        <f>(COUNTBLANK(GRADES[[#This Row],[PayScaleGradeCode]:[AvailableToAllSchools]])+COUNTBLANK(GRADES[[#This Row],[PayScaleGradeEnabled]]))</f>
        <v>0</v>
      </c>
      <c r="H33" s="57">
        <f>IF(LEN(GRADES[[#This Row],[PayScaleGradeCode]])&lt;100,0,1)</f>
        <v>0</v>
      </c>
      <c r="I33" s="57">
        <f>IF(LEN(GRADES[[#This Row],[Title]])&lt;100,0,1)</f>
        <v>0</v>
      </c>
      <c r="J33" s="57">
        <f>IF(SUBSTITUTE(TEXT(GRADES[[#This Row],[PayScaleGradeCode]],10)," ","")=TEXT(GRADES[[#This Row],[PayScaleGradeCode]],10),0,1)</f>
        <v>0</v>
      </c>
      <c r="K33" s="57">
        <f>SUM(GRADES[[#This Row],[Pay Scale issue]:[Schools Check]],GRADES[[#This Row],[TRUE /FALSE Typo]:[Space in Code]])</f>
        <v>0</v>
      </c>
      <c r="L33" s="57" t="str">
        <f>_xlfn.XLOOKUP(GRADES[[#This Row],[PayScaleCode]],PAYSCALES[PayScaleCode],PAYSCALES[London Weighting])</f>
        <v>Inner</v>
      </c>
      <c r="N33" s="12" t="s">
        <v>1404</v>
      </c>
      <c r="O33" s="12" t="s">
        <v>1500</v>
      </c>
      <c r="P33" s="12" t="s">
        <v>1404</v>
      </c>
      <c r="Q33" s="12" t="s">
        <v>1459</v>
      </c>
      <c r="R33" s="12" t="s">
        <v>1460</v>
      </c>
      <c r="S33" s="57" cm="1">
        <f t="array" ref="S33">LOOKUP(2,1/(PSPOINTS[PayScaleCode]=GRADES[[#This Row],[PayScaleCode]])/(PSPOINTS[PayScalePointCode]=GRADES[[#This Row],[Point From (Check)]]),(PSPOINTS[ScalePointNumber]))</f>
        <v>1</v>
      </c>
      <c r="T33" s="57" cm="1">
        <f t="array" ref="T33">LOOKUP(2,1/(PSPOINTS[PayScaleCode]=GRADES[[#This Row],[PayScaleCode]])/(PSPOINTS[PayScalePointCode]=GRADES[[#This Row],[Point To (Check)]]),(PSPOINTS[ScalePointNumber]))</f>
        <v>18</v>
      </c>
      <c r="U33" s="12" t="b">
        <v>1</v>
      </c>
      <c r="W33" s="12" t="b">
        <v>1</v>
      </c>
    </row>
    <row r="34" spans="1:23" x14ac:dyDescent="0.25">
      <c r="A34" s="57" t="str">
        <f>IF(COUNTIF('19_PayScales'!N:N,'22_PayScaleGrades'!P34)&gt;0,"0","1")</f>
        <v>0</v>
      </c>
      <c r="B34" s="57">
        <f>COUNTIF(GRADES[PayScaleGradeCode],GRADES[[#This Row],[PayScaleGradeCode]])-1</f>
        <v>0</v>
      </c>
      <c r="C34" s="57" cm="1">
        <f t="array" ref="C34">IF(GRADES[[#This Row],[AvailableToAllSchools]]=FALSE,IF(ISBLANK(GRADES[[#This Row],[SchoolCodes]]),1,IF(AND(COUNTIF(SCHOOLS[SchoolCode],_xlfn.TEXTSPLIT(GRADES[[#This Row],[SchoolCodes]],","))),0,1)),IF(GRADES[[#This Row],[AvailableToAllSchools]]=TRUE,IF(ISBLANK(GRADES[[#This Row],[SchoolCodes]]),0,1)))</f>
        <v>0</v>
      </c>
      <c r="D34" s="57"/>
      <c r="E34" s="57" cm="1">
        <f t="array" ref="E34">IF(_xlfn.XLOOKUP(GRADES[[#This Row],[PayScaleCode]],PAYSCALES[PayScaleCode],PAYSCALES[AvailableToAllSchools])=TRUE,0,IF(GRADES[[#This Row],[AvailableToAllSchools]]=TRUE,1,IF(_xlfn.LET(_xlpm.sourceCodes, _xlfn.TEXTSPLIT(GRADES[[#This Row],[SchoolCodes]], ","),_xlpm.targetCodes, _xlfn.TEXTSPLIT(_xlfn.XLOOKUP(GRADES[[#This Row],[PayScaleCode]],PAYSCALES[PayScaleCode],PAYSCALES[SchoolCodes],1), ","),_xlpm.trimmedSource, TRIM(_xlpm.sourceCodes),_xlpm.trimmedTarget, TRIM(_xlpm.targetCodes),_xlpm.matches, ISNUMBER(MATCH(_xlpm.trimmedSource, _xlpm.trimmedTarget, 0)),AND(_xlpm.matches))=TRUE,0,1)))</f>
        <v>0</v>
      </c>
      <c r="F34" s="57">
        <f>IF(OR(GRADES[[#This Row],[AvailableToAllSchools]]=TRUE,GRADES[[#This Row],[AvailableToAllSchools]]=FALSE),IF(OR(GRADES[[#This Row],[PayScaleGradeEnabled]]=TRUE,GRADES[[#This Row],[PayScaleGradeEnabled]]=FALSE),0,1),1)</f>
        <v>0</v>
      </c>
      <c r="G34" s="57">
        <f>(COUNTBLANK(GRADES[[#This Row],[PayScaleGradeCode]:[AvailableToAllSchools]])+COUNTBLANK(GRADES[[#This Row],[PayScaleGradeEnabled]]))</f>
        <v>0</v>
      </c>
      <c r="H34" s="57">
        <f>IF(LEN(GRADES[[#This Row],[PayScaleGradeCode]])&lt;100,0,1)</f>
        <v>0</v>
      </c>
      <c r="I34" s="57">
        <f>IF(LEN(GRADES[[#This Row],[Title]])&lt;100,0,1)</f>
        <v>0</v>
      </c>
      <c r="J34" s="57">
        <f>IF(SUBSTITUTE(TEXT(GRADES[[#This Row],[PayScaleGradeCode]],10)," ","")=TEXT(GRADES[[#This Row],[PayScaleGradeCode]],10),0,1)</f>
        <v>0</v>
      </c>
      <c r="K34" s="57">
        <f>SUM(GRADES[[#This Row],[Pay Scale issue]:[Schools Check]],GRADES[[#This Row],[TRUE /FALSE Typo]:[Space in Code]])</f>
        <v>0</v>
      </c>
      <c r="L34" s="57" t="str">
        <f>_xlfn.XLOOKUP(GRADES[[#This Row],[PayScaleCode]],PAYSCALES[PayScaleCode],PAYSCALES[London Weighting])</f>
        <v>Inner</v>
      </c>
      <c r="N34" s="12" t="s">
        <v>1410</v>
      </c>
      <c r="O34" s="12" t="s">
        <v>1501</v>
      </c>
      <c r="P34" s="12" t="s">
        <v>1410</v>
      </c>
      <c r="Q34" s="12">
        <v>1</v>
      </c>
      <c r="R34" s="12">
        <v>65</v>
      </c>
      <c r="S34" s="57" cm="1">
        <f t="array" ref="S34">LOOKUP(2,1/(PSPOINTS[PayScaleCode]=GRADES[[#This Row],[PayScaleCode]])/(PSPOINTS[PayScalePointCode]=GRADES[[#This Row],[Point From (Check)]]),(PSPOINTS[ScalePointNumber]))</f>
        <v>1</v>
      </c>
      <c r="T34" s="57" cm="1">
        <f t="array" ref="T34">LOOKUP(2,1/(PSPOINTS[PayScaleCode]=GRADES[[#This Row],[PayScaleCode]])/(PSPOINTS[PayScalePointCode]=GRADES[[#This Row],[Point To (Check)]]),(PSPOINTS[ScalePointNumber]))</f>
        <v>65</v>
      </c>
      <c r="U34" s="12" t="b">
        <v>1</v>
      </c>
      <c r="W34" s="12" t="b">
        <v>1</v>
      </c>
    </row>
  </sheetData>
  <phoneticPr fontId="2" type="noConversion"/>
  <pageMargins left="0.7" right="0.7" top="0.75" bottom="0.75" header="0.3" footer="0.3"/>
  <ignoredErrors>
    <ignoredError sqref="T2" calculatedColumn="1"/>
  </ignoredErrors>
  <legacyDrawing r:id="rId1"/>
  <tableParts count="1">
    <tablePart r:id="rId2"/>
  </tableParts>
  <extLst>
    <ext xmlns:x14="http://schemas.microsoft.com/office/spreadsheetml/2009/9/main" uri="{CCE6A557-97BC-4b89-ADB6-D9C93CAAB3DF}">
      <x14:dataValidations xmlns:xm="http://schemas.microsoft.com/office/excel/2006/main" count="3">
        <x14:dataValidation type="list" allowBlank="1" showInputMessage="1" showErrorMessage="1" xr:uid="{09D6DB38-ED38-4228-916E-C0962A1C1DCF}">
          <x14:formula1>
            <xm:f>Validation!$G$2:$G$3</xm:f>
          </x14:formula1>
          <xm:sqref>U15:U25 W2:W8 W15:W25 U2:U8</xm:sqref>
        </x14:dataValidation>
        <x14:dataValidation type="list" allowBlank="1" showInputMessage="1" showErrorMessage="1" xr:uid="{4B52D0C5-2C19-456A-AB6C-A6D93A53526D}">
          <x14:formula1>
            <xm:f>'19_PayScales'!$N:$N</xm:f>
          </x14:formula1>
          <xm:sqref>P9:P12</xm:sqref>
        </x14:dataValidation>
        <x14:dataValidation type="list" allowBlank="1" showInputMessage="1" showErrorMessage="1" xr:uid="{C8428D2F-BBBB-437B-859A-8C0AAE4F8B8E}">
          <x14:formula1>
            <xm:f>Validation!$A$10:$A$14</xm:f>
          </x14:formula1>
          <xm:sqref>L2:L34</xm:sqref>
        </x14:dataValidation>
      </x14:dataValidations>
    </ext>
  </extLs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5010F-DE03-4E95-B8E3-378F58351006}">
  <sheetPr codeName="Sheet54">
    <tabColor theme="4" tint="0.79998168889431442"/>
  </sheetPr>
  <dimension ref="A1:J21"/>
  <sheetViews>
    <sheetView workbookViewId="0">
      <pane ySplit="1" topLeftCell="A2" activePane="bottomLeft" state="frozen"/>
      <selection activeCell="D2" sqref="D2"/>
      <selection pane="bottomLeft" activeCell="A2" sqref="A2"/>
    </sheetView>
  </sheetViews>
  <sheetFormatPr defaultColWidth="9.28515625" defaultRowHeight="15" outlineLevelCol="1" x14ac:dyDescent="0.25"/>
  <cols>
    <col min="1" max="1" width="9.28515625" customWidth="1" outlineLevel="1"/>
    <col min="2" max="3" width="8.85546875" customWidth="1" outlineLevel="1"/>
    <col min="4" max="4" width="9" customWidth="1"/>
    <col min="5" max="6" width="14.28515625" customWidth="1"/>
    <col min="7" max="7" width="12.5703125" customWidth="1"/>
    <col min="8" max="8" width="11.7109375" customWidth="1"/>
    <col min="10" max="10" width="36" bestFit="1" customWidth="1"/>
  </cols>
  <sheetData>
    <row r="1" spans="1:10" s="28" customFormat="1" ht="45" x14ac:dyDescent="0.25">
      <c r="A1" s="59" t="s">
        <v>1588</v>
      </c>
      <c r="B1" s="53" t="s">
        <v>1367</v>
      </c>
      <c r="C1" s="131" t="s">
        <v>1368</v>
      </c>
      <c r="D1" s="59" t="s">
        <v>1126</v>
      </c>
      <c r="E1" s="69" t="s">
        <v>1371</v>
      </c>
      <c r="F1" s="69" t="s">
        <v>1372</v>
      </c>
      <c r="G1" s="69" t="s">
        <v>1589</v>
      </c>
      <c r="H1" s="69" t="s">
        <v>1377</v>
      </c>
    </row>
    <row r="2" spans="1:10" x14ac:dyDescent="0.25">
      <c r="A2" s="57">
        <f>IF(COUNTIF('19_PayScales'!N:N,F2)&gt;0,0,1)</f>
        <v>0</v>
      </c>
      <c r="B2" s="57">
        <f>COUNTBLANK(PS_INCPERC[[#This Row],[PayScaleCode]:[IncreasePercentage]])</f>
        <v>0</v>
      </c>
      <c r="C2" s="57">
        <f>IF(SUBSTITUTE(TEXT(PS_INCPERC[[#This Row],[PayScaleCode]],10)," ","")=TEXT(PS_INCPERC[[#This Row],[PayScaleCode]],10),0,1)</f>
        <v>0</v>
      </c>
      <c r="D2" s="57">
        <f>SUM(PS_INCPERC[[#This Row],[Pay Scale Code Issue]:[Space in Code]])</f>
        <v>0</v>
      </c>
      <c r="F2" s="12" t="s">
        <v>1381</v>
      </c>
      <c r="G2" s="19" t="s">
        <v>2005</v>
      </c>
      <c r="H2" s="110">
        <v>5</v>
      </c>
      <c r="J2" s="1" t="s">
        <v>1591</v>
      </c>
    </row>
    <row r="3" spans="1:10" x14ac:dyDescent="0.25">
      <c r="A3" s="57">
        <f>IF(COUNTIF('19_PayScales'!N:N,F3)&gt;0,0,1)</f>
        <v>0</v>
      </c>
      <c r="B3" s="57">
        <f>COUNTBLANK(PS_INCPERC[[#This Row],[PayScaleCode]:[IncreasePercentage]])</f>
        <v>0</v>
      </c>
      <c r="C3" s="57">
        <f>IF(SUBSTITUTE(TEXT(PS_INCPERC[[#This Row],[PayScaleCode]],10)," ","")=TEXT(PS_INCPERC[[#This Row],[PayScaleCode]],10),0,1)</f>
        <v>0</v>
      </c>
      <c r="D3" s="57">
        <f>SUM(PS_INCPERC[[#This Row],[Pay Scale Code Issue]:[Space in Code]])</f>
        <v>0</v>
      </c>
      <c r="F3" s="12" t="s">
        <v>1384</v>
      </c>
      <c r="G3" s="19" t="s">
        <v>2005</v>
      </c>
      <c r="H3" s="110">
        <v>5</v>
      </c>
    </row>
    <row r="4" spans="1:10" x14ac:dyDescent="0.25">
      <c r="A4" s="57">
        <f>IF(COUNTIF('19_PayScales'!N:N,F4)&gt;0,0,1)</f>
        <v>0</v>
      </c>
      <c r="B4" s="57">
        <f>COUNTBLANK(PS_INCPERC[[#This Row],[PayScaleCode]:[IncreasePercentage]])</f>
        <v>0</v>
      </c>
      <c r="C4" s="57">
        <f>IF(SUBSTITUTE(TEXT(PS_INCPERC[[#This Row],[PayScaleCode]],10)," ","")=TEXT(PS_INCPERC[[#This Row],[PayScaleCode]],10),0,1)</f>
        <v>0</v>
      </c>
      <c r="D4" s="57">
        <f>SUM(PS_INCPERC[[#This Row],[Pay Scale Code Issue]:[Space in Code]])</f>
        <v>0</v>
      </c>
      <c r="F4" s="12" t="s">
        <v>1386</v>
      </c>
      <c r="G4" s="19" t="s">
        <v>2005</v>
      </c>
      <c r="H4" s="110">
        <v>5</v>
      </c>
    </row>
    <row r="5" spans="1:10" x14ac:dyDescent="0.25">
      <c r="A5" s="57">
        <f>IF(COUNTIF('19_PayScales'!N:N,F5)&gt;0,0,1)</f>
        <v>0</v>
      </c>
      <c r="B5" s="57">
        <f>COUNTBLANK(PS_INCPERC[[#This Row],[PayScaleCode]:[IncreasePercentage]])</f>
        <v>0</v>
      </c>
      <c r="C5" s="57">
        <f>IF(SUBSTITUTE(TEXT(PS_INCPERC[[#This Row],[PayScaleCode]],10)," ","")=TEXT(PS_INCPERC[[#This Row],[PayScaleCode]],10),0,1)</f>
        <v>0</v>
      </c>
      <c r="D5" s="57">
        <f>SUM(PS_INCPERC[[#This Row],[Pay Scale Code Issue]:[Space in Code]])</f>
        <v>0</v>
      </c>
      <c r="F5" s="12" t="s">
        <v>1388</v>
      </c>
      <c r="G5" s="19" t="s">
        <v>2005</v>
      </c>
      <c r="H5" s="110">
        <v>5</v>
      </c>
    </row>
    <row r="6" spans="1:10" x14ac:dyDescent="0.25">
      <c r="A6" s="57">
        <f>IF(COUNTIF('19_PayScales'!N:N,F6)&gt;0,0,1)</f>
        <v>0</v>
      </c>
      <c r="B6" s="57">
        <f>COUNTBLANK(PS_INCPERC[[#This Row],[PayScaleCode]:[IncreasePercentage]])</f>
        <v>0</v>
      </c>
      <c r="C6" s="57">
        <f>IF(SUBSTITUTE(TEXT(PS_INCPERC[[#This Row],[PayScaleCode]],10)," ","")=TEXT(PS_INCPERC[[#This Row],[PayScaleCode]],10),0,1)</f>
        <v>0</v>
      </c>
      <c r="D6" s="57">
        <f>SUM(PS_INCPERC[[#This Row],[Pay Scale Code Issue]:[Space in Code]])</f>
        <v>0</v>
      </c>
      <c r="F6" s="12" t="s">
        <v>1390</v>
      </c>
      <c r="G6" s="27" t="s">
        <v>1590</v>
      </c>
      <c r="H6" s="166">
        <v>5</v>
      </c>
    </row>
    <row r="7" spans="1:10" x14ac:dyDescent="0.25">
      <c r="A7" s="57">
        <f>IF(COUNTIF('19_PayScales'!N:N,F7)&gt;0,0,1)</f>
        <v>0</v>
      </c>
      <c r="B7" s="57">
        <f>COUNTBLANK(PS_INCPERC[[#This Row],[PayScaleCode]:[IncreasePercentage]])</f>
        <v>0</v>
      </c>
      <c r="C7" s="57">
        <f>IF(SUBSTITUTE(TEXT(PS_INCPERC[[#This Row],[PayScaleCode]],10)," ","")=TEXT(PS_INCPERC[[#This Row],[PayScaleCode]],10),0,1)</f>
        <v>0</v>
      </c>
      <c r="D7" s="57">
        <f>SUM(PS_INCPERC[[#This Row],[Pay Scale Code Issue]:[Space in Code]])</f>
        <v>0</v>
      </c>
      <c r="F7" s="12" t="s">
        <v>1393</v>
      </c>
      <c r="G7" s="19" t="s">
        <v>2005</v>
      </c>
      <c r="H7" s="169">
        <v>5</v>
      </c>
    </row>
    <row r="8" spans="1:10" x14ac:dyDescent="0.25">
      <c r="A8" s="57">
        <f>IF(COUNTIF('19_PayScales'!N:N,F8)&gt;0,0,1)</f>
        <v>0</v>
      </c>
      <c r="B8" s="57">
        <f>COUNTBLANK(PS_INCPERC[[#This Row],[PayScaleCode]:[IncreasePercentage]])</f>
        <v>0</v>
      </c>
      <c r="C8" s="57">
        <f>IF(SUBSTITUTE(TEXT(PS_INCPERC[[#This Row],[PayScaleCode]],10)," ","")=TEXT(PS_INCPERC[[#This Row],[PayScaleCode]],10),0,1)</f>
        <v>0</v>
      </c>
      <c r="D8" s="57">
        <f>SUM(PS_INCPERC[[#This Row],[Pay Scale Code Issue]:[Space in Code]])</f>
        <v>0</v>
      </c>
      <c r="F8" s="12" t="s">
        <v>1395</v>
      </c>
      <c r="G8" s="19" t="s">
        <v>2005</v>
      </c>
      <c r="H8" s="169">
        <v>5</v>
      </c>
    </row>
    <row r="9" spans="1:10" x14ac:dyDescent="0.25">
      <c r="A9" s="57">
        <f>IF(COUNTIF('19_PayScales'!N:N,F9)&gt;0,0,1)</f>
        <v>0</v>
      </c>
      <c r="B9" s="57">
        <f>COUNTBLANK(PS_INCPERC[[#This Row],[PayScaleCode]:[IncreasePercentage]])</f>
        <v>0</v>
      </c>
      <c r="C9" s="57">
        <f>IF(SUBSTITUTE(TEXT(PS_INCPERC[[#This Row],[PayScaleCode]],10)," ","")=TEXT(PS_INCPERC[[#This Row],[PayScaleCode]],10),0,1)</f>
        <v>0</v>
      </c>
      <c r="D9" s="57">
        <f>SUM(PS_INCPERC[[#This Row],[Pay Scale Code Issue]:[Space in Code]])</f>
        <v>0</v>
      </c>
      <c r="F9" s="12" t="s">
        <v>1397</v>
      </c>
      <c r="G9" s="19" t="s">
        <v>2005</v>
      </c>
      <c r="H9" s="169">
        <v>5</v>
      </c>
    </row>
    <row r="10" spans="1:10" x14ac:dyDescent="0.25">
      <c r="A10" s="57">
        <f>IF(COUNTIF('19_PayScales'!N:N,F10)&gt;0,0,1)</f>
        <v>0</v>
      </c>
      <c r="B10" s="57">
        <f>COUNTBLANK(PS_INCPERC[[#This Row],[PayScaleCode]:[IncreasePercentage]])</f>
        <v>0</v>
      </c>
      <c r="C10" s="57">
        <f>IF(SUBSTITUTE(TEXT(PS_INCPERC[[#This Row],[PayScaleCode]],10)," ","")=TEXT(PS_INCPERC[[#This Row],[PayScaleCode]],10),0,1)</f>
        <v>0</v>
      </c>
      <c r="D10" s="57">
        <f>SUM(PS_INCPERC[[#This Row],[Pay Scale Code Issue]:[Space in Code]])</f>
        <v>0</v>
      </c>
      <c r="F10" s="12" t="s">
        <v>1399</v>
      </c>
      <c r="G10" s="19" t="s">
        <v>2005</v>
      </c>
      <c r="H10" s="169">
        <v>5</v>
      </c>
    </row>
    <row r="11" spans="1:10" x14ac:dyDescent="0.25">
      <c r="A11" s="57">
        <f>IF(COUNTIF('19_PayScales'!N:N,F11)&gt;0,0,1)</f>
        <v>0</v>
      </c>
      <c r="B11" s="57">
        <f>COUNTBLANK(PS_INCPERC[[#This Row],[PayScaleCode]:[IncreasePercentage]])</f>
        <v>0</v>
      </c>
      <c r="C11" s="57">
        <f>IF(SUBSTITUTE(TEXT(PS_INCPERC[[#This Row],[PayScaleCode]],10)," ","")=TEXT(PS_INCPERC[[#This Row],[PayScaleCode]],10),0,1)</f>
        <v>0</v>
      </c>
      <c r="D11" s="57">
        <f>SUM(PS_INCPERC[[#This Row],[Pay Scale Code Issue]:[Space in Code]])</f>
        <v>0</v>
      </c>
      <c r="F11" s="12" t="s">
        <v>1402</v>
      </c>
      <c r="G11" s="19" t="s">
        <v>2005</v>
      </c>
      <c r="H11" s="169">
        <v>5</v>
      </c>
    </row>
    <row r="12" spans="1:10" x14ac:dyDescent="0.25">
      <c r="A12" s="57">
        <f>IF(COUNTIF('19_PayScales'!N:N,F12)&gt;0,0,1)</f>
        <v>0</v>
      </c>
      <c r="B12" s="57">
        <f>COUNTBLANK(PS_INCPERC[[#This Row],[PayScaleCode]:[IncreasePercentage]])</f>
        <v>0</v>
      </c>
      <c r="C12" s="57">
        <f>IF(SUBSTITUTE(TEXT(PS_INCPERC[[#This Row],[PayScaleCode]],10)," ","")=TEXT(PS_INCPERC[[#This Row],[PayScaleCode]],10),0,1)</f>
        <v>0</v>
      </c>
      <c r="D12" s="57">
        <f>SUM(PS_INCPERC[[#This Row],[Pay Scale Code Issue]:[Space in Code]])</f>
        <v>0</v>
      </c>
      <c r="F12" s="12" t="s">
        <v>1404</v>
      </c>
      <c r="G12" s="19" t="s">
        <v>2005</v>
      </c>
      <c r="H12" s="169">
        <v>5</v>
      </c>
    </row>
    <row r="13" spans="1:10" x14ac:dyDescent="0.25">
      <c r="A13" s="57">
        <f>IF(COUNTIF('19_PayScales'!N:N,F13)&gt;0,0,1)</f>
        <v>0</v>
      </c>
      <c r="B13" s="57">
        <f>COUNTBLANK(PS_INCPERC[[#This Row],[PayScaleCode]:[IncreasePercentage]])</f>
        <v>0</v>
      </c>
      <c r="C13" s="57">
        <f>IF(SUBSTITUTE(TEXT(PS_INCPERC[[#This Row],[PayScaleCode]],10)," ","")=TEXT(PS_INCPERC[[#This Row],[PayScaleCode]],10),0,1)</f>
        <v>0</v>
      </c>
      <c r="D13" s="57">
        <f>SUM(PS_INCPERC[[#This Row],[Pay Scale Code Issue]:[Space in Code]])</f>
        <v>0</v>
      </c>
      <c r="F13" s="12" t="s">
        <v>1406</v>
      </c>
      <c r="G13" s="19" t="s">
        <v>2005</v>
      </c>
      <c r="H13" s="169">
        <v>5</v>
      </c>
    </row>
    <row r="14" spans="1:10" x14ac:dyDescent="0.25">
      <c r="A14" s="57">
        <f>IF(COUNTIF('19_PayScales'!N:N,F14)&gt;0,0,1)</f>
        <v>0</v>
      </c>
      <c r="B14" s="57">
        <f>COUNTBLANK(PS_INCPERC[[#This Row],[PayScaleCode]:[IncreasePercentage]])</f>
        <v>0</v>
      </c>
      <c r="C14" s="57">
        <f>IF(SUBSTITUTE(TEXT(PS_INCPERC[[#This Row],[PayScaleCode]],10)," ","")=TEXT(PS_INCPERC[[#This Row],[PayScaleCode]],10),0,1)</f>
        <v>0</v>
      </c>
      <c r="D14" s="57">
        <f>SUM(PS_INCPERC[[#This Row],[Pay Scale Code Issue]:[Space in Code]])</f>
        <v>0</v>
      </c>
      <c r="F14" s="12" t="s">
        <v>1408</v>
      </c>
      <c r="G14" s="19" t="s">
        <v>2005</v>
      </c>
      <c r="H14" s="169">
        <v>5</v>
      </c>
    </row>
    <row r="15" spans="1:10" x14ac:dyDescent="0.25">
      <c r="A15" s="57">
        <f>IF(COUNTIF('19_PayScales'!N:N,F15)&gt;0,0,1)</f>
        <v>0</v>
      </c>
      <c r="B15" s="57">
        <f>COUNTBLANK(PS_INCPERC[[#This Row],[PayScaleCode]:[IncreasePercentage]])</f>
        <v>0</v>
      </c>
      <c r="C15" s="57">
        <f>IF(SUBSTITUTE(TEXT(PS_INCPERC[[#This Row],[PayScaleCode]],10)," ","")=TEXT(PS_INCPERC[[#This Row],[PayScaleCode]],10),0,1)</f>
        <v>0</v>
      </c>
      <c r="D15" s="57">
        <f>SUM(PS_INCPERC[[#This Row],[Pay Scale Code Issue]:[Space in Code]])</f>
        <v>0</v>
      </c>
      <c r="F15" s="12" t="s">
        <v>1410</v>
      </c>
      <c r="G15" s="27" t="s">
        <v>1590</v>
      </c>
      <c r="H15" s="166">
        <v>5</v>
      </c>
    </row>
    <row r="16" spans="1:10" x14ac:dyDescent="0.25">
      <c r="A16" s="57">
        <f>IF(COUNTIF('19_PayScales'!N:N,F16)&gt;0,0,1)</f>
        <v>0</v>
      </c>
      <c r="B16" s="57">
        <f>COUNTBLANK(PS_INCPERC[[#This Row],[PayScaleCode]:[IncreasePercentage]])</f>
        <v>0</v>
      </c>
      <c r="C16" s="57">
        <f>IF(SUBSTITUTE(TEXT(PS_INCPERC[[#This Row],[PayScaleCode]],10)," ","")=TEXT(PS_INCPERC[[#This Row],[PayScaleCode]],10),0,1)</f>
        <v>0</v>
      </c>
      <c r="D16" s="57">
        <f>SUM(PS_INCPERC[[#This Row],[Pay Scale Code Issue]:[Space in Code]])</f>
        <v>0</v>
      </c>
      <c r="F16" s="12" t="s">
        <v>1413</v>
      </c>
      <c r="G16" s="19" t="s">
        <v>2005</v>
      </c>
      <c r="H16" s="169">
        <v>5</v>
      </c>
    </row>
    <row r="17" spans="1:8" x14ac:dyDescent="0.25">
      <c r="A17" s="57">
        <f>IF(COUNTIF('19_PayScales'!N:N,F17)&gt;0,0,1)</f>
        <v>0</v>
      </c>
      <c r="B17" s="57">
        <f>COUNTBLANK(PS_INCPERC[[#This Row],[PayScaleCode]:[IncreasePercentage]])</f>
        <v>0</v>
      </c>
      <c r="C17" s="57">
        <f>IF(SUBSTITUTE(TEXT(PS_INCPERC[[#This Row],[PayScaleCode]],10)," ","")=TEXT(PS_INCPERC[[#This Row],[PayScaleCode]],10),0,1)</f>
        <v>0</v>
      </c>
      <c r="D17" s="57">
        <f>SUM(PS_INCPERC[[#This Row],[Pay Scale Code Issue]:[Space in Code]])</f>
        <v>0</v>
      </c>
      <c r="F17" s="12" t="s">
        <v>1415</v>
      </c>
      <c r="G17" s="19" t="s">
        <v>2005</v>
      </c>
      <c r="H17" s="169">
        <v>5</v>
      </c>
    </row>
    <row r="18" spans="1:8" x14ac:dyDescent="0.25">
      <c r="A18" s="57">
        <f>IF(COUNTIF('19_PayScales'!N:N,F18)&gt;0,0,1)</f>
        <v>0</v>
      </c>
      <c r="B18" s="57">
        <f>COUNTBLANK(PS_INCPERC[[#This Row],[PayScaleCode]:[IncreasePercentage]])</f>
        <v>0</v>
      </c>
      <c r="C18" s="57">
        <f>IF(SUBSTITUTE(TEXT(PS_INCPERC[[#This Row],[PayScaleCode]],10)," ","")=TEXT(PS_INCPERC[[#This Row],[PayScaleCode]],10),0,1)</f>
        <v>0</v>
      </c>
      <c r="D18" s="57">
        <f>SUM(PS_INCPERC[[#This Row],[Pay Scale Code Issue]:[Space in Code]])</f>
        <v>0</v>
      </c>
      <c r="F18" s="12" t="s">
        <v>1417</v>
      </c>
      <c r="G18" s="19" t="s">
        <v>2005</v>
      </c>
      <c r="H18" s="169">
        <v>5</v>
      </c>
    </row>
    <row r="19" spans="1:8" x14ac:dyDescent="0.25">
      <c r="A19" s="57">
        <f>IF(COUNTIF('19_PayScales'!N:N,F19)&gt;0,0,1)</f>
        <v>0</v>
      </c>
      <c r="B19" s="57">
        <f>COUNTBLANK(PS_INCPERC[[#This Row],[PayScaleCode]:[IncreasePercentage]])</f>
        <v>0</v>
      </c>
      <c r="C19" s="57">
        <f>IF(SUBSTITUTE(TEXT(PS_INCPERC[[#This Row],[PayScaleCode]],10)," ","")=TEXT(PS_INCPERC[[#This Row],[PayScaleCode]],10),0,1)</f>
        <v>0</v>
      </c>
      <c r="D19" s="57">
        <f>SUM(PS_INCPERC[[#This Row],[Pay Scale Code Issue]:[Space in Code]])</f>
        <v>0</v>
      </c>
      <c r="F19" s="12" t="s">
        <v>1419</v>
      </c>
      <c r="G19" s="19" t="s">
        <v>2005</v>
      </c>
      <c r="H19" s="169">
        <v>5</v>
      </c>
    </row>
    <row r="20" spans="1:8" x14ac:dyDescent="0.25">
      <c r="A20" s="57">
        <f>IF(COUNTIF('19_PayScales'!N:N,F20)&gt;0,0,1)</f>
        <v>0</v>
      </c>
      <c r="B20" s="57">
        <f>COUNTBLANK(PS_INCPERC[[#This Row],[PayScaleCode]:[IncreasePercentage]])</f>
        <v>0</v>
      </c>
      <c r="C20" s="57">
        <f>IF(SUBSTITUTE(TEXT(PS_INCPERC[[#This Row],[PayScaleCode]],10)," ","")=TEXT(PS_INCPERC[[#This Row],[PayScaleCode]],10),0,1)</f>
        <v>0</v>
      </c>
      <c r="D20" s="57">
        <f>SUM(PS_INCPERC[[#This Row],[Pay Scale Code Issue]:[Space in Code]])</f>
        <v>0</v>
      </c>
      <c r="F20" s="12" t="s">
        <v>1421</v>
      </c>
      <c r="G20" s="27" t="s">
        <v>1590</v>
      </c>
      <c r="H20" s="166">
        <v>5</v>
      </c>
    </row>
    <row r="21" spans="1:8" x14ac:dyDescent="0.25">
      <c r="H21" s="1"/>
    </row>
  </sheetData>
  <pageMargins left="0.7" right="0.7" top="0.75" bottom="0.75" header="0.3" footer="0.3"/>
  <legacyDrawing r:id="rId1"/>
  <tableParts count="1">
    <tablePart r:id="rId2"/>
  </tablePart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BF6B-815C-4245-BCBC-5B15FF36E7B5}">
  <sheetPr codeName="Sheet17">
    <tabColor theme="4" tint="0.79998168889431442"/>
  </sheetPr>
  <dimension ref="A1:AA496"/>
  <sheetViews>
    <sheetView zoomScale="110" zoomScaleNormal="110" workbookViewId="0">
      <pane ySplit="1" topLeftCell="A123" activePane="bottomLeft" state="frozen"/>
      <selection activeCell="D2" sqref="D2"/>
      <selection pane="bottomLeft" activeCell="Y150" sqref="Y150:Y161"/>
    </sheetView>
  </sheetViews>
  <sheetFormatPr defaultColWidth="9.28515625" defaultRowHeight="15" outlineLevelCol="1" x14ac:dyDescent="0.25"/>
  <cols>
    <col min="1" max="1" width="15.85546875" style="12" hidden="1" customWidth="1" outlineLevel="1"/>
    <col min="2" max="2" width="10.7109375" style="12" hidden="1" customWidth="1" outlineLevel="1"/>
    <col min="3" max="3" width="22.5703125" style="12" hidden="1" customWidth="1" outlineLevel="1"/>
    <col min="4" max="5" width="10.7109375" style="12" hidden="1" customWidth="1" outlineLevel="1"/>
    <col min="6" max="6" width="8.7109375" style="12" hidden="1" customWidth="1" outlineLevel="1"/>
    <col min="7" max="7" width="10.7109375" style="12" hidden="1" customWidth="1" outlineLevel="1"/>
    <col min="8" max="12" width="8.7109375" style="12" hidden="1" customWidth="1" outlineLevel="1"/>
    <col min="13" max="13" width="8.5703125" style="12" customWidth="1" collapsed="1"/>
    <col min="14" max="14" width="17.5703125" style="12" customWidth="1"/>
    <col min="15" max="15" width="12.7109375" style="12" customWidth="1"/>
    <col min="16" max="16" width="13.28515625" style="12" customWidth="1"/>
    <col min="17" max="17" width="25.140625" style="12" bestFit="1" customWidth="1"/>
    <col min="18" max="21" width="10.5703125" style="12" customWidth="1"/>
    <col min="22" max="22" width="10.5703125" style="15" customWidth="1"/>
    <col min="23" max="23" width="14.28515625" style="20" customWidth="1"/>
    <col min="24" max="24" width="12.28515625" style="20" customWidth="1"/>
    <col min="25" max="25" width="13.7109375" style="14" customWidth="1"/>
    <col min="26" max="16384" width="9.28515625" style="12"/>
  </cols>
  <sheetData>
    <row r="1" spans="1:25" s="25" customFormat="1" ht="64.349999999999994" customHeight="1" x14ac:dyDescent="0.25">
      <c r="A1" s="53" t="s">
        <v>1502</v>
      </c>
      <c r="B1" s="53" t="s">
        <v>1503</v>
      </c>
      <c r="C1" s="53" t="s">
        <v>1504</v>
      </c>
      <c r="D1" s="53" t="s">
        <v>1505</v>
      </c>
      <c r="E1" s="53" t="s">
        <v>1506</v>
      </c>
      <c r="F1" s="65" t="s">
        <v>1507</v>
      </c>
      <c r="G1" s="65" t="s">
        <v>1508</v>
      </c>
      <c r="H1" s="53" t="s">
        <v>1364</v>
      </c>
      <c r="I1" s="53" t="s">
        <v>1365</v>
      </c>
      <c r="J1" s="53" t="s">
        <v>1366</v>
      </c>
      <c r="K1" s="53" t="s">
        <v>1367</v>
      </c>
      <c r="L1" s="131" t="s">
        <v>1368</v>
      </c>
      <c r="M1" s="53" t="s">
        <v>1126</v>
      </c>
      <c r="N1" s="54" t="s">
        <v>1158</v>
      </c>
      <c r="O1" s="25" t="s">
        <v>1371</v>
      </c>
      <c r="P1" s="25" t="s">
        <v>1372</v>
      </c>
      <c r="Q1" s="59" t="s">
        <v>1373</v>
      </c>
      <c r="R1" s="25" t="s">
        <v>1509</v>
      </c>
      <c r="S1" s="25" t="s">
        <v>1510</v>
      </c>
      <c r="T1" s="25" t="s">
        <v>1511</v>
      </c>
      <c r="U1" s="25" t="s">
        <v>1512</v>
      </c>
      <c r="V1" s="50" t="s">
        <v>1513</v>
      </c>
      <c r="W1" s="58" t="s">
        <v>1514</v>
      </c>
      <c r="X1" s="58" t="s">
        <v>1515</v>
      </c>
      <c r="Y1" s="49" t="s">
        <v>1516</v>
      </c>
    </row>
    <row r="2" spans="1:25" hidden="1" x14ac:dyDescent="0.25">
      <c r="A2" s="158" t="str">
        <f>PSPOINTS[[#This Row],[PayScaleCode]]&amp;PSPOINTS[[#This Row],[RateDateFrom]]</f>
        <v>MAIN_EW45901</v>
      </c>
      <c r="B2" s="57">
        <f t="shared" ref="B2:B65" si="0">IF(A2=A1,SUM(T2-T1)-1,T2-1)</f>
        <v>0</v>
      </c>
      <c r="C2" s="57" t="str">
        <f>PSPOINTS[[#This Row],[PayScaleCode]]&amp;PSPOINTS[[#This Row],[PayScalePointCode]]&amp;PSPOINTS[[#This Row],[RateDateFrom]]</f>
        <v>MAIN_EWM145901</v>
      </c>
      <c r="D2" s="57">
        <f>COUNTIF(PSPOINTS[Pay Scale String Duplicates],PSPOINTS[[#This Row],[Pay Scale String Duplicates]])-1</f>
        <v>0</v>
      </c>
      <c r="E2" s="57">
        <f>IF((MONTH(_xlfn.XLOOKUP(PSPOINTS[[#This Row],[PayScaleCode]],'19_PayScales'!N:N,'19_PayScales'!R:R)))=MONTH(PSPOINTS[[#This Row],[RateDateFrom]]),0,1)</f>
        <v>0</v>
      </c>
      <c r="F2" s="57">
        <f>IF(ISBLANK(PSPOINTS[[#This Row],[RateDateTo]]),0,IF(PSPOINTS[[#This Row],[RateDateFrom]]&lt;PSPOINTS[[#This Row],[RateDateTo]],0,1))</f>
        <v>0</v>
      </c>
      <c r="G2" s="57" cm="1">
        <f t="array" aca="1" ref="G2" ca="1">IF(CELL("format",PSPOINTS[[#This Row],[RateDateFrom]])="D1",0,1)+IF(CELL("format",PSPOINTS[[#This Row],[RateDateTo]])="D1",0,1)</f>
        <v>0</v>
      </c>
      <c r="H2" s="57">
        <f>IF(OR(PSPOINTS[[#This Row],[Hourly]]=TRUE,PSPOINTS[[#This Row],[Hourly]]=FALSE),IF(OR(PSPOINTS[[#This Row],[PayScalePointEnabled]]=TRUE,PSPOINTS[[#This Row],[PayScalePointEnabled]]=FALSE),0,1),1)</f>
        <v>0</v>
      </c>
      <c r="I2" s="57">
        <f>IF(LEN(PSPOINTS[[#This Row],[PayScalePointCode]])&lt;100,0,1)</f>
        <v>0</v>
      </c>
      <c r="J2" s="57">
        <f>IF(LEN(PSPOINTS[[#This Row],[PayScalePointTitle]])&lt;100,0,1)</f>
        <v>0</v>
      </c>
      <c r="K2" s="120">
        <f>(COUNTBLANK(PSPOINTS[[#This Row],[PayScalePointCode]:[RateDateFrom]])+COUNTBLANK(PSPOINTS[[#This Row],[PayScaleRate]]))</f>
        <v>0</v>
      </c>
      <c r="L2" s="120">
        <f>IF(SUBSTITUTE(TEXT(PSPOINTS[[#This Row],[PayScaleCode]],10)," ","")=TEXT(PSPOINTS[[#This Row],[PayScaleCode]],10),0,1)+IF(SUBSTITUTE(TEXT(PSPOINTS[[#This Row],[PayScalePointCode]],10)," ","")=TEXT(PSPOINTS[[#This Row],[PayScalePointCode]],10),0,1)</f>
        <v>0</v>
      </c>
      <c r="M2" s="57">
        <f ca="1">SUM(PSPOINTS[[#This Row],[Scale Point Issue]:[Space in Code]])</f>
        <v>0</v>
      </c>
      <c r="N2" s="57" t="s">
        <v>1137</v>
      </c>
      <c r="P2" s="12" t="s">
        <v>1381</v>
      </c>
      <c r="Q2" s="57" t="str">
        <f>_xlfn.XLOOKUP(PSPOINTS[[#This Row],[PayScaleCode]],'19_PayScales'!N:N,'19_PayScales'!O:O)</f>
        <v>Teachers Main EW</v>
      </c>
      <c r="R2" s="12" t="s">
        <v>1441</v>
      </c>
      <c r="S2" s="12" t="s">
        <v>1441</v>
      </c>
      <c r="T2" s="12">
        <v>1</v>
      </c>
      <c r="U2" s="12" t="b">
        <v>0</v>
      </c>
      <c r="V2" s="12" t="b">
        <v>1</v>
      </c>
      <c r="W2" s="86">
        <v>45901</v>
      </c>
      <c r="Y2" s="14">
        <v>32916</v>
      </c>
    </row>
    <row r="3" spans="1:25" hidden="1" x14ac:dyDescent="0.25">
      <c r="A3" s="158" t="str">
        <f>PSPOINTS[[#This Row],[PayScaleCode]]&amp;PSPOINTS[[#This Row],[RateDateFrom]]</f>
        <v>MAIN_EW45901</v>
      </c>
      <c r="B3" s="57">
        <f t="shared" si="0"/>
        <v>0</v>
      </c>
      <c r="C3" s="57" t="str">
        <f>PSPOINTS[[#This Row],[PayScaleCode]]&amp;PSPOINTS[[#This Row],[PayScalePointCode]]&amp;PSPOINTS[[#This Row],[RateDateFrom]]</f>
        <v>MAIN_EWM245901</v>
      </c>
      <c r="D3" s="57">
        <f>COUNTIF(PSPOINTS[Pay Scale String Duplicates],PSPOINTS[[#This Row],[Pay Scale String Duplicates]])-1</f>
        <v>0</v>
      </c>
      <c r="E3" s="57">
        <f>IF((MONTH(_xlfn.XLOOKUP(PSPOINTS[[#This Row],[PayScaleCode]],'19_PayScales'!N:N,'19_PayScales'!R:R)))=MONTH(PSPOINTS[[#This Row],[RateDateFrom]]),0,1)</f>
        <v>0</v>
      </c>
      <c r="F3" s="57">
        <f>IF(ISBLANK(PSPOINTS[[#This Row],[RateDateTo]]),0,IF(PSPOINTS[[#This Row],[RateDateFrom]]&lt;PSPOINTS[[#This Row],[RateDateTo]],0,1))</f>
        <v>0</v>
      </c>
      <c r="G3" s="57" cm="1">
        <f t="array" aca="1" ref="G3" ca="1">IF(CELL("format",PSPOINTS[[#This Row],[RateDateFrom]])="D1",0,1)+IF(CELL("format",PSPOINTS[[#This Row],[RateDateTo]])="D1",0,1)</f>
        <v>0</v>
      </c>
      <c r="H3" s="57">
        <f>IF(OR(PSPOINTS[[#This Row],[Hourly]]=TRUE,PSPOINTS[[#This Row],[Hourly]]=FALSE),IF(OR(PSPOINTS[[#This Row],[PayScalePointEnabled]]=TRUE,PSPOINTS[[#This Row],[PayScalePointEnabled]]=FALSE),0,1),1)</f>
        <v>0</v>
      </c>
      <c r="I3" s="57">
        <f>IF(LEN(PSPOINTS[[#This Row],[PayScalePointCode]])&lt;100,0,1)</f>
        <v>0</v>
      </c>
      <c r="J3" s="57">
        <f>IF(LEN(PSPOINTS[[#This Row],[PayScalePointTitle]])&lt;100,0,1)</f>
        <v>0</v>
      </c>
      <c r="K3" s="57">
        <f>(COUNTBLANK(PSPOINTS[[#This Row],[PayScalePointCode]:[RateDateFrom]])+COUNTBLANK(PSPOINTS[[#This Row],[PayScaleRate]]))</f>
        <v>0</v>
      </c>
      <c r="L3" s="120">
        <f>IF(SUBSTITUTE(TEXT(PSPOINTS[[#This Row],[PayScaleCode]],10)," ","")=TEXT(PSPOINTS[[#This Row],[PayScaleCode]],10),0,1)+IF(SUBSTITUTE(TEXT(PSPOINTS[[#This Row],[PayScalePointCode]],10)," ","")=TEXT(PSPOINTS[[#This Row],[PayScalePointCode]],10),0,1)</f>
        <v>0</v>
      </c>
      <c r="M3" s="57">
        <f ca="1">SUM(PSPOINTS[[#This Row],[Scale Point Issue]:[Space in Code]])</f>
        <v>0</v>
      </c>
      <c r="N3" s="57" t="s">
        <v>1137</v>
      </c>
      <c r="P3" s="12" t="s">
        <v>1381</v>
      </c>
      <c r="Q3" s="57" t="str">
        <f>_xlfn.XLOOKUP(PSPOINTS[[#This Row],[PayScaleCode]],'19_PayScales'!N:N,'19_PayScales'!O:O)</f>
        <v>Teachers Main EW</v>
      </c>
      <c r="R3" s="12" t="s">
        <v>1517</v>
      </c>
      <c r="S3" s="12" t="s">
        <v>1517</v>
      </c>
      <c r="T3" s="12">
        <v>2</v>
      </c>
      <c r="U3" s="12" t="b">
        <v>0</v>
      </c>
      <c r="V3" s="12" t="b">
        <v>1</v>
      </c>
      <c r="W3" s="86">
        <v>45901</v>
      </c>
      <c r="Y3" s="14">
        <v>34823</v>
      </c>
    </row>
    <row r="4" spans="1:25" hidden="1" x14ac:dyDescent="0.25">
      <c r="A4" s="158" t="str">
        <f>PSPOINTS[[#This Row],[PayScaleCode]]&amp;PSPOINTS[[#This Row],[RateDateFrom]]</f>
        <v>MAIN_EW45901</v>
      </c>
      <c r="B4" s="57">
        <f t="shared" si="0"/>
        <v>0</v>
      </c>
      <c r="C4" s="57" t="str">
        <f>PSPOINTS[[#This Row],[PayScaleCode]]&amp;PSPOINTS[[#This Row],[PayScalePointCode]]&amp;PSPOINTS[[#This Row],[RateDateFrom]]</f>
        <v>MAIN_EWM345901</v>
      </c>
      <c r="D4" s="57">
        <f>COUNTIF(PSPOINTS[Pay Scale String Duplicates],PSPOINTS[[#This Row],[Pay Scale String Duplicates]])-1</f>
        <v>0</v>
      </c>
      <c r="E4" s="57">
        <f>IF((MONTH(_xlfn.XLOOKUP(PSPOINTS[[#This Row],[PayScaleCode]],'19_PayScales'!N:N,'19_PayScales'!R:R)))=MONTH(PSPOINTS[[#This Row],[RateDateFrom]]),0,1)</f>
        <v>0</v>
      </c>
      <c r="F4" s="57">
        <f>IF(ISBLANK(PSPOINTS[[#This Row],[RateDateTo]]),0,IF(PSPOINTS[[#This Row],[RateDateFrom]]&lt;PSPOINTS[[#This Row],[RateDateTo]],0,1))</f>
        <v>0</v>
      </c>
      <c r="G4" s="57" cm="1">
        <f t="array" aca="1" ref="G4" ca="1">IF(CELL("format",PSPOINTS[[#This Row],[RateDateFrom]])="D1",0,1)+IF(CELL("format",PSPOINTS[[#This Row],[RateDateTo]])="D1",0,1)</f>
        <v>0</v>
      </c>
      <c r="H4" s="57">
        <f>IF(OR(PSPOINTS[[#This Row],[Hourly]]=TRUE,PSPOINTS[[#This Row],[Hourly]]=FALSE),IF(OR(PSPOINTS[[#This Row],[PayScalePointEnabled]]=TRUE,PSPOINTS[[#This Row],[PayScalePointEnabled]]=FALSE),0,1),1)</f>
        <v>0</v>
      </c>
      <c r="I4" s="57">
        <f>IF(LEN(PSPOINTS[[#This Row],[PayScalePointCode]])&lt;100,0,1)</f>
        <v>0</v>
      </c>
      <c r="J4" s="57">
        <f>IF(LEN(PSPOINTS[[#This Row],[PayScalePointTitle]])&lt;100,0,1)</f>
        <v>0</v>
      </c>
      <c r="K4" s="57">
        <f>(COUNTBLANK(PSPOINTS[[#This Row],[PayScalePointCode]:[RateDateFrom]])+COUNTBLANK(PSPOINTS[[#This Row],[PayScaleRate]]))</f>
        <v>0</v>
      </c>
      <c r="L4" s="120">
        <f>IF(SUBSTITUTE(TEXT(PSPOINTS[[#This Row],[PayScaleCode]],10)," ","")=TEXT(PSPOINTS[[#This Row],[PayScaleCode]],10),0,1)+IF(SUBSTITUTE(TEXT(PSPOINTS[[#This Row],[PayScalePointCode]],10)," ","")=TEXT(PSPOINTS[[#This Row],[PayScalePointCode]],10),0,1)</f>
        <v>0</v>
      </c>
      <c r="M4" s="57">
        <f ca="1">SUM(PSPOINTS[[#This Row],[Scale Point Issue]:[Space in Code]])</f>
        <v>0</v>
      </c>
      <c r="N4" s="57" t="s">
        <v>1137</v>
      </c>
      <c r="P4" s="12" t="s">
        <v>1381</v>
      </c>
      <c r="Q4" s="57" t="str">
        <f>_xlfn.XLOOKUP(PSPOINTS[[#This Row],[PayScaleCode]],'19_PayScales'!N:N,'19_PayScales'!O:O)</f>
        <v>Teachers Main EW</v>
      </c>
      <c r="R4" s="12" t="s">
        <v>1518</v>
      </c>
      <c r="S4" s="12" t="s">
        <v>1518</v>
      </c>
      <c r="T4" s="12">
        <v>3</v>
      </c>
      <c r="U4" s="12" t="b">
        <v>0</v>
      </c>
      <c r="V4" s="12" t="b">
        <v>1</v>
      </c>
      <c r="W4" s="86">
        <v>45901</v>
      </c>
      <c r="Y4" s="14">
        <v>37101</v>
      </c>
    </row>
    <row r="5" spans="1:25" hidden="1" x14ac:dyDescent="0.25">
      <c r="A5" s="158" t="str">
        <f>PSPOINTS[[#This Row],[PayScaleCode]]&amp;PSPOINTS[[#This Row],[RateDateFrom]]</f>
        <v>MAIN_EW45901</v>
      </c>
      <c r="B5" s="57">
        <f t="shared" si="0"/>
        <v>0</v>
      </c>
      <c r="C5" s="57" t="str">
        <f>PSPOINTS[[#This Row],[PayScaleCode]]&amp;PSPOINTS[[#This Row],[PayScalePointCode]]&amp;PSPOINTS[[#This Row],[RateDateFrom]]</f>
        <v>MAIN_EWM445901</v>
      </c>
      <c r="D5" s="57">
        <f>COUNTIF(PSPOINTS[Pay Scale String Duplicates],PSPOINTS[[#This Row],[Pay Scale String Duplicates]])-1</f>
        <v>0</v>
      </c>
      <c r="E5" s="57">
        <f>IF((MONTH(_xlfn.XLOOKUP(PSPOINTS[[#This Row],[PayScaleCode]],'19_PayScales'!N:N,'19_PayScales'!R:R)))=MONTH(PSPOINTS[[#This Row],[RateDateFrom]]),0,1)</f>
        <v>0</v>
      </c>
      <c r="F5" s="57">
        <f>IF(ISBLANK(PSPOINTS[[#This Row],[RateDateTo]]),0,IF(PSPOINTS[[#This Row],[RateDateFrom]]&lt;PSPOINTS[[#This Row],[RateDateTo]],0,1))</f>
        <v>0</v>
      </c>
      <c r="G5" s="57" cm="1">
        <f t="array" aca="1" ref="G5" ca="1">IF(CELL("format",PSPOINTS[[#This Row],[RateDateFrom]])="D1",0,1)+IF(CELL("format",PSPOINTS[[#This Row],[RateDateTo]])="D1",0,1)</f>
        <v>0</v>
      </c>
      <c r="H5" s="57">
        <f>IF(OR(PSPOINTS[[#This Row],[Hourly]]=TRUE,PSPOINTS[[#This Row],[Hourly]]=FALSE),IF(OR(PSPOINTS[[#This Row],[PayScalePointEnabled]]=TRUE,PSPOINTS[[#This Row],[PayScalePointEnabled]]=FALSE),0,1),1)</f>
        <v>0</v>
      </c>
      <c r="I5" s="57">
        <f>IF(LEN(PSPOINTS[[#This Row],[PayScalePointCode]])&lt;100,0,1)</f>
        <v>0</v>
      </c>
      <c r="J5" s="57">
        <f>IF(LEN(PSPOINTS[[#This Row],[PayScalePointTitle]])&lt;100,0,1)</f>
        <v>0</v>
      </c>
      <c r="K5" s="57">
        <f>(COUNTBLANK(PSPOINTS[[#This Row],[PayScalePointCode]:[RateDateFrom]])+COUNTBLANK(PSPOINTS[[#This Row],[PayScaleRate]]))</f>
        <v>0</v>
      </c>
      <c r="L5" s="120">
        <f>IF(SUBSTITUTE(TEXT(PSPOINTS[[#This Row],[PayScaleCode]],10)," ","")=TEXT(PSPOINTS[[#This Row],[PayScaleCode]],10),0,1)+IF(SUBSTITUTE(TEXT(PSPOINTS[[#This Row],[PayScalePointCode]],10)," ","")=TEXT(PSPOINTS[[#This Row],[PayScalePointCode]],10),0,1)</f>
        <v>0</v>
      </c>
      <c r="M5" s="57">
        <f ca="1">SUM(PSPOINTS[[#This Row],[Scale Point Issue]:[Space in Code]])</f>
        <v>0</v>
      </c>
      <c r="N5" s="57" t="s">
        <v>1137</v>
      </c>
      <c r="P5" s="12" t="s">
        <v>1381</v>
      </c>
      <c r="Q5" s="57" t="str">
        <f>_xlfn.XLOOKUP(PSPOINTS[[#This Row],[PayScaleCode]],'19_PayScales'!N:N,'19_PayScales'!O:O)</f>
        <v>Teachers Main EW</v>
      </c>
      <c r="R5" s="12" t="s">
        <v>1519</v>
      </c>
      <c r="S5" s="12" t="s">
        <v>1519</v>
      </c>
      <c r="T5" s="12">
        <v>4</v>
      </c>
      <c r="U5" s="12" t="b">
        <v>0</v>
      </c>
      <c r="V5" s="12" t="b">
        <v>1</v>
      </c>
      <c r="W5" s="86">
        <v>45901</v>
      </c>
      <c r="Y5" s="14">
        <v>39556</v>
      </c>
    </row>
    <row r="6" spans="1:25" hidden="1" x14ac:dyDescent="0.25">
      <c r="A6" s="158" t="str">
        <f>PSPOINTS[[#This Row],[PayScaleCode]]&amp;PSPOINTS[[#This Row],[RateDateFrom]]</f>
        <v>MAIN_EW45901</v>
      </c>
      <c r="B6" s="57">
        <f t="shared" si="0"/>
        <v>0</v>
      </c>
      <c r="C6" s="57" t="str">
        <f>PSPOINTS[[#This Row],[PayScaleCode]]&amp;PSPOINTS[[#This Row],[PayScalePointCode]]&amp;PSPOINTS[[#This Row],[RateDateFrom]]</f>
        <v>MAIN_EWM545901</v>
      </c>
      <c r="D6" s="57">
        <f>COUNTIF(PSPOINTS[Pay Scale String Duplicates],PSPOINTS[[#This Row],[Pay Scale String Duplicates]])-1</f>
        <v>0</v>
      </c>
      <c r="E6" s="57">
        <f>IF((MONTH(_xlfn.XLOOKUP(PSPOINTS[[#This Row],[PayScaleCode]],'19_PayScales'!N:N,'19_PayScales'!R:R)))=MONTH(PSPOINTS[[#This Row],[RateDateFrom]]),0,1)</f>
        <v>0</v>
      </c>
      <c r="F6" s="57">
        <f>IF(ISBLANK(PSPOINTS[[#This Row],[RateDateTo]]),0,IF(PSPOINTS[[#This Row],[RateDateFrom]]&lt;PSPOINTS[[#This Row],[RateDateTo]],0,1))</f>
        <v>0</v>
      </c>
      <c r="G6" s="57" cm="1">
        <f t="array" aca="1" ref="G6" ca="1">IF(CELL("format",PSPOINTS[[#This Row],[RateDateFrom]])="D1",0,1)+IF(CELL("format",PSPOINTS[[#This Row],[RateDateTo]])="D1",0,1)</f>
        <v>0</v>
      </c>
      <c r="H6" s="57">
        <f>IF(OR(PSPOINTS[[#This Row],[Hourly]]=TRUE,PSPOINTS[[#This Row],[Hourly]]=FALSE),IF(OR(PSPOINTS[[#This Row],[PayScalePointEnabled]]=TRUE,PSPOINTS[[#This Row],[PayScalePointEnabled]]=FALSE),0,1),1)</f>
        <v>0</v>
      </c>
      <c r="I6" s="57">
        <f>IF(LEN(PSPOINTS[[#This Row],[PayScalePointCode]])&lt;100,0,1)</f>
        <v>0</v>
      </c>
      <c r="J6" s="57">
        <f>IF(LEN(PSPOINTS[[#This Row],[PayScalePointTitle]])&lt;100,0,1)</f>
        <v>0</v>
      </c>
      <c r="K6" s="57">
        <f>(COUNTBLANK(PSPOINTS[[#This Row],[PayScalePointCode]:[RateDateFrom]])+COUNTBLANK(PSPOINTS[[#This Row],[PayScaleRate]]))</f>
        <v>0</v>
      </c>
      <c r="L6" s="120">
        <f>IF(SUBSTITUTE(TEXT(PSPOINTS[[#This Row],[PayScaleCode]],10)," ","")=TEXT(PSPOINTS[[#This Row],[PayScaleCode]],10),0,1)+IF(SUBSTITUTE(TEXT(PSPOINTS[[#This Row],[PayScalePointCode]],10)," ","")=TEXT(PSPOINTS[[#This Row],[PayScalePointCode]],10),0,1)</f>
        <v>0</v>
      </c>
      <c r="M6" s="57">
        <f ca="1">SUM(PSPOINTS[[#This Row],[Scale Point Issue]:[Space in Code]])</f>
        <v>0</v>
      </c>
      <c r="N6" s="57" t="s">
        <v>1137</v>
      </c>
      <c r="P6" s="12" t="s">
        <v>1381</v>
      </c>
      <c r="Q6" s="57" t="str">
        <f>_xlfn.XLOOKUP(PSPOINTS[[#This Row],[PayScaleCode]],'19_PayScales'!N:N,'19_PayScales'!O:O)</f>
        <v>Teachers Main EW</v>
      </c>
      <c r="R6" s="12" t="s">
        <v>1520</v>
      </c>
      <c r="S6" s="12" t="s">
        <v>1520</v>
      </c>
      <c r="T6" s="12">
        <v>5</v>
      </c>
      <c r="U6" s="12" t="b">
        <v>0</v>
      </c>
      <c r="V6" s="12" t="b">
        <v>1</v>
      </c>
      <c r="W6" s="86">
        <v>45901</v>
      </c>
      <c r="Y6" s="14">
        <v>42057</v>
      </c>
    </row>
    <row r="7" spans="1:25" hidden="1" x14ac:dyDescent="0.25">
      <c r="A7" s="158" t="str">
        <f>PSPOINTS[[#This Row],[PayScaleCode]]&amp;PSPOINTS[[#This Row],[RateDateFrom]]</f>
        <v>MAIN_EW45901</v>
      </c>
      <c r="B7" s="57">
        <f t="shared" si="0"/>
        <v>0</v>
      </c>
      <c r="C7" s="57" t="str">
        <f>PSPOINTS[[#This Row],[PayScaleCode]]&amp;PSPOINTS[[#This Row],[PayScalePointCode]]&amp;PSPOINTS[[#This Row],[RateDateFrom]]</f>
        <v>MAIN_EWM645901</v>
      </c>
      <c r="D7" s="57">
        <f>COUNTIF(PSPOINTS[Pay Scale String Duplicates],PSPOINTS[[#This Row],[Pay Scale String Duplicates]])-1</f>
        <v>0</v>
      </c>
      <c r="E7" s="57">
        <f>IF((MONTH(_xlfn.XLOOKUP(PSPOINTS[[#This Row],[PayScaleCode]],'19_PayScales'!N:N,'19_PayScales'!R:R)))=MONTH(PSPOINTS[[#This Row],[RateDateFrom]]),0,1)</f>
        <v>0</v>
      </c>
      <c r="F7" s="57">
        <f>IF(ISBLANK(PSPOINTS[[#This Row],[RateDateTo]]),0,IF(PSPOINTS[[#This Row],[RateDateFrom]]&lt;PSPOINTS[[#This Row],[RateDateTo]],0,1))</f>
        <v>0</v>
      </c>
      <c r="G7" s="57" cm="1">
        <f t="array" aca="1" ref="G7" ca="1">IF(CELL("format",PSPOINTS[[#This Row],[RateDateFrom]])="D1",0,1)+IF(CELL("format",PSPOINTS[[#This Row],[RateDateTo]])="D1",0,1)</f>
        <v>0</v>
      </c>
      <c r="H7" s="57">
        <f>IF(OR(PSPOINTS[[#This Row],[Hourly]]=TRUE,PSPOINTS[[#This Row],[Hourly]]=FALSE),IF(OR(PSPOINTS[[#This Row],[PayScalePointEnabled]]=TRUE,PSPOINTS[[#This Row],[PayScalePointEnabled]]=FALSE),0,1),1)</f>
        <v>0</v>
      </c>
      <c r="I7" s="57">
        <f>IF(LEN(PSPOINTS[[#This Row],[PayScalePointCode]])&lt;100,0,1)</f>
        <v>0</v>
      </c>
      <c r="J7" s="57">
        <f>IF(LEN(PSPOINTS[[#This Row],[PayScalePointTitle]])&lt;100,0,1)</f>
        <v>0</v>
      </c>
      <c r="K7" s="57">
        <f>(COUNTBLANK(PSPOINTS[[#This Row],[PayScalePointCode]:[RateDateFrom]])+COUNTBLANK(PSPOINTS[[#This Row],[PayScaleRate]]))</f>
        <v>0</v>
      </c>
      <c r="L7" s="120">
        <f>IF(SUBSTITUTE(TEXT(PSPOINTS[[#This Row],[PayScaleCode]],10)," ","")=TEXT(PSPOINTS[[#This Row],[PayScaleCode]],10),0,1)+IF(SUBSTITUTE(TEXT(PSPOINTS[[#This Row],[PayScalePointCode]],10)," ","")=TEXT(PSPOINTS[[#This Row],[PayScalePointCode]],10),0,1)</f>
        <v>0</v>
      </c>
      <c r="M7" s="57">
        <f ca="1">SUM(PSPOINTS[[#This Row],[Scale Point Issue]:[Space in Code]])</f>
        <v>0</v>
      </c>
      <c r="N7" s="57" t="s">
        <v>1137</v>
      </c>
      <c r="P7" s="12" t="s">
        <v>1381</v>
      </c>
      <c r="Q7" s="57" t="str">
        <f>_xlfn.XLOOKUP(PSPOINTS[[#This Row],[PayScaleCode]],'19_PayScales'!N:N,'19_PayScales'!O:O)</f>
        <v>Teachers Main EW</v>
      </c>
      <c r="R7" s="12" t="s">
        <v>1445</v>
      </c>
      <c r="S7" s="12" t="s">
        <v>1445</v>
      </c>
      <c r="T7" s="12">
        <v>6</v>
      </c>
      <c r="U7" s="12" t="b">
        <v>0</v>
      </c>
      <c r="V7" s="12" t="b">
        <v>1</v>
      </c>
      <c r="W7" s="86">
        <v>45901</v>
      </c>
      <c r="Y7" s="14">
        <v>45352</v>
      </c>
    </row>
    <row r="8" spans="1:25" hidden="1" x14ac:dyDescent="0.25">
      <c r="A8" s="158" t="str">
        <f>PSPOINTS[[#This Row],[PayScaleCode]]&amp;PSPOINTS[[#This Row],[RateDateFrom]]</f>
        <v>MAIN_EW45901</v>
      </c>
      <c r="B8" s="57">
        <f t="shared" si="0"/>
        <v>0</v>
      </c>
      <c r="C8" s="57" t="str">
        <f>PSPOINTS[[#This Row],[PayScaleCode]]&amp;PSPOINTS[[#This Row],[PayScalePointCode]]&amp;PSPOINTS[[#This Row],[RateDateFrom]]</f>
        <v>MAIN_EWU1Y145901</v>
      </c>
      <c r="D8" s="57">
        <f>COUNTIF(PSPOINTS[Pay Scale String Duplicates],PSPOINTS[[#This Row],[Pay Scale String Duplicates]])-1</f>
        <v>0</v>
      </c>
      <c r="E8" s="57">
        <f>IF((MONTH(_xlfn.XLOOKUP(PSPOINTS[[#This Row],[PayScaleCode]],'19_PayScales'!N:N,'19_PayScales'!R:R)))=MONTH(PSPOINTS[[#This Row],[RateDateFrom]]),0,1)</f>
        <v>0</v>
      </c>
      <c r="F8" s="57">
        <f>IF(ISBLANK(PSPOINTS[[#This Row],[RateDateTo]]),0,IF(PSPOINTS[[#This Row],[RateDateFrom]]&lt;PSPOINTS[[#This Row],[RateDateTo]],0,1))</f>
        <v>0</v>
      </c>
      <c r="G8" s="57" cm="1">
        <f t="array" aca="1" ref="G8" ca="1">IF(CELL("format",PSPOINTS[[#This Row],[RateDateFrom]])="D1",0,1)+IF(CELL("format",PSPOINTS[[#This Row],[RateDateTo]])="D1",0,1)</f>
        <v>0</v>
      </c>
      <c r="H8" s="57">
        <f>IF(OR(PSPOINTS[[#This Row],[Hourly]]=TRUE,PSPOINTS[[#This Row],[Hourly]]=FALSE),IF(OR(PSPOINTS[[#This Row],[PayScalePointEnabled]]=TRUE,PSPOINTS[[#This Row],[PayScalePointEnabled]]=FALSE),0,1),1)</f>
        <v>0</v>
      </c>
      <c r="I8" s="57">
        <f>IF(LEN(PSPOINTS[[#This Row],[PayScalePointCode]])&lt;100,0,1)</f>
        <v>0</v>
      </c>
      <c r="J8" s="57">
        <f>IF(LEN(PSPOINTS[[#This Row],[PayScalePointTitle]])&lt;100,0,1)</f>
        <v>0</v>
      </c>
      <c r="K8" s="57">
        <f>(COUNTBLANK(PSPOINTS[[#This Row],[PayScalePointCode]:[RateDateFrom]])+COUNTBLANK(PSPOINTS[[#This Row],[PayScaleRate]]))</f>
        <v>0</v>
      </c>
      <c r="L8" s="120">
        <f>IF(SUBSTITUTE(TEXT(PSPOINTS[[#This Row],[PayScaleCode]],10)," ","")=TEXT(PSPOINTS[[#This Row],[PayScaleCode]],10),0,1)+IF(SUBSTITUTE(TEXT(PSPOINTS[[#This Row],[PayScalePointCode]],10)," ","")=TEXT(PSPOINTS[[#This Row],[PayScalePointCode]],10),0,1)</f>
        <v>0</v>
      </c>
      <c r="M8" s="57">
        <f ca="1">SUM(PSPOINTS[[#This Row],[Scale Point Issue]:[Space in Code]])</f>
        <v>0</v>
      </c>
      <c r="N8" s="57" t="s">
        <v>1137</v>
      </c>
      <c r="P8" s="12" t="s">
        <v>1381</v>
      </c>
      <c r="Q8" s="57" t="str">
        <f>_xlfn.XLOOKUP(PSPOINTS[[#This Row],[PayScaleCode]],'19_PayScales'!N:N,'19_PayScales'!O:O)</f>
        <v>Teachers Main EW</v>
      </c>
      <c r="R8" s="12" t="s">
        <v>1448</v>
      </c>
      <c r="S8" s="12" t="s">
        <v>1448</v>
      </c>
      <c r="T8" s="12">
        <v>7</v>
      </c>
      <c r="U8" s="12" t="b">
        <v>0</v>
      </c>
      <c r="V8" s="12" t="b">
        <v>1</v>
      </c>
      <c r="W8" s="86">
        <v>45901</v>
      </c>
      <c r="Y8" s="14">
        <v>47472</v>
      </c>
    </row>
    <row r="9" spans="1:25" hidden="1" x14ac:dyDescent="0.25">
      <c r="A9" s="158" t="str">
        <f>PSPOINTS[[#This Row],[PayScaleCode]]&amp;PSPOINTS[[#This Row],[RateDateFrom]]</f>
        <v>MAIN_EW45901</v>
      </c>
      <c r="B9" s="57">
        <f t="shared" si="0"/>
        <v>0</v>
      </c>
      <c r="C9" s="57" t="str">
        <f>PSPOINTS[[#This Row],[PayScaleCode]]&amp;PSPOINTS[[#This Row],[PayScalePointCode]]&amp;PSPOINTS[[#This Row],[RateDateFrom]]</f>
        <v>MAIN_EWU1Y245901</v>
      </c>
      <c r="D9" s="57">
        <f>COUNTIF(PSPOINTS[Pay Scale String Duplicates],PSPOINTS[[#This Row],[Pay Scale String Duplicates]])-1</f>
        <v>0</v>
      </c>
      <c r="E9" s="57">
        <f>IF((MONTH(_xlfn.XLOOKUP(PSPOINTS[[#This Row],[PayScaleCode]],'19_PayScales'!N:N,'19_PayScales'!R:R)))=MONTH(PSPOINTS[[#This Row],[RateDateFrom]]),0,1)</f>
        <v>0</v>
      </c>
      <c r="F9" s="57">
        <f>IF(ISBLANK(PSPOINTS[[#This Row],[RateDateTo]]),0,IF(PSPOINTS[[#This Row],[RateDateFrom]]&lt;PSPOINTS[[#This Row],[RateDateTo]],0,1))</f>
        <v>0</v>
      </c>
      <c r="G9" s="57" cm="1">
        <f t="array" aca="1" ref="G9" ca="1">IF(CELL("format",PSPOINTS[[#This Row],[RateDateFrom]])="D1",0,1)+IF(CELL("format",PSPOINTS[[#This Row],[RateDateTo]])="D1",0,1)</f>
        <v>0</v>
      </c>
      <c r="H9" s="57">
        <f>IF(OR(PSPOINTS[[#This Row],[Hourly]]=TRUE,PSPOINTS[[#This Row],[Hourly]]=FALSE),IF(OR(PSPOINTS[[#This Row],[PayScalePointEnabled]]=TRUE,PSPOINTS[[#This Row],[PayScalePointEnabled]]=FALSE),0,1),1)</f>
        <v>0</v>
      </c>
      <c r="I9" s="57">
        <f>IF(LEN(PSPOINTS[[#This Row],[PayScalePointCode]])&lt;100,0,1)</f>
        <v>0</v>
      </c>
      <c r="J9" s="57">
        <f>IF(LEN(PSPOINTS[[#This Row],[PayScalePointTitle]])&lt;100,0,1)</f>
        <v>0</v>
      </c>
      <c r="K9" s="57">
        <f>(COUNTBLANK(PSPOINTS[[#This Row],[PayScalePointCode]:[RateDateFrom]])+COUNTBLANK(PSPOINTS[[#This Row],[PayScaleRate]]))</f>
        <v>0</v>
      </c>
      <c r="L9" s="120">
        <f>IF(SUBSTITUTE(TEXT(PSPOINTS[[#This Row],[PayScaleCode]],10)," ","")=TEXT(PSPOINTS[[#This Row],[PayScaleCode]],10),0,1)+IF(SUBSTITUTE(TEXT(PSPOINTS[[#This Row],[PayScalePointCode]],10)," ","")=TEXT(PSPOINTS[[#This Row],[PayScalePointCode]],10),0,1)</f>
        <v>0</v>
      </c>
      <c r="M9" s="57">
        <f ca="1">SUM(PSPOINTS[[#This Row],[Scale Point Issue]:[Space in Code]])</f>
        <v>0</v>
      </c>
      <c r="N9" s="57" t="s">
        <v>1137</v>
      </c>
      <c r="P9" s="12" t="s">
        <v>1381</v>
      </c>
      <c r="Q9" s="57" t="str">
        <f>_xlfn.XLOOKUP(PSPOINTS[[#This Row],[PayScaleCode]],'19_PayScales'!N:N,'19_PayScales'!O:O)</f>
        <v>Teachers Main EW</v>
      </c>
      <c r="R9" s="12" t="s">
        <v>1521</v>
      </c>
      <c r="S9" s="12" t="s">
        <v>1521</v>
      </c>
      <c r="T9" s="12">
        <v>8</v>
      </c>
      <c r="U9" s="12" t="b">
        <v>0</v>
      </c>
      <c r="V9" s="12" t="b">
        <v>1</v>
      </c>
      <c r="W9" s="86">
        <v>45901</v>
      </c>
      <c r="Y9" s="14">
        <v>47472</v>
      </c>
    </row>
    <row r="10" spans="1:25" hidden="1" x14ac:dyDescent="0.25">
      <c r="A10" s="158" t="str">
        <f>PSPOINTS[[#This Row],[PayScaleCode]]&amp;PSPOINTS[[#This Row],[RateDateFrom]]</f>
        <v>MAIN_EW45901</v>
      </c>
      <c r="B10" s="57">
        <f t="shared" si="0"/>
        <v>0</v>
      </c>
      <c r="C10" s="57" t="str">
        <f>PSPOINTS[[#This Row],[PayScaleCode]]&amp;PSPOINTS[[#This Row],[PayScalePointCode]]&amp;PSPOINTS[[#This Row],[RateDateFrom]]</f>
        <v>MAIN_EWU2Y145901</v>
      </c>
      <c r="D10" s="57">
        <f>COUNTIF(PSPOINTS[Pay Scale String Duplicates],PSPOINTS[[#This Row],[Pay Scale String Duplicates]])-1</f>
        <v>0</v>
      </c>
      <c r="E10" s="57">
        <f>IF((MONTH(_xlfn.XLOOKUP(PSPOINTS[[#This Row],[PayScaleCode]],'19_PayScales'!N:N,'19_PayScales'!R:R)))=MONTH(PSPOINTS[[#This Row],[RateDateFrom]]),0,1)</f>
        <v>0</v>
      </c>
      <c r="F10" s="57">
        <f>IF(ISBLANK(PSPOINTS[[#This Row],[RateDateTo]]),0,IF(PSPOINTS[[#This Row],[RateDateFrom]]&lt;PSPOINTS[[#This Row],[RateDateTo]],0,1))</f>
        <v>0</v>
      </c>
      <c r="G10" s="57" cm="1">
        <f t="array" aca="1" ref="G10" ca="1">IF(CELL("format",PSPOINTS[[#This Row],[RateDateFrom]])="D1",0,1)+IF(CELL("format",PSPOINTS[[#This Row],[RateDateTo]])="D1",0,1)</f>
        <v>0</v>
      </c>
      <c r="H10" s="57">
        <f>IF(OR(PSPOINTS[[#This Row],[Hourly]]=TRUE,PSPOINTS[[#This Row],[Hourly]]=FALSE),IF(OR(PSPOINTS[[#This Row],[PayScalePointEnabled]]=TRUE,PSPOINTS[[#This Row],[PayScalePointEnabled]]=FALSE),0,1),1)</f>
        <v>0</v>
      </c>
      <c r="I10" s="57">
        <f>IF(LEN(PSPOINTS[[#This Row],[PayScalePointCode]])&lt;100,0,1)</f>
        <v>0</v>
      </c>
      <c r="J10" s="57">
        <f>IF(LEN(PSPOINTS[[#This Row],[PayScalePointTitle]])&lt;100,0,1)</f>
        <v>0</v>
      </c>
      <c r="K10" s="57">
        <f>(COUNTBLANK(PSPOINTS[[#This Row],[PayScalePointCode]:[RateDateFrom]])+COUNTBLANK(PSPOINTS[[#This Row],[PayScaleRate]]))</f>
        <v>0</v>
      </c>
      <c r="L10" s="120">
        <f>IF(SUBSTITUTE(TEXT(PSPOINTS[[#This Row],[PayScaleCode]],10)," ","")=TEXT(PSPOINTS[[#This Row],[PayScaleCode]],10),0,1)+IF(SUBSTITUTE(TEXT(PSPOINTS[[#This Row],[PayScalePointCode]],10)," ","")=TEXT(PSPOINTS[[#This Row],[PayScalePointCode]],10),0,1)</f>
        <v>0</v>
      </c>
      <c r="M10" s="57">
        <f ca="1">SUM(PSPOINTS[[#This Row],[Scale Point Issue]:[Space in Code]])</f>
        <v>0</v>
      </c>
      <c r="N10" s="57" t="s">
        <v>1137</v>
      </c>
      <c r="P10" s="12" t="s">
        <v>1381</v>
      </c>
      <c r="Q10" s="57" t="str">
        <f>_xlfn.XLOOKUP(PSPOINTS[[#This Row],[PayScaleCode]],'19_PayScales'!N:N,'19_PayScales'!O:O)</f>
        <v>Teachers Main EW</v>
      </c>
      <c r="R10" s="12" t="s">
        <v>1522</v>
      </c>
      <c r="S10" s="12" t="s">
        <v>1522</v>
      </c>
      <c r="T10" s="12">
        <v>9</v>
      </c>
      <c r="U10" s="12" t="b">
        <v>0</v>
      </c>
      <c r="V10" s="12" t="b">
        <v>1</v>
      </c>
      <c r="W10" s="86">
        <v>45901</v>
      </c>
      <c r="Y10" s="14">
        <v>49232</v>
      </c>
    </row>
    <row r="11" spans="1:25" hidden="1" x14ac:dyDescent="0.25">
      <c r="A11" s="158" t="str">
        <f>PSPOINTS[[#This Row],[PayScaleCode]]&amp;PSPOINTS[[#This Row],[RateDateFrom]]</f>
        <v>MAIN_EW45901</v>
      </c>
      <c r="B11" s="57">
        <f t="shared" si="0"/>
        <v>0</v>
      </c>
      <c r="C11" s="57" t="str">
        <f>PSPOINTS[[#This Row],[PayScaleCode]]&amp;PSPOINTS[[#This Row],[PayScalePointCode]]&amp;PSPOINTS[[#This Row],[RateDateFrom]]</f>
        <v>MAIN_EWU2Y245901</v>
      </c>
      <c r="D11" s="57">
        <f>COUNTIF(PSPOINTS[Pay Scale String Duplicates],PSPOINTS[[#This Row],[Pay Scale String Duplicates]])-1</f>
        <v>0</v>
      </c>
      <c r="E11" s="57">
        <f>IF((MONTH(_xlfn.XLOOKUP(PSPOINTS[[#This Row],[PayScaleCode]],'19_PayScales'!N:N,'19_PayScales'!R:R)))=MONTH(PSPOINTS[[#This Row],[RateDateFrom]]),0,1)</f>
        <v>0</v>
      </c>
      <c r="F11" s="57">
        <f>IF(ISBLANK(PSPOINTS[[#This Row],[RateDateTo]]),0,IF(PSPOINTS[[#This Row],[RateDateFrom]]&lt;PSPOINTS[[#This Row],[RateDateTo]],0,1))</f>
        <v>0</v>
      </c>
      <c r="G11" s="57" cm="1">
        <f t="array" aca="1" ref="G11" ca="1">IF(CELL("format",PSPOINTS[[#This Row],[RateDateFrom]])="D1",0,1)+IF(CELL("format",PSPOINTS[[#This Row],[RateDateTo]])="D1",0,1)</f>
        <v>0</v>
      </c>
      <c r="H11" s="57">
        <f>IF(OR(PSPOINTS[[#This Row],[Hourly]]=TRUE,PSPOINTS[[#This Row],[Hourly]]=FALSE),IF(OR(PSPOINTS[[#This Row],[PayScalePointEnabled]]=TRUE,PSPOINTS[[#This Row],[PayScalePointEnabled]]=FALSE),0,1),1)</f>
        <v>0</v>
      </c>
      <c r="I11" s="57">
        <f>IF(LEN(PSPOINTS[[#This Row],[PayScalePointCode]])&lt;100,0,1)</f>
        <v>0</v>
      </c>
      <c r="J11" s="57">
        <f>IF(LEN(PSPOINTS[[#This Row],[PayScalePointTitle]])&lt;100,0,1)</f>
        <v>0</v>
      </c>
      <c r="K11" s="57">
        <f>(COUNTBLANK(PSPOINTS[[#This Row],[PayScalePointCode]:[RateDateFrom]])+COUNTBLANK(PSPOINTS[[#This Row],[PayScaleRate]]))</f>
        <v>0</v>
      </c>
      <c r="L11" s="120">
        <f>IF(SUBSTITUTE(TEXT(PSPOINTS[[#This Row],[PayScaleCode]],10)," ","")=TEXT(PSPOINTS[[#This Row],[PayScaleCode]],10),0,1)+IF(SUBSTITUTE(TEXT(PSPOINTS[[#This Row],[PayScalePointCode]],10)," ","")=TEXT(PSPOINTS[[#This Row],[PayScalePointCode]],10),0,1)</f>
        <v>0</v>
      </c>
      <c r="M11" s="57">
        <f ca="1">SUM(PSPOINTS[[#This Row],[Scale Point Issue]:[Space in Code]])</f>
        <v>0</v>
      </c>
      <c r="N11" s="57" t="s">
        <v>1137</v>
      </c>
      <c r="P11" s="12" t="s">
        <v>1381</v>
      </c>
      <c r="Q11" s="57" t="str">
        <f>_xlfn.XLOOKUP(PSPOINTS[[#This Row],[PayScaleCode]],'19_PayScales'!N:N,'19_PayScales'!O:O)</f>
        <v>Teachers Main EW</v>
      </c>
      <c r="R11" s="12" t="s">
        <v>1523</v>
      </c>
      <c r="S11" s="12" t="s">
        <v>1523</v>
      </c>
      <c r="T11" s="12">
        <v>10</v>
      </c>
      <c r="U11" s="12" t="b">
        <v>0</v>
      </c>
      <c r="V11" s="12" t="b">
        <v>1</v>
      </c>
      <c r="W11" s="86">
        <v>45901</v>
      </c>
      <c r="Y11" s="14">
        <v>49232</v>
      </c>
    </row>
    <row r="12" spans="1:25" hidden="1" x14ac:dyDescent="0.25">
      <c r="A12" s="158" t="str">
        <f>PSPOINTS[[#This Row],[PayScaleCode]]&amp;PSPOINTS[[#This Row],[RateDateFrom]]</f>
        <v>MAIN_EW45901</v>
      </c>
      <c r="B12" s="57">
        <f t="shared" si="0"/>
        <v>0</v>
      </c>
      <c r="C12" s="57" t="str">
        <f>PSPOINTS[[#This Row],[PayScaleCode]]&amp;PSPOINTS[[#This Row],[PayScalePointCode]]&amp;PSPOINTS[[#This Row],[RateDateFrom]]</f>
        <v>MAIN_EWU345901</v>
      </c>
      <c r="D12" s="57">
        <f>COUNTIF(PSPOINTS[Pay Scale String Duplicates],PSPOINTS[[#This Row],[Pay Scale String Duplicates]])-1</f>
        <v>0</v>
      </c>
      <c r="E12" s="57">
        <f>IF((MONTH(_xlfn.XLOOKUP(PSPOINTS[[#This Row],[PayScaleCode]],'19_PayScales'!N:N,'19_PayScales'!R:R)))=MONTH(PSPOINTS[[#This Row],[RateDateFrom]]),0,1)</f>
        <v>0</v>
      </c>
      <c r="F12" s="57">
        <f>IF(ISBLANK(PSPOINTS[[#This Row],[RateDateTo]]),0,IF(PSPOINTS[[#This Row],[RateDateFrom]]&lt;PSPOINTS[[#This Row],[RateDateTo]],0,1))</f>
        <v>0</v>
      </c>
      <c r="G12" s="57" cm="1">
        <f t="array" aca="1" ref="G12" ca="1">IF(CELL("format",PSPOINTS[[#This Row],[RateDateFrom]])="D1",0,1)+IF(CELL("format",PSPOINTS[[#This Row],[RateDateTo]])="D1",0,1)</f>
        <v>0</v>
      </c>
      <c r="H12" s="57">
        <f>IF(OR(PSPOINTS[[#This Row],[Hourly]]=TRUE,PSPOINTS[[#This Row],[Hourly]]=FALSE),IF(OR(PSPOINTS[[#This Row],[PayScalePointEnabled]]=TRUE,PSPOINTS[[#This Row],[PayScalePointEnabled]]=FALSE),0,1),1)</f>
        <v>0</v>
      </c>
      <c r="I12" s="57">
        <f>IF(LEN(PSPOINTS[[#This Row],[PayScalePointCode]])&lt;100,0,1)</f>
        <v>0</v>
      </c>
      <c r="J12" s="57">
        <f>IF(LEN(PSPOINTS[[#This Row],[PayScalePointTitle]])&lt;100,0,1)</f>
        <v>0</v>
      </c>
      <c r="K12" s="57">
        <f>(COUNTBLANK(PSPOINTS[[#This Row],[PayScalePointCode]:[RateDateFrom]])+COUNTBLANK(PSPOINTS[[#This Row],[PayScaleRate]]))</f>
        <v>0</v>
      </c>
      <c r="L12" s="120">
        <f>IF(SUBSTITUTE(TEXT(PSPOINTS[[#This Row],[PayScaleCode]],10)," ","")=TEXT(PSPOINTS[[#This Row],[PayScaleCode]],10),0,1)+IF(SUBSTITUTE(TEXT(PSPOINTS[[#This Row],[PayScalePointCode]],10)," ","")=TEXT(PSPOINTS[[#This Row],[PayScalePointCode]],10),0,1)</f>
        <v>0</v>
      </c>
      <c r="M12" s="57">
        <f ca="1">SUM(PSPOINTS[[#This Row],[Scale Point Issue]:[Space in Code]])</f>
        <v>0</v>
      </c>
      <c r="N12" s="57" t="s">
        <v>1137</v>
      </c>
      <c r="P12" s="12" t="s">
        <v>1381</v>
      </c>
      <c r="Q12" s="57" t="str">
        <f>_xlfn.XLOOKUP(PSPOINTS[[#This Row],[PayScaleCode]],'19_PayScales'!N:N,'19_PayScales'!O:O)</f>
        <v>Teachers Main EW</v>
      </c>
      <c r="R12" s="12" t="s">
        <v>1442</v>
      </c>
      <c r="S12" s="12" t="s">
        <v>1442</v>
      </c>
      <c r="T12" s="12">
        <v>11</v>
      </c>
      <c r="U12" s="12" t="b">
        <v>0</v>
      </c>
      <c r="V12" s="12" t="b">
        <v>1</v>
      </c>
      <c r="W12" s="86">
        <v>45901</v>
      </c>
      <c r="Y12" s="14">
        <v>51048</v>
      </c>
    </row>
    <row r="13" spans="1:25" x14ac:dyDescent="0.25">
      <c r="A13" s="158" t="str">
        <f>PSPOINTS[[#This Row],[PayScaleCode]]&amp;PSPOINTS[[#This Row],[RateDateFrom]]</f>
        <v>LP_EW45901</v>
      </c>
      <c r="B13" s="57">
        <f t="shared" si="0"/>
        <v>0</v>
      </c>
      <c r="C13" s="57" t="str">
        <f>PSPOINTS[[#This Row],[PayScaleCode]]&amp;PSPOINTS[[#This Row],[PayScalePointCode]]&amp;PSPOINTS[[#This Row],[RateDateFrom]]</f>
        <v>LP_EWLP0145901</v>
      </c>
      <c r="D13" s="57">
        <f>COUNTIF(PSPOINTS[Pay Scale String Duplicates],PSPOINTS[[#This Row],[Pay Scale String Duplicates]])-1</f>
        <v>0</v>
      </c>
      <c r="E13" s="57">
        <f>IF((MONTH(_xlfn.XLOOKUP(PSPOINTS[[#This Row],[PayScaleCode]],'19_PayScales'!N:N,'19_PayScales'!R:R)))=MONTH(PSPOINTS[[#This Row],[RateDateFrom]]),0,1)</f>
        <v>0</v>
      </c>
      <c r="F13" s="57">
        <f>IF(ISBLANK(PSPOINTS[[#This Row],[RateDateTo]]),0,IF(PSPOINTS[[#This Row],[RateDateFrom]]&lt;PSPOINTS[[#This Row],[RateDateTo]],0,1))</f>
        <v>0</v>
      </c>
      <c r="G13" s="57" cm="1">
        <f t="array" aca="1" ref="G13" ca="1">IF(CELL("format",PSPOINTS[[#This Row],[RateDateFrom]])="D1",0,1)+IF(CELL("format",PSPOINTS[[#This Row],[RateDateTo]])="D1",0,1)</f>
        <v>0</v>
      </c>
      <c r="H13" s="57">
        <f>IF(OR(PSPOINTS[[#This Row],[Hourly]]=TRUE,PSPOINTS[[#This Row],[Hourly]]=FALSE),IF(OR(PSPOINTS[[#This Row],[PayScalePointEnabled]]=TRUE,PSPOINTS[[#This Row],[PayScalePointEnabled]]=FALSE),0,1),1)</f>
        <v>0</v>
      </c>
      <c r="I13" s="57">
        <f>IF(LEN(PSPOINTS[[#This Row],[PayScalePointCode]])&lt;100,0,1)</f>
        <v>0</v>
      </c>
      <c r="J13" s="57">
        <f>IF(LEN(PSPOINTS[[#This Row],[PayScalePointTitle]])&lt;100,0,1)</f>
        <v>0</v>
      </c>
      <c r="K13" s="57">
        <f>(COUNTBLANK(PSPOINTS[[#This Row],[PayScalePointCode]:[RateDateFrom]])+COUNTBLANK(PSPOINTS[[#This Row],[PayScaleRate]]))</f>
        <v>0</v>
      </c>
      <c r="L13" s="120">
        <f>IF(SUBSTITUTE(TEXT(PSPOINTS[[#This Row],[PayScaleCode]],10)," ","")=TEXT(PSPOINTS[[#This Row],[PayScaleCode]],10),0,1)+IF(SUBSTITUTE(TEXT(PSPOINTS[[#This Row],[PayScalePointCode]],10)," ","")=TEXT(PSPOINTS[[#This Row],[PayScalePointCode]],10),0,1)</f>
        <v>0</v>
      </c>
      <c r="M13" s="57">
        <f ca="1">SUM(PSPOINTS[[#This Row],[Scale Point Issue]:[Space in Code]])</f>
        <v>0</v>
      </c>
      <c r="N13" s="57" t="s">
        <v>1137</v>
      </c>
      <c r="P13" s="12" t="s">
        <v>1384</v>
      </c>
      <c r="Q13" s="57" t="str">
        <f>_xlfn.XLOOKUP(PSPOINTS[[#This Row],[PayScaleCode]],'19_PayScales'!N:N,'19_PayScales'!O:O)</f>
        <v>Lead Practitioner EW</v>
      </c>
      <c r="R13" s="12" t="s">
        <v>1459</v>
      </c>
      <c r="S13" s="12" t="s">
        <v>1459</v>
      </c>
      <c r="T13" s="12">
        <v>1</v>
      </c>
      <c r="U13" s="12" t="b">
        <v>0</v>
      </c>
      <c r="V13" s="12" t="b">
        <v>1</v>
      </c>
      <c r="W13" s="86">
        <v>45901</v>
      </c>
      <c r="Y13" s="14">
        <v>52026</v>
      </c>
    </row>
    <row r="14" spans="1:25" x14ac:dyDescent="0.25">
      <c r="A14" s="158" t="str">
        <f>PSPOINTS[[#This Row],[PayScaleCode]]&amp;PSPOINTS[[#This Row],[RateDateFrom]]</f>
        <v>LP_EW45901</v>
      </c>
      <c r="B14" s="57">
        <f t="shared" si="0"/>
        <v>0</v>
      </c>
      <c r="C14" s="57" t="str">
        <f>PSPOINTS[[#This Row],[PayScaleCode]]&amp;PSPOINTS[[#This Row],[PayScalePointCode]]&amp;PSPOINTS[[#This Row],[RateDateFrom]]</f>
        <v>LP_EWLP0245901</v>
      </c>
      <c r="D14" s="57">
        <f>COUNTIF(PSPOINTS[Pay Scale String Duplicates],PSPOINTS[[#This Row],[Pay Scale String Duplicates]])-1</f>
        <v>0</v>
      </c>
      <c r="E14" s="57">
        <f>IF((MONTH(_xlfn.XLOOKUP(PSPOINTS[[#This Row],[PayScaleCode]],'19_PayScales'!N:N,'19_PayScales'!R:R)))=MONTH(PSPOINTS[[#This Row],[RateDateFrom]]),0,1)</f>
        <v>0</v>
      </c>
      <c r="F14" s="57">
        <f>IF(ISBLANK(PSPOINTS[[#This Row],[RateDateTo]]),0,IF(PSPOINTS[[#This Row],[RateDateFrom]]&lt;PSPOINTS[[#This Row],[RateDateTo]],0,1))</f>
        <v>0</v>
      </c>
      <c r="G14" s="57" cm="1">
        <f t="array" aca="1" ref="G14" ca="1">IF(CELL("format",PSPOINTS[[#This Row],[RateDateFrom]])="D1",0,1)+IF(CELL("format",PSPOINTS[[#This Row],[RateDateTo]])="D1",0,1)</f>
        <v>0</v>
      </c>
      <c r="H14" s="57">
        <f>IF(OR(PSPOINTS[[#This Row],[Hourly]]=TRUE,PSPOINTS[[#This Row],[Hourly]]=FALSE),IF(OR(PSPOINTS[[#This Row],[PayScalePointEnabled]]=TRUE,PSPOINTS[[#This Row],[PayScalePointEnabled]]=FALSE),0,1),1)</f>
        <v>0</v>
      </c>
      <c r="I14" s="57">
        <f>IF(LEN(PSPOINTS[[#This Row],[PayScalePointCode]])&lt;100,0,1)</f>
        <v>0</v>
      </c>
      <c r="J14" s="57">
        <f>IF(LEN(PSPOINTS[[#This Row],[PayScalePointTitle]])&lt;100,0,1)</f>
        <v>0</v>
      </c>
      <c r="K14" s="57">
        <f>(COUNTBLANK(PSPOINTS[[#This Row],[PayScalePointCode]:[RateDateFrom]])+COUNTBLANK(PSPOINTS[[#This Row],[PayScaleRate]]))</f>
        <v>0</v>
      </c>
      <c r="L14" s="120">
        <f>IF(SUBSTITUTE(TEXT(PSPOINTS[[#This Row],[PayScaleCode]],10)," ","")=TEXT(PSPOINTS[[#This Row],[PayScaleCode]],10),0,1)+IF(SUBSTITUTE(TEXT(PSPOINTS[[#This Row],[PayScalePointCode]],10)," ","")=TEXT(PSPOINTS[[#This Row],[PayScalePointCode]],10),0,1)</f>
        <v>0</v>
      </c>
      <c r="M14" s="57">
        <f ca="1">SUM(PSPOINTS[[#This Row],[Scale Point Issue]:[Space in Code]])</f>
        <v>0</v>
      </c>
      <c r="N14" s="57" t="s">
        <v>1137</v>
      </c>
      <c r="P14" s="12" t="s">
        <v>1384</v>
      </c>
      <c r="Q14" s="57" t="str">
        <f>_xlfn.XLOOKUP(PSPOINTS[[#This Row],[PayScaleCode]],'19_PayScales'!N:N,'19_PayScales'!O:O)</f>
        <v>Lead Practitioner EW</v>
      </c>
      <c r="R14" s="12" t="s">
        <v>1524</v>
      </c>
      <c r="S14" s="12" t="s">
        <v>1524</v>
      </c>
      <c r="T14" s="12">
        <v>2</v>
      </c>
      <c r="U14" s="12" t="b">
        <v>0</v>
      </c>
      <c r="V14" s="12" t="b">
        <v>1</v>
      </c>
      <c r="W14" s="86">
        <v>45901</v>
      </c>
      <c r="Y14" s="14">
        <v>53332</v>
      </c>
    </row>
    <row r="15" spans="1:25" x14ac:dyDescent="0.25">
      <c r="A15" s="158" t="str">
        <f>PSPOINTS[[#This Row],[PayScaleCode]]&amp;PSPOINTS[[#This Row],[RateDateFrom]]</f>
        <v>LP_EW45901</v>
      </c>
      <c r="B15" s="57">
        <f t="shared" si="0"/>
        <v>0</v>
      </c>
      <c r="C15" s="57" t="str">
        <f>PSPOINTS[[#This Row],[PayScaleCode]]&amp;PSPOINTS[[#This Row],[PayScalePointCode]]&amp;PSPOINTS[[#This Row],[RateDateFrom]]</f>
        <v>LP_EWLP0345901</v>
      </c>
      <c r="D15" s="57">
        <f>COUNTIF(PSPOINTS[Pay Scale String Duplicates],PSPOINTS[[#This Row],[Pay Scale String Duplicates]])-1</f>
        <v>0</v>
      </c>
      <c r="E15" s="57">
        <f>IF((MONTH(_xlfn.XLOOKUP(PSPOINTS[[#This Row],[PayScaleCode]],'19_PayScales'!N:N,'19_PayScales'!R:R)))=MONTH(PSPOINTS[[#This Row],[RateDateFrom]]),0,1)</f>
        <v>0</v>
      </c>
      <c r="F15" s="57">
        <f>IF(ISBLANK(PSPOINTS[[#This Row],[RateDateTo]]),0,IF(PSPOINTS[[#This Row],[RateDateFrom]]&lt;PSPOINTS[[#This Row],[RateDateTo]],0,1))</f>
        <v>0</v>
      </c>
      <c r="G15" s="57" cm="1">
        <f t="array" aca="1" ref="G15" ca="1">IF(CELL("format",PSPOINTS[[#This Row],[RateDateFrom]])="D1",0,1)+IF(CELL("format",PSPOINTS[[#This Row],[RateDateTo]])="D1",0,1)</f>
        <v>0</v>
      </c>
      <c r="H15" s="57">
        <f>IF(OR(PSPOINTS[[#This Row],[Hourly]]=TRUE,PSPOINTS[[#This Row],[Hourly]]=FALSE),IF(OR(PSPOINTS[[#This Row],[PayScalePointEnabled]]=TRUE,PSPOINTS[[#This Row],[PayScalePointEnabled]]=FALSE),0,1),1)</f>
        <v>0</v>
      </c>
      <c r="I15" s="57">
        <f>IF(LEN(PSPOINTS[[#This Row],[PayScalePointCode]])&lt;100,0,1)</f>
        <v>0</v>
      </c>
      <c r="J15" s="57">
        <f>IF(LEN(PSPOINTS[[#This Row],[PayScalePointTitle]])&lt;100,0,1)</f>
        <v>0</v>
      </c>
      <c r="K15" s="57">
        <f>(COUNTBLANK(PSPOINTS[[#This Row],[PayScalePointCode]:[RateDateFrom]])+COUNTBLANK(PSPOINTS[[#This Row],[PayScaleRate]]))</f>
        <v>0</v>
      </c>
      <c r="L15" s="120">
        <f>IF(SUBSTITUTE(TEXT(PSPOINTS[[#This Row],[PayScaleCode]],10)," ","")=TEXT(PSPOINTS[[#This Row],[PayScaleCode]],10),0,1)+IF(SUBSTITUTE(TEXT(PSPOINTS[[#This Row],[PayScalePointCode]],10)," ","")=TEXT(PSPOINTS[[#This Row],[PayScalePointCode]],10),0,1)</f>
        <v>0</v>
      </c>
      <c r="M15" s="57">
        <f ca="1">SUM(PSPOINTS[[#This Row],[Scale Point Issue]:[Space in Code]])</f>
        <v>0</v>
      </c>
      <c r="N15" s="57" t="s">
        <v>1137</v>
      </c>
      <c r="P15" s="12" t="s">
        <v>1384</v>
      </c>
      <c r="Q15" s="57" t="str">
        <f>_xlfn.XLOOKUP(PSPOINTS[[#This Row],[PayScaleCode]],'19_PayScales'!N:N,'19_PayScales'!O:O)</f>
        <v>Lead Practitioner EW</v>
      </c>
      <c r="R15" s="12" t="s">
        <v>1525</v>
      </c>
      <c r="S15" s="12" t="s">
        <v>1525</v>
      </c>
      <c r="T15" s="12">
        <v>3</v>
      </c>
      <c r="U15" s="12" t="b">
        <v>0</v>
      </c>
      <c r="V15" s="12" t="b">
        <v>1</v>
      </c>
      <c r="W15" s="86">
        <v>45901</v>
      </c>
      <c r="Y15" s="14">
        <v>54663</v>
      </c>
    </row>
    <row r="16" spans="1:25" x14ac:dyDescent="0.25">
      <c r="A16" s="158" t="str">
        <f>PSPOINTS[[#This Row],[PayScaleCode]]&amp;PSPOINTS[[#This Row],[RateDateFrom]]</f>
        <v>LP_EW45901</v>
      </c>
      <c r="B16" s="57">
        <f t="shared" si="0"/>
        <v>0</v>
      </c>
      <c r="C16" s="57" t="str">
        <f>PSPOINTS[[#This Row],[PayScaleCode]]&amp;PSPOINTS[[#This Row],[PayScalePointCode]]&amp;PSPOINTS[[#This Row],[RateDateFrom]]</f>
        <v>LP_EWLP0445901</v>
      </c>
      <c r="D16" s="57">
        <f>COUNTIF(PSPOINTS[Pay Scale String Duplicates],PSPOINTS[[#This Row],[Pay Scale String Duplicates]])-1</f>
        <v>0</v>
      </c>
      <c r="E16" s="57">
        <f>IF((MONTH(_xlfn.XLOOKUP(PSPOINTS[[#This Row],[PayScaleCode]],'19_PayScales'!N:N,'19_PayScales'!R:R)))=MONTH(PSPOINTS[[#This Row],[RateDateFrom]]),0,1)</f>
        <v>0</v>
      </c>
      <c r="F16" s="57">
        <f>IF(ISBLANK(PSPOINTS[[#This Row],[RateDateTo]]),0,IF(PSPOINTS[[#This Row],[RateDateFrom]]&lt;PSPOINTS[[#This Row],[RateDateTo]],0,1))</f>
        <v>0</v>
      </c>
      <c r="G16" s="57" cm="1">
        <f t="array" aca="1" ref="G16" ca="1">IF(CELL("format",PSPOINTS[[#This Row],[RateDateFrom]])="D1",0,1)+IF(CELL("format",PSPOINTS[[#This Row],[RateDateTo]])="D1",0,1)</f>
        <v>0</v>
      </c>
      <c r="H16" s="57">
        <f>IF(OR(PSPOINTS[[#This Row],[Hourly]]=TRUE,PSPOINTS[[#This Row],[Hourly]]=FALSE),IF(OR(PSPOINTS[[#This Row],[PayScalePointEnabled]]=TRUE,PSPOINTS[[#This Row],[PayScalePointEnabled]]=FALSE),0,1),1)</f>
        <v>0</v>
      </c>
      <c r="I16" s="57">
        <f>IF(LEN(PSPOINTS[[#This Row],[PayScalePointCode]])&lt;100,0,1)</f>
        <v>0</v>
      </c>
      <c r="J16" s="57">
        <f>IF(LEN(PSPOINTS[[#This Row],[PayScalePointTitle]])&lt;100,0,1)</f>
        <v>0</v>
      </c>
      <c r="K16" s="57">
        <f>(COUNTBLANK(PSPOINTS[[#This Row],[PayScalePointCode]:[RateDateFrom]])+COUNTBLANK(PSPOINTS[[#This Row],[PayScaleRate]]))</f>
        <v>0</v>
      </c>
      <c r="L16" s="120">
        <f>IF(SUBSTITUTE(TEXT(PSPOINTS[[#This Row],[PayScaleCode]],10)," ","")=TEXT(PSPOINTS[[#This Row],[PayScaleCode]],10),0,1)+IF(SUBSTITUTE(TEXT(PSPOINTS[[#This Row],[PayScalePointCode]],10)," ","")=TEXT(PSPOINTS[[#This Row],[PayScalePointCode]],10),0,1)</f>
        <v>0</v>
      </c>
      <c r="M16" s="57">
        <f ca="1">SUM(PSPOINTS[[#This Row],[Scale Point Issue]:[Space in Code]])</f>
        <v>0</v>
      </c>
      <c r="N16" s="57" t="s">
        <v>1137</v>
      </c>
      <c r="P16" s="12" t="s">
        <v>1384</v>
      </c>
      <c r="Q16" s="57" t="str">
        <f>_xlfn.XLOOKUP(PSPOINTS[[#This Row],[PayScaleCode]],'19_PayScales'!N:N,'19_PayScales'!O:O)</f>
        <v>Lead Practitioner EW</v>
      </c>
      <c r="R16" s="12" t="s">
        <v>1526</v>
      </c>
      <c r="S16" s="12" t="s">
        <v>1526</v>
      </c>
      <c r="T16" s="12">
        <v>4</v>
      </c>
      <c r="U16" s="12" t="b">
        <v>0</v>
      </c>
      <c r="V16" s="12" t="b">
        <v>1</v>
      </c>
      <c r="W16" s="86">
        <v>45901</v>
      </c>
      <c r="Y16" s="14">
        <v>56022</v>
      </c>
    </row>
    <row r="17" spans="1:25" x14ac:dyDescent="0.25">
      <c r="A17" s="158" t="str">
        <f>PSPOINTS[[#This Row],[PayScaleCode]]&amp;PSPOINTS[[#This Row],[RateDateFrom]]</f>
        <v>LP_EW45901</v>
      </c>
      <c r="B17" s="57">
        <f t="shared" si="0"/>
        <v>0</v>
      </c>
      <c r="C17" s="57" t="str">
        <f>PSPOINTS[[#This Row],[PayScaleCode]]&amp;PSPOINTS[[#This Row],[PayScalePointCode]]&amp;PSPOINTS[[#This Row],[RateDateFrom]]</f>
        <v>LP_EWLP0545901</v>
      </c>
      <c r="D17" s="57">
        <f>COUNTIF(PSPOINTS[Pay Scale String Duplicates],PSPOINTS[[#This Row],[Pay Scale String Duplicates]])-1</f>
        <v>0</v>
      </c>
      <c r="E17" s="57">
        <f>IF((MONTH(_xlfn.XLOOKUP(PSPOINTS[[#This Row],[PayScaleCode]],'19_PayScales'!N:N,'19_PayScales'!R:R)))=MONTH(PSPOINTS[[#This Row],[RateDateFrom]]),0,1)</f>
        <v>0</v>
      </c>
      <c r="F17" s="57">
        <f>IF(ISBLANK(PSPOINTS[[#This Row],[RateDateTo]]),0,IF(PSPOINTS[[#This Row],[RateDateFrom]]&lt;PSPOINTS[[#This Row],[RateDateTo]],0,1))</f>
        <v>0</v>
      </c>
      <c r="G17" s="57" cm="1">
        <f t="array" aca="1" ref="G17" ca="1">IF(CELL("format",PSPOINTS[[#This Row],[RateDateFrom]])="D1",0,1)+IF(CELL("format",PSPOINTS[[#This Row],[RateDateTo]])="D1",0,1)</f>
        <v>0</v>
      </c>
      <c r="H17" s="57">
        <f>IF(OR(PSPOINTS[[#This Row],[Hourly]]=TRUE,PSPOINTS[[#This Row],[Hourly]]=FALSE),IF(OR(PSPOINTS[[#This Row],[PayScalePointEnabled]]=TRUE,PSPOINTS[[#This Row],[PayScalePointEnabled]]=FALSE),0,1),1)</f>
        <v>0</v>
      </c>
      <c r="I17" s="57">
        <f>IF(LEN(PSPOINTS[[#This Row],[PayScalePointCode]])&lt;100,0,1)</f>
        <v>0</v>
      </c>
      <c r="J17" s="57">
        <f>IF(LEN(PSPOINTS[[#This Row],[PayScalePointTitle]])&lt;100,0,1)</f>
        <v>0</v>
      </c>
      <c r="K17" s="57">
        <f>(COUNTBLANK(PSPOINTS[[#This Row],[PayScalePointCode]:[RateDateFrom]])+COUNTBLANK(PSPOINTS[[#This Row],[PayScaleRate]]))</f>
        <v>0</v>
      </c>
      <c r="L17" s="120">
        <f>IF(SUBSTITUTE(TEXT(PSPOINTS[[#This Row],[PayScaleCode]],10)," ","")=TEXT(PSPOINTS[[#This Row],[PayScaleCode]],10),0,1)+IF(SUBSTITUTE(TEXT(PSPOINTS[[#This Row],[PayScalePointCode]],10)," ","")=TEXT(PSPOINTS[[#This Row],[PayScalePointCode]],10),0,1)</f>
        <v>0</v>
      </c>
      <c r="M17" s="57">
        <f ca="1">SUM(PSPOINTS[[#This Row],[Scale Point Issue]:[Space in Code]])</f>
        <v>0</v>
      </c>
      <c r="N17" s="57" t="s">
        <v>1137</v>
      </c>
      <c r="P17" s="12" t="s">
        <v>1384</v>
      </c>
      <c r="Q17" s="57" t="str">
        <f>_xlfn.XLOOKUP(PSPOINTS[[#This Row],[PayScaleCode]],'19_PayScales'!N:N,'19_PayScales'!O:O)</f>
        <v>Lead Practitioner EW</v>
      </c>
      <c r="R17" s="12" t="s">
        <v>1527</v>
      </c>
      <c r="S17" s="12" t="s">
        <v>1527</v>
      </c>
      <c r="T17" s="12">
        <v>5</v>
      </c>
      <c r="U17" s="12" t="b">
        <v>0</v>
      </c>
      <c r="V17" s="12" t="b">
        <v>1</v>
      </c>
      <c r="W17" s="86">
        <v>45901</v>
      </c>
      <c r="Y17" s="14">
        <v>57418</v>
      </c>
    </row>
    <row r="18" spans="1:25" x14ac:dyDescent="0.25">
      <c r="A18" s="158" t="str">
        <f>PSPOINTS[[#This Row],[PayScaleCode]]&amp;PSPOINTS[[#This Row],[RateDateFrom]]</f>
        <v>LP_EW45901</v>
      </c>
      <c r="B18" s="57">
        <f t="shared" si="0"/>
        <v>0</v>
      </c>
      <c r="C18" s="57" t="str">
        <f>PSPOINTS[[#This Row],[PayScaleCode]]&amp;PSPOINTS[[#This Row],[PayScalePointCode]]&amp;PSPOINTS[[#This Row],[RateDateFrom]]</f>
        <v>LP_EWLP0645901</v>
      </c>
      <c r="D18" s="57">
        <f>COUNTIF(PSPOINTS[Pay Scale String Duplicates],PSPOINTS[[#This Row],[Pay Scale String Duplicates]])-1</f>
        <v>0</v>
      </c>
      <c r="E18" s="57">
        <f>IF((MONTH(_xlfn.XLOOKUP(PSPOINTS[[#This Row],[PayScaleCode]],'19_PayScales'!N:N,'19_PayScales'!R:R)))=MONTH(PSPOINTS[[#This Row],[RateDateFrom]]),0,1)</f>
        <v>0</v>
      </c>
      <c r="F18" s="57">
        <f>IF(ISBLANK(PSPOINTS[[#This Row],[RateDateTo]]),0,IF(PSPOINTS[[#This Row],[RateDateFrom]]&lt;PSPOINTS[[#This Row],[RateDateTo]],0,1))</f>
        <v>0</v>
      </c>
      <c r="G18" s="57" cm="1">
        <f t="array" aca="1" ref="G18" ca="1">IF(CELL("format",PSPOINTS[[#This Row],[RateDateFrom]])="D1",0,1)+IF(CELL("format",PSPOINTS[[#This Row],[RateDateTo]])="D1",0,1)</f>
        <v>0</v>
      </c>
      <c r="H18" s="57">
        <f>IF(OR(PSPOINTS[[#This Row],[Hourly]]=TRUE,PSPOINTS[[#This Row],[Hourly]]=FALSE),IF(OR(PSPOINTS[[#This Row],[PayScalePointEnabled]]=TRUE,PSPOINTS[[#This Row],[PayScalePointEnabled]]=FALSE),0,1),1)</f>
        <v>0</v>
      </c>
      <c r="I18" s="57">
        <f>IF(LEN(PSPOINTS[[#This Row],[PayScalePointCode]])&lt;100,0,1)</f>
        <v>0</v>
      </c>
      <c r="J18" s="57">
        <f>IF(LEN(PSPOINTS[[#This Row],[PayScalePointTitle]])&lt;100,0,1)</f>
        <v>0</v>
      </c>
      <c r="K18" s="57">
        <f>(COUNTBLANK(PSPOINTS[[#This Row],[PayScalePointCode]:[RateDateFrom]])+COUNTBLANK(PSPOINTS[[#This Row],[PayScaleRate]]))</f>
        <v>0</v>
      </c>
      <c r="L18" s="120">
        <f>IF(SUBSTITUTE(TEXT(PSPOINTS[[#This Row],[PayScaleCode]],10)," ","")=TEXT(PSPOINTS[[#This Row],[PayScaleCode]],10),0,1)+IF(SUBSTITUTE(TEXT(PSPOINTS[[#This Row],[PayScalePointCode]],10)," ","")=TEXT(PSPOINTS[[#This Row],[PayScalePointCode]],10),0,1)</f>
        <v>0</v>
      </c>
      <c r="M18" s="57">
        <f ca="1">SUM(PSPOINTS[[#This Row],[Scale Point Issue]:[Space in Code]])</f>
        <v>0</v>
      </c>
      <c r="N18" s="57" t="s">
        <v>1137</v>
      </c>
      <c r="P18" s="12" t="s">
        <v>1384</v>
      </c>
      <c r="Q18" s="57" t="str">
        <f>_xlfn.XLOOKUP(PSPOINTS[[#This Row],[PayScaleCode]],'19_PayScales'!N:N,'19_PayScales'!O:O)</f>
        <v>Lead Practitioner EW</v>
      </c>
      <c r="R18" s="12" t="s">
        <v>1528</v>
      </c>
      <c r="S18" s="12" t="s">
        <v>1528</v>
      </c>
      <c r="T18" s="12">
        <v>6</v>
      </c>
      <c r="U18" s="12" t="b">
        <v>0</v>
      </c>
      <c r="V18" s="12" t="b">
        <v>1</v>
      </c>
      <c r="W18" s="86">
        <v>45901</v>
      </c>
      <c r="Y18" s="14">
        <v>58857</v>
      </c>
    </row>
    <row r="19" spans="1:25" x14ac:dyDescent="0.25">
      <c r="A19" s="158" t="str">
        <f>PSPOINTS[[#This Row],[PayScaleCode]]&amp;PSPOINTS[[#This Row],[RateDateFrom]]</f>
        <v>LP_EW45901</v>
      </c>
      <c r="B19" s="57">
        <f t="shared" si="0"/>
        <v>0</v>
      </c>
      <c r="C19" s="57" t="str">
        <f>PSPOINTS[[#This Row],[PayScaleCode]]&amp;PSPOINTS[[#This Row],[PayScalePointCode]]&amp;PSPOINTS[[#This Row],[RateDateFrom]]</f>
        <v>LP_EWLP0745901</v>
      </c>
      <c r="D19" s="57">
        <f>COUNTIF(PSPOINTS[Pay Scale String Duplicates],PSPOINTS[[#This Row],[Pay Scale String Duplicates]])-1</f>
        <v>0</v>
      </c>
      <c r="E19" s="57">
        <f>IF((MONTH(_xlfn.XLOOKUP(PSPOINTS[[#This Row],[PayScaleCode]],'19_PayScales'!N:N,'19_PayScales'!R:R)))=MONTH(PSPOINTS[[#This Row],[RateDateFrom]]),0,1)</f>
        <v>0</v>
      </c>
      <c r="F19" s="57">
        <f>IF(ISBLANK(PSPOINTS[[#This Row],[RateDateTo]]),0,IF(PSPOINTS[[#This Row],[RateDateFrom]]&lt;PSPOINTS[[#This Row],[RateDateTo]],0,1))</f>
        <v>0</v>
      </c>
      <c r="G19" s="57" cm="1">
        <f t="array" aca="1" ref="G19" ca="1">IF(CELL("format",PSPOINTS[[#This Row],[RateDateFrom]])="D1",0,1)+IF(CELL("format",PSPOINTS[[#This Row],[RateDateTo]])="D1",0,1)</f>
        <v>0</v>
      </c>
      <c r="H19" s="57">
        <f>IF(OR(PSPOINTS[[#This Row],[Hourly]]=TRUE,PSPOINTS[[#This Row],[Hourly]]=FALSE),IF(OR(PSPOINTS[[#This Row],[PayScalePointEnabled]]=TRUE,PSPOINTS[[#This Row],[PayScalePointEnabled]]=FALSE),0,1),1)</f>
        <v>0</v>
      </c>
      <c r="I19" s="57">
        <f>IF(LEN(PSPOINTS[[#This Row],[PayScalePointCode]])&lt;100,0,1)</f>
        <v>0</v>
      </c>
      <c r="J19" s="57">
        <f>IF(LEN(PSPOINTS[[#This Row],[PayScalePointTitle]])&lt;100,0,1)</f>
        <v>0</v>
      </c>
      <c r="K19" s="57">
        <f>(COUNTBLANK(PSPOINTS[[#This Row],[PayScalePointCode]:[RateDateFrom]])+COUNTBLANK(PSPOINTS[[#This Row],[PayScaleRate]]))</f>
        <v>0</v>
      </c>
      <c r="L19" s="120">
        <f>IF(SUBSTITUTE(TEXT(PSPOINTS[[#This Row],[PayScaleCode]],10)," ","")=TEXT(PSPOINTS[[#This Row],[PayScaleCode]],10),0,1)+IF(SUBSTITUTE(TEXT(PSPOINTS[[#This Row],[PayScalePointCode]],10)," ","")=TEXT(PSPOINTS[[#This Row],[PayScalePointCode]],10),0,1)</f>
        <v>0</v>
      </c>
      <c r="M19" s="57">
        <f ca="1">SUM(PSPOINTS[[#This Row],[Scale Point Issue]:[Space in Code]])</f>
        <v>0</v>
      </c>
      <c r="N19" s="57" t="s">
        <v>1137</v>
      </c>
      <c r="P19" s="12" t="s">
        <v>1384</v>
      </c>
      <c r="Q19" s="57" t="str">
        <f>_xlfn.XLOOKUP(PSPOINTS[[#This Row],[PayScaleCode]],'19_PayScales'!N:N,'19_PayScales'!O:O)</f>
        <v>Lead Practitioner EW</v>
      </c>
      <c r="R19" s="12" t="s">
        <v>1529</v>
      </c>
      <c r="S19" s="12" t="s">
        <v>1529</v>
      </c>
      <c r="T19" s="12">
        <v>7</v>
      </c>
      <c r="U19" s="12" t="b">
        <v>0</v>
      </c>
      <c r="V19" s="12" t="b">
        <v>1</v>
      </c>
      <c r="W19" s="86">
        <v>45901</v>
      </c>
      <c r="Y19" s="14">
        <v>60443</v>
      </c>
    </row>
    <row r="20" spans="1:25" x14ac:dyDescent="0.25">
      <c r="A20" s="158" t="str">
        <f>PSPOINTS[[#This Row],[PayScaleCode]]&amp;PSPOINTS[[#This Row],[RateDateFrom]]</f>
        <v>LP_EW45901</v>
      </c>
      <c r="B20" s="57">
        <f t="shared" si="0"/>
        <v>0</v>
      </c>
      <c r="C20" s="57" t="str">
        <f>PSPOINTS[[#This Row],[PayScaleCode]]&amp;PSPOINTS[[#This Row],[PayScalePointCode]]&amp;PSPOINTS[[#This Row],[RateDateFrom]]</f>
        <v>LP_EWLP0845901</v>
      </c>
      <c r="D20" s="57">
        <f>COUNTIF(PSPOINTS[Pay Scale String Duplicates],PSPOINTS[[#This Row],[Pay Scale String Duplicates]])-1</f>
        <v>0</v>
      </c>
      <c r="E20" s="57">
        <f>IF((MONTH(_xlfn.XLOOKUP(PSPOINTS[[#This Row],[PayScaleCode]],'19_PayScales'!N:N,'19_PayScales'!R:R)))=MONTH(PSPOINTS[[#This Row],[RateDateFrom]]),0,1)</f>
        <v>0</v>
      </c>
      <c r="F20" s="57">
        <f>IF(ISBLANK(PSPOINTS[[#This Row],[RateDateTo]]),0,IF(PSPOINTS[[#This Row],[RateDateFrom]]&lt;PSPOINTS[[#This Row],[RateDateTo]],0,1))</f>
        <v>0</v>
      </c>
      <c r="G20" s="57" cm="1">
        <f t="array" aca="1" ref="G20" ca="1">IF(CELL("format",PSPOINTS[[#This Row],[RateDateFrom]])="D1",0,1)+IF(CELL("format",PSPOINTS[[#This Row],[RateDateTo]])="D1",0,1)</f>
        <v>0</v>
      </c>
      <c r="H20" s="57">
        <f>IF(OR(PSPOINTS[[#This Row],[Hourly]]=TRUE,PSPOINTS[[#This Row],[Hourly]]=FALSE),IF(OR(PSPOINTS[[#This Row],[PayScalePointEnabled]]=TRUE,PSPOINTS[[#This Row],[PayScalePointEnabled]]=FALSE),0,1),1)</f>
        <v>0</v>
      </c>
      <c r="I20" s="57">
        <f>IF(LEN(PSPOINTS[[#This Row],[PayScalePointCode]])&lt;100,0,1)</f>
        <v>0</v>
      </c>
      <c r="J20" s="57">
        <f>IF(LEN(PSPOINTS[[#This Row],[PayScalePointTitle]])&lt;100,0,1)</f>
        <v>0</v>
      </c>
      <c r="K20" s="57">
        <f>(COUNTBLANK(PSPOINTS[[#This Row],[PayScalePointCode]:[RateDateFrom]])+COUNTBLANK(PSPOINTS[[#This Row],[PayScaleRate]]))</f>
        <v>0</v>
      </c>
      <c r="L20" s="120">
        <f>IF(SUBSTITUTE(TEXT(PSPOINTS[[#This Row],[PayScaleCode]],10)," ","")=TEXT(PSPOINTS[[#This Row],[PayScaleCode]],10),0,1)+IF(SUBSTITUTE(TEXT(PSPOINTS[[#This Row],[PayScalePointCode]],10)," ","")=TEXT(PSPOINTS[[#This Row],[PayScalePointCode]],10),0,1)</f>
        <v>0</v>
      </c>
      <c r="M20" s="57">
        <f ca="1">SUM(PSPOINTS[[#This Row],[Scale Point Issue]:[Space in Code]])</f>
        <v>0</v>
      </c>
      <c r="N20" s="57" t="s">
        <v>1137</v>
      </c>
      <c r="P20" s="12" t="s">
        <v>1384</v>
      </c>
      <c r="Q20" s="57" t="str">
        <f>_xlfn.XLOOKUP(PSPOINTS[[#This Row],[PayScaleCode]],'19_PayScales'!N:N,'19_PayScales'!O:O)</f>
        <v>Lead Practitioner EW</v>
      </c>
      <c r="R20" s="12" t="s">
        <v>1530</v>
      </c>
      <c r="S20" s="12" t="s">
        <v>1530</v>
      </c>
      <c r="T20" s="12">
        <v>8</v>
      </c>
      <c r="U20" s="12" t="b">
        <v>0</v>
      </c>
      <c r="V20" s="12" t="b">
        <v>1</v>
      </c>
      <c r="W20" s="86">
        <v>45901</v>
      </c>
      <c r="Y20" s="14">
        <v>61836</v>
      </c>
    </row>
    <row r="21" spans="1:25" x14ac:dyDescent="0.25">
      <c r="A21" s="158" t="str">
        <f>PSPOINTS[[#This Row],[PayScaleCode]]&amp;PSPOINTS[[#This Row],[RateDateFrom]]</f>
        <v>LP_EW45901</v>
      </c>
      <c r="B21" s="57">
        <f t="shared" si="0"/>
        <v>0</v>
      </c>
      <c r="C21" s="57" t="str">
        <f>PSPOINTS[[#This Row],[PayScaleCode]]&amp;PSPOINTS[[#This Row],[PayScalePointCode]]&amp;PSPOINTS[[#This Row],[RateDateFrom]]</f>
        <v>LP_EWLP0945901</v>
      </c>
      <c r="D21" s="57">
        <f>COUNTIF(PSPOINTS[Pay Scale String Duplicates],PSPOINTS[[#This Row],[Pay Scale String Duplicates]])-1</f>
        <v>0</v>
      </c>
      <c r="E21" s="57">
        <f>IF((MONTH(_xlfn.XLOOKUP(PSPOINTS[[#This Row],[PayScaleCode]],'19_PayScales'!N:N,'19_PayScales'!R:R)))=MONTH(PSPOINTS[[#This Row],[RateDateFrom]]),0,1)</f>
        <v>0</v>
      </c>
      <c r="F21" s="57">
        <f>IF(ISBLANK(PSPOINTS[[#This Row],[RateDateTo]]),0,IF(PSPOINTS[[#This Row],[RateDateFrom]]&lt;PSPOINTS[[#This Row],[RateDateTo]],0,1))</f>
        <v>0</v>
      </c>
      <c r="G21" s="57" cm="1">
        <f t="array" aca="1" ref="G21" ca="1">IF(CELL("format",PSPOINTS[[#This Row],[RateDateFrom]])="D1",0,1)+IF(CELL("format",PSPOINTS[[#This Row],[RateDateTo]])="D1",0,1)</f>
        <v>0</v>
      </c>
      <c r="H21" s="57">
        <f>IF(OR(PSPOINTS[[#This Row],[Hourly]]=TRUE,PSPOINTS[[#This Row],[Hourly]]=FALSE),IF(OR(PSPOINTS[[#This Row],[PayScalePointEnabled]]=TRUE,PSPOINTS[[#This Row],[PayScalePointEnabled]]=FALSE),0,1),1)</f>
        <v>0</v>
      </c>
      <c r="I21" s="57">
        <f>IF(LEN(PSPOINTS[[#This Row],[PayScalePointCode]])&lt;100,0,1)</f>
        <v>0</v>
      </c>
      <c r="J21" s="57">
        <f>IF(LEN(PSPOINTS[[#This Row],[PayScalePointTitle]])&lt;100,0,1)</f>
        <v>0</v>
      </c>
      <c r="K21" s="57">
        <f>(COUNTBLANK(PSPOINTS[[#This Row],[PayScalePointCode]:[RateDateFrom]])+COUNTBLANK(PSPOINTS[[#This Row],[PayScaleRate]]))</f>
        <v>0</v>
      </c>
      <c r="L21" s="120">
        <f>IF(SUBSTITUTE(TEXT(PSPOINTS[[#This Row],[PayScaleCode]],10)," ","")=TEXT(PSPOINTS[[#This Row],[PayScaleCode]],10),0,1)+IF(SUBSTITUTE(TEXT(PSPOINTS[[#This Row],[PayScalePointCode]],10)," ","")=TEXT(PSPOINTS[[#This Row],[PayScalePointCode]],10),0,1)</f>
        <v>0</v>
      </c>
      <c r="M21" s="57">
        <f ca="1">SUM(PSPOINTS[[#This Row],[Scale Point Issue]:[Space in Code]])</f>
        <v>0</v>
      </c>
      <c r="N21" s="57" t="s">
        <v>1137</v>
      </c>
      <c r="P21" s="12" t="s">
        <v>1384</v>
      </c>
      <c r="Q21" s="57" t="str">
        <f>_xlfn.XLOOKUP(PSPOINTS[[#This Row],[PayScaleCode]],'19_PayScales'!N:N,'19_PayScales'!O:O)</f>
        <v>Lead Practitioner EW</v>
      </c>
      <c r="R21" s="12" t="s">
        <v>1531</v>
      </c>
      <c r="S21" s="12" t="s">
        <v>1531</v>
      </c>
      <c r="T21" s="12">
        <v>9</v>
      </c>
      <c r="U21" s="12" t="b">
        <v>0</v>
      </c>
      <c r="V21" s="12" t="b">
        <v>1</v>
      </c>
      <c r="W21" s="86">
        <v>45901</v>
      </c>
      <c r="Y21" s="14">
        <v>63381</v>
      </c>
    </row>
    <row r="22" spans="1:25" x14ac:dyDescent="0.25">
      <c r="A22" s="158" t="str">
        <f>PSPOINTS[[#This Row],[PayScaleCode]]&amp;PSPOINTS[[#This Row],[RateDateFrom]]</f>
        <v>LP_EW45901</v>
      </c>
      <c r="B22" s="57">
        <f t="shared" si="0"/>
        <v>0</v>
      </c>
      <c r="C22" s="57" t="str">
        <f>PSPOINTS[[#This Row],[PayScaleCode]]&amp;PSPOINTS[[#This Row],[PayScalePointCode]]&amp;PSPOINTS[[#This Row],[RateDateFrom]]</f>
        <v>LP_EWLP1045901</v>
      </c>
      <c r="D22" s="57">
        <f>COUNTIF(PSPOINTS[Pay Scale String Duplicates],PSPOINTS[[#This Row],[Pay Scale String Duplicates]])-1</f>
        <v>0</v>
      </c>
      <c r="E22" s="57">
        <f>IF((MONTH(_xlfn.XLOOKUP(PSPOINTS[[#This Row],[PayScaleCode]],'19_PayScales'!N:N,'19_PayScales'!R:R)))=MONTH(PSPOINTS[[#This Row],[RateDateFrom]]),0,1)</f>
        <v>0</v>
      </c>
      <c r="F22" s="57">
        <f>IF(ISBLANK(PSPOINTS[[#This Row],[RateDateTo]]),0,IF(PSPOINTS[[#This Row],[RateDateFrom]]&lt;PSPOINTS[[#This Row],[RateDateTo]],0,1))</f>
        <v>0</v>
      </c>
      <c r="G22" s="57" cm="1">
        <f t="array" aca="1" ref="G22" ca="1">IF(CELL("format",PSPOINTS[[#This Row],[RateDateFrom]])="D1",0,1)+IF(CELL("format",PSPOINTS[[#This Row],[RateDateTo]])="D1",0,1)</f>
        <v>0</v>
      </c>
      <c r="H22" s="57">
        <f>IF(OR(PSPOINTS[[#This Row],[Hourly]]=TRUE,PSPOINTS[[#This Row],[Hourly]]=FALSE),IF(OR(PSPOINTS[[#This Row],[PayScalePointEnabled]]=TRUE,PSPOINTS[[#This Row],[PayScalePointEnabled]]=FALSE),0,1),1)</f>
        <v>0</v>
      </c>
      <c r="I22" s="57">
        <f>IF(LEN(PSPOINTS[[#This Row],[PayScalePointCode]])&lt;100,0,1)</f>
        <v>0</v>
      </c>
      <c r="J22" s="57">
        <f>IF(LEN(PSPOINTS[[#This Row],[PayScalePointTitle]])&lt;100,0,1)</f>
        <v>0</v>
      </c>
      <c r="K22" s="57">
        <f>(COUNTBLANK(PSPOINTS[[#This Row],[PayScalePointCode]:[RateDateFrom]])+COUNTBLANK(PSPOINTS[[#This Row],[PayScaleRate]]))</f>
        <v>0</v>
      </c>
      <c r="L22" s="120">
        <f>IF(SUBSTITUTE(TEXT(PSPOINTS[[#This Row],[PayScaleCode]],10)," ","")=TEXT(PSPOINTS[[#This Row],[PayScaleCode]],10),0,1)+IF(SUBSTITUTE(TEXT(PSPOINTS[[#This Row],[PayScalePointCode]],10)," ","")=TEXT(PSPOINTS[[#This Row],[PayScalePointCode]],10),0,1)</f>
        <v>0</v>
      </c>
      <c r="M22" s="57">
        <f ca="1">SUM(PSPOINTS[[#This Row],[Scale Point Issue]:[Space in Code]])</f>
        <v>0</v>
      </c>
      <c r="N22" s="57" t="s">
        <v>1137</v>
      </c>
      <c r="P22" s="12" t="s">
        <v>1384</v>
      </c>
      <c r="Q22" s="57" t="str">
        <f>_xlfn.XLOOKUP(PSPOINTS[[#This Row],[PayScaleCode]],'19_PayScales'!N:N,'19_PayScales'!O:O)</f>
        <v>Lead Practitioner EW</v>
      </c>
      <c r="R22" s="12" t="s">
        <v>1532</v>
      </c>
      <c r="S22" s="12" t="s">
        <v>1532</v>
      </c>
      <c r="T22" s="12">
        <v>10</v>
      </c>
      <c r="U22" s="12" t="b">
        <v>0</v>
      </c>
      <c r="V22" s="12" t="b">
        <v>1</v>
      </c>
      <c r="W22" s="86">
        <v>45901</v>
      </c>
      <c r="Y22" s="14">
        <v>65010</v>
      </c>
    </row>
    <row r="23" spans="1:25" x14ac:dyDescent="0.25">
      <c r="A23" s="158" t="str">
        <f>PSPOINTS[[#This Row],[PayScaleCode]]&amp;PSPOINTS[[#This Row],[RateDateFrom]]</f>
        <v>LP_EW45901</v>
      </c>
      <c r="B23" s="57">
        <f t="shared" si="0"/>
        <v>0</v>
      </c>
      <c r="C23" s="57" t="str">
        <f>PSPOINTS[[#This Row],[PayScaleCode]]&amp;PSPOINTS[[#This Row],[PayScalePointCode]]&amp;PSPOINTS[[#This Row],[RateDateFrom]]</f>
        <v>LP_EWLP1145901</v>
      </c>
      <c r="D23" s="57">
        <f>COUNTIF(PSPOINTS[Pay Scale String Duplicates],PSPOINTS[[#This Row],[Pay Scale String Duplicates]])-1</f>
        <v>0</v>
      </c>
      <c r="E23" s="57">
        <f>IF((MONTH(_xlfn.XLOOKUP(PSPOINTS[[#This Row],[PayScaleCode]],'19_PayScales'!N:N,'19_PayScales'!R:R)))=MONTH(PSPOINTS[[#This Row],[RateDateFrom]]),0,1)</f>
        <v>0</v>
      </c>
      <c r="F23" s="57">
        <f>IF(ISBLANK(PSPOINTS[[#This Row],[RateDateTo]]),0,IF(PSPOINTS[[#This Row],[RateDateFrom]]&lt;PSPOINTS[[#This Row],[RateDateTo]],0,1))</f>
        <v>0</v>
      </c>
      <c r="G23" s="57" cm="1">
        <f t="array" aca="1" ref="G23" ca="1">IF(CELL("format",PSPOINTS[[#This Row],[RateDateFrom]])="D1",0,1)+IF(CELL("format",PSPOINTS[[#This Row],[RateDateTo]])="D1",0,1)</f>
        <v>0</v>
      </c>
      <c r="H23" s="57">
        <f>IF(OR(PSPOINTS[[#This Row],[Hourly]]=TRUE,PSPOINTS[[#This Row],[Hourly]]=FALSE),IF(OR(PSPOINTS[[#This Row],[PayScalePointEnabled]]=TRUE,PSPOINTS[[#This Row],[PayScalePointEnabled]]=FALSE),0,1),1)</f>
        <v>0</v>
      </c>
      <c r="I23" s="57">
        <f>IF(LEN(PSPOINTS[[#This Row],[PayScalePointCode]])&lt;100,0,1)</f>
        <v>0</v>
      </c>
      <c r="J23" s="57">
        <f>IF(LEN(PSPOINTS[[#This Row],[PayScalePointTitle]])&lt;100,0,1)</f>
        <v>0</v>
      </c>
      <c r="K23" s="57">
        <f>(COUNTBLANK(PSPOINTS[[#This Row],[PayScalePointCode]:[RateDateFrom]])+COUNTBLANK(PSPOINTS[[#This Row],[PayScaleRate]]))</f>
        <v>0</v>
      </c>
      <c r="L23" s="120">
        <f>IF(SUBSTITUTE(TEXT(PSPOINTS[[#This Row],[PayScaleCode]],10)," ","")=TEXT(PSPOINTS[[#This Row],[PayScaleCode]],10),0,1)+IF(SUBSTITUTE(TEXT(PSPOINTS[[#This Row],[PayScalePointCode]],10)," ","")=TEXT(PSPOINTS[[#This Row],[PayScalePointCode]],10),0,1)</f>
        <v>0</v>
      </c>
      <c r="M23" s="57">
        <f ca="1">SUM(PSPOINTS[[#This Row],[Scale Point Issue]:[Space in Code]])</f>
        <v>0</v>
      </c>
      <c r="N23" s="57" t="s">
        <v>1137</v>
      </c>
      <c r="P23" s="12" t="s">
        <v>1384</v>
      </c>
      <c r="Q23" s="57" t="str">
        <f>_xlfn.XLOOKUP(PSPOINTS[[#This Row],[PayScaleCode]],'19_PayScales'!N:N,'19_PayScales'!O:O)</f>
        <v>Lead Practitioner EW</v>
      </c>
      <c r="R23" s="12" t="s">
        <v>1533</v>
      </c>
      <c r="S23" s="12" t="s">
        <v>1533</v>
      </c>
      <c r="T23" s="12">
        <v>11</v>
      </c>
      <c r="U23" s="12" t="b">
        <v>0</v>
      </c>
      <c r="V23" s="12" t="b">
        <v>1</v>
      </c>
      <c r="W23" s="86">
        <v>45901</v>
      </c>
      <c r="Y23" s="14">
        <v>66695</v>
      </c>
    </row>
    <row r="24" spans="1:25" x14ac:dyDescent="0.25">
      <c r="A24" s="158" t="str">
        <f>PSPOINTS[[#This Row],[PayScaleCode]]&amp;PSPOINTS[[#This Row],[RateDateFrom]]</f>
        <v>LP_EW45901</v>
      </c>
      <c r="B24" s="57">
        <f t="shared" si="0"/>
        <v>0</v>
      </c>
      <c r="C24" s="57" t="str">
        <f>PSPOINTS[[#This Row],[PayScaleCode]]&amp;PSPOINTS[[#This Row],[PayScalePointCode]]&amp;PSPOINTS[[#This Row],[RateDateFrom]]</f>
        <v>LP_EWLP1245901</v>
      </c>
      <c r="D24" s="57">
        <f>COUNTIF(PSPOINTS[Pay Scale String Duplicates],PSPOINTS[[#This Row],[Pay Scale String Duplicates]])-1</f>
        <v>0</v>
      </c>
      <c r="E24" s="57">
        <f>IF((MONTH(_xlfn.XLOOKUP(PSPOINTS[[#This Row],[PayScaleCode]],'19_PayScales'!N:N,'19_PayScales'!R:R)))=MONTH(PSPOINTS[[#This Row],[RateDateFrom]]),0,1)</f>
        <v>0</v>
      </c>
      <c r="F24" s="57">
        <f>IF(ISBLANK(PSPOINTS[[#This Row],[RateDateTo]]),0,IF(PSPOINTS[[#This Row],[RateDateFrom]]&lt;PSPOINTS[[#This Row],[RateDateTo]],0,1))</f>
        <v>0</v>
      </c>
      <c r="G24" s="57" cm="1">
        <f t="array" aca="1" ref="G24" ca="1">IF(CELL("format",PSPOINTS[[#This Row],[RateDateFrom]])="D1",0,1)+IF(CELL("format",PSPOINTS[[#This Row],[RateDateTo]])="D1",0,1)</f>
        <v>0</v>
      </c>
      <c r="H24" s="57">
        <f>IF(OR(PSPOINTS[[#This Row],[Hourly]]=TRUE,PSPOINTS[[#This Row],[Hourly]]=FALSE),IF(OR(PSPOINTS[[#This Row],[PayScalePointEnabled]]=TRUE,PSPOINTS[[#This Row],[PayScalePointEnabled]]=FALSE),0,1),1)</f>
        <v>0</v>
      </c>
      <c r="I24" s="57">
        <f>IF(LEN(PSPOINTS[[#This Row],[PayScalePointCode]])&lt;100,0,1)</f>
        <v>0</v>
      </c>
      <c r="J24" s="57">
        <f>IF(LEN(PSPOINTS[[#This Row],[PayScalePointTitle]])&lt;100,0,1)</f>
        <v>0</v>
      </c>
      <c r="K24" s="57">
        <f>(COUNTBLANK(PSPOINTS[[#This Row],[PayScalePointCode]:[RateDateFrom]])+COUNTBLANK(PSPOINTS[[#This Row],[PayScaleRate]]))</f>
        <v>0</v>
      </c>
      <c r="L24" s="120">
        <f>IF(SUBSTITUTE(TEXT(PSPOINTS[[#This Row],[PayScaleCode]],10)," ","")=TEXT(PSPOINTS[[#This Row],[PayScaleCode]],10),0,1)+IF(SUBSTITUTE(TEXT(PSPOINTS[[#This Row],[PayScalePointCode]],10)," ","")=TEXT(PSPOINTS[[#This Row],[PayScalePointCode]],10),0,1)</f>
        <v>0</v>
      </c>
      <c r="M24" s="57">
        <f ca="1">SUM(PSPOINTS[[#This Row],[Scale Point Issue]:[Space in Code]])</f>
        <v>0</v>
      </c>
      <c r="N24" s="57" t="s">
        <v>1137</v>
      </c>
      <c r="P24" s="12" t="s">
        <v>1384</v>
      </c>
      <c r="Q24" s="57" t="str">
        <f>_xlfn.XLOOKUP(PSPOINTS[[#This Row],[PayScaleCode]],'19_PayScales'!N:N,'19_PayScales'!O:O)</f>
        <v>Lead Practitioner EW</v>
      </c>
      <c r="R24" s="12" t="s">
        <v>1534</v>
      </c>
      <c r="S24" s="12" t="s">
        <v>1534</v>
      </c>
      <c r="T24" s="12">
        <v>12</v>
      </c>
      <c r="U24" s="12" t="b">
        <v>0</v>
      </c>
      <c r="V24" s="12" t="b">
        <v>1</v>
      </c>
      <c r="W24" s="86">
        <v>45901</v>
      </c>
      <c r="Y24" s="14">
        <v>68233</v>
      </c>
    </row>
    <row r="25" spans="1:25" x14ac:dyDescent="0.25">
      <c r="A25" s="158" t="str">
        <f>PSPOINTS[[#This Row],[PayScaleCode]]&amp;PSPOINTS[[#This Row],[RateDateFrom]]</f>
        <v>LP_EW45901</v>
      </c>
      <c r="B25" s="57">
        <f t="shared" si="0"/>
        <v>0</v>
      </c>
      <c r="C25" s="57" t="str">
        <f>PSPOINTS[[#This Row],[PayScaleCode]]&amp;PSPOINTS[[#This Row],[PayScalePointCode]]&amp;PSPOINTS[[#This Row],[RateDateFrom]]</f>
        <v>LP_EWLP1345901</v>
      </c>
      <c r="D25" s="57">
        <f>COUNTIF(PSPOINTS[Pay Scale String Duplicates],PSPOINTS[[#This Row],[Pay Scale String Duplicates]])-1</f>
        <v>0</v>
      </c>
      <c r="E25" s="57">
        <f>IF((MONTH(_xlfn.XLOOKUP(PSPOINTS[[#This Row],[PayScaleCode]],'19_PayScales'!N:N,'19_PayScales'!R:R)))=MONTH(PSPOINTS[[#This Row],[RateDateFrom]]),0,1)</f>
        <v>0</v>
      </c>
      <c r="F25" s="57">
        <f>IF(ISBLANK(PSPOINTS[[#This Row],[RateDateTo]]),0,IF(PSPOINTS[[#This Row],[RateDateFrom]]&lt;PSPOINTS[[#This Row],[RateDateTo]],0,1))</f>
        <v>0</v>
      </c>
      <c r="G25" s="57" cm="1">
        <f t="array" aca="1" ref="G25" ca="1">IF(CELL("format",PSPOINTS[[#This Row],[RateDateFrom]])="D1",0,1)+IF(CELL("format",PSPOINTS[[#This Row],[RateDateTo]])="D1",0,1)</f>
        <v>0</v>
      </c>
      <c r="H25" s="57">
        <f>IF(OR(PSPOINTS[[#This Row],[Hourly]]=TRUE,PSPOINTS[[#This Row],[Hourly]]=FALSE),IF(OR(PSPOINTS[[#This Row],[PayScalePointEnabled]]=TRUE,PSPOINTS[[#This Row],[PayScalePointEnabled]]=FALSE),0,1),1)</f>
        <v>0</v>
      </c>
      <c r="I25" s="57">
        <f>IF(LEN(PSPOINTS[[#This Row],[PayScalePointCode]])&lt;100,0,1)</f>
        <v>0</v>
      </c>
      <c r="J25" s="57">
        <f>IF(LEN(PSPOINTS[[#This Row],[PayScalePointTitle]])&lt;100,0,1)</f>
        <v>0</v>
      </c>
      <c r="K25" s="57">
        <f>(COUNTBLANK(PSPOINTS[[#This Row],[PayScalePointCode]:[RateDateFrom]])+COUNTBLANK(PSPOINTS[[#This Row],[PayScaleRate]]))</f>
        <v>0</v>
      </c>
      <c r="L25" s="120">
        <f>IF(SUBSTITUTE(TEXT(PSPOINTS[[#This Row],[PayScaleCode]],10)," ","")=TEXT(PSPOINTS[[#This Row],[PayScaleCode]],10),0,1)+IF(SUBSTITUTE(TEXT(PSPOINTS[[#This Row],[PayScalePointCode]],10)," ","")=TEXT(PSPOINTS[[#This Row],[PayScalePointCode]],10),0,1)</f>
        <v>0</v>
      </c>
      <c r="M25" s="57">
        <f ca="1">SUM(PSPOINTS[[#This Row],[Scale Point Issue]:[Space in Code]])</f>
        <v>0</v>
      </c>
      <c r="N25" s="57" t="s">
        <v>1137</v>
      </c>
      <c r="P25" s="12" t="s">
        <v>1384</v>
      </c>
      <c r="Q25" s="57" t="str">
        <f>_xlfn.XLOOKUP(PSPOINTS[[#This Row],[PayScaleCode]],'19_PayScales'!N:N,'19_PayScales'!O:O)</f>
        <v>Lead Practitioner EW</v>
      </c>
      <c r="R25" s="12" t="s">
        <v>1535</v>
      </c>
      <c r="S25" s="12" t="s">
        <v>1535</v>
      </c>
      <c r="T25" s="12">
        <v>13</v>
      </c>
      <c r="U25" s="12" t="b">
        <v>0</v>
      </c>
      <c r="V25" s="12" t="b">
        <v>1</v>
      </c>
      <c r="W25" s="86">
        <v>45901</v>
      </c>
      <c r="Y25" s="14">
        <v>69937</v>
      </c>
    </row>
    <row r="26" spans="1:25" x14ac:dyDescent="0.25">
      <c r="A26" s="158" t="str">
        <f>PSPOINTS[[#This Row],[PayScaleCode]]&amp;PSPOINTS[[#This Row],[RateDateFrom]]</f>
        <v>LP_EW45901</v>
      </c>
      <c r="B26" s="57">
        <f t="shared" si="0"/>
        <v>0</v>
      </c>
      <c r="C26" s="57" t="str">
        <f>PSPOINTS[[#This Row],[PayScaleCode]]&amp;PSPOINTS[[#This Row],[PayScalePointCode]]&amp;PSPOINTS[[#This Row],[RateDateFrom]]</f>
        <v>LP_EWLP1445901</v>
      </c>
      <c r="D26" s="57">
        <f>COUNTIF(PSPOINTS[Pay Scale String Duplicates],PSPOINTS[[#This Row],[Pay Scale String Duplicates]])-1</f>
        <v>0</v>
      </c>
      <c r="E26" s="57">
        <f>IF((MONTH(_xlfn.XLOOKUP(PSPOINTS[[#This Row],[PayScaleCode]],'19_PayScales'!N:N,'19_PayScales'!R:R)))=MONTH(PSPOINTS[[#This Row],[RateDateFrom]]),0,1)</f>
        <v>0</v>
      </c>
      <c r="F26" s="57">
        <f>IF(ISBLANK(PSPOINTS[[#This Row],[RateDateTo]]),0,IF(PSPOINTS[[#This Row],[RateDateFrom]]&lt;PSPOINTS[[#This Row],[RateDateTo]],0,1))</f>
        <v>0</v>
      </c>
      <c r="G26" s="57" cm="1">
        <f t="array" aca="1" ref="G26" ca="1">IF(CELL("format",PSPOINTS[[#This Row],[RateDateFrom]])="D1",0,1)+IF(CELL("format",PSPOINTS[[#This Row],[RateDateTo]])="D1",0,1)</f>
        <v>0</v>
      </c>
      <c r="H26" s="57">
        <f>IF(OR(PSPOINTS[[#This Row],[Hourly]]=TRUE,PSPOINTS[[#This Row],[Hourly]]=FALSE),IF(OR(PSPOINTS[[#This Row],[PayScalePointEnabled]]=TRUE,PSPOINTS[[#This Row],[PayScalePointEnabled]]=FALSE),0,1),1)</f>
        <v>0</v>
      </c>
      <c r="I26" s="57">
        <f>IF(LEN(PSPOINTS[[#This Row],[PayScalePointCode]])&lt;100,0,1)</f>
        <v>0</v>
      </c>
      <c r="J26" s="57">
        <f>IF(LEN(PSPOINTS[[#This Row],[PayScalePointTitle]])&lt;100,0,1)</f>
        <v>0</v>
      </c>
      <c r="K26" s="57">
        <f>(COUNTBLANK(PSPOINTS[[#This Row],[PayScalePointCode]:[RateDateFrom]])+COUNTBLANK(PSPOINTS[[#This Row],[PayScaleRate]]))</f>
        <v>0</v>
      </c>
      <c r="L26" s="120">
        <f>IF(SUBSTITUTE(TEXT(PSPOINTS[[#This Row],[PayScaleCode]],10)," ","")=TEXT(PSPOINTS[[#This Row],[PayScaleCode]],10),0,1)+IF(SUBSTITUTE(TEXT(PSPOINTS[[#This Row],[PayScalePointCode]],10)," ","")=TEXT(PSPOINTS[[#This Row],[PayScalePointCode]],10),0,1)</f>
        <v>0</v>
      </c>
      <c r="M26" s="57">
        <f ca="1">SUM(PSPOINTS[[#This Row],[Scale Point Issue]:[Space in Code]])</f>
        <v>0</v>
      </c>
      <c r="N26" s="57" t="s">
        <v>1137</v>
      </c>
      <c r="P26" s="12" t="s">
        <v>1384</v>
      </c>
      <c r="Q26" s="57" t="str">
        <f>_xlfn.XLOOKUP(PSPOINTS[[#This Row],[PayScaleCode]],'19_PayScales'!N:N,'19_PayScales'!O:O)</f>
        <v>Lead Practitioner EW</v>
      </c>
      <c r="R26" s="12" t="s">
        <v>1536</v>
      </c>
      <c r="S26" s="12" t="s">
        <v>1536</v>
      </c>
      <c r="T26" s="12">
        <v>14</v>
      </c>
      <c r="U26" s="12" t="b">
        <v>0</v>
      </c>
      <c r="V26" s="12" t="b">
        <v>1</v>
      </c>
      <c r="W26" s="86">
        <v>45901</v>
      </c>
      <c r="Y26" s="14">
        <v>71682</v>
      </c>
    </row>
    <row r="27" spans="1:25" x14ac:dyDescent="0.25">
      <c r="A27" s="158" t="str">
        <f>PSPOINTS[[#This Row],[PayScaleCode]]&amp;PSPOINTS[[#This Row],[RateDateFrom]]</f>
        <v>LP_EW45901</v>
      </c>
      <c r="B27" s="57">
        <f t="shared" si="0"/>
        <v>0</v>
      </c>
      <c r="C27" s="57" t="str">
        <f>PSPOINTS[[#This Row],[PayScaleCode]]&amp;PSPOINTS[[#This Row],[PayScalePointCode]]&amp;PSPOINTS[[#This Row],[RateDateFrom]]</f>
        <v>LP_EWLP1545901</v>
      </c>
      <c r="D27" s="57">
        <f>COUNTIF(PSPOINTS[Pay Scale String Duplicates],PSPOINTS[[#This Row],[Pay Scale String Duplicates]])-1</f>
        <v>0</v>
      </c>
      <c r="E27" s="57">
        <f>IF((MONTH(_xlfn.XLOOKUP(PSPOINTS[[#This Row],[PayScaleCode]],'19_PayScales'!N:N,'19_PayScales'!R:R)))=MONTH(PSPOINTS[[#This Row],[RateDateFrom]]),0,1)</f>
        <v>0</v>
      </c>
      <c r="F27" s="57">
        <f>IF(ISBLANK(PSPOINTS[[#This Row],[RateDateTo]]),0,IF(PSPOINTS[[#This Row],[RateDateFrom]]&lt;PSPOINTS[[#This Row],[RateDateTo]],0,1))</f>
        <v>0</v>
      </c>
      <c r="G27" s="57" cm="1">
        <f t="array" aca="1" ref="G27" ca="1">IF(CELL("format",PSPOINTS[[#This Row],[RateDateFrom]])="D1",0,1)+IF(CELL("format",PSPOINTS[[#This Row],[RateDateTo]])="D1",0,1)</f>
        <v>0</v>
      </c>
      <c r="H27" s="57">
        <f>IF(OR(PSPOINTS[[#This Row],[Hourly]]=TRUE,PSPOINTS[[#This Row],[Hourly]]=FALSE),IF(OR(PSPOINTS[[#This Row],[PayScalePointEnabled]]=TRUE,PSPOINTS[[#This Row],[PayScalePointEnabled]]=FALSE),0,1),1)</f>
        <v>0</v>
      </c>
      <c r="I27" s="57">
        <f>IF(LEN(PSPOINTS[[#This Row],[PayScalePointCode]])&lt;100,0,1)</f>
        <v>0</v>
      </c>
      <c r="J27" s="57">
        <f>IF(LEN(PSPOINTS[[#This Row],[PayScalePointTitle]])&lt;100,0,1)</f>
        <v>0</v>
      </c>
      <c r="K27" s="57">
        <f>(COUNTBLANK(PSPOINTS[[#This Row],[PayScalePointCode]:[RateDateFrom]])+COUNTBLANK(PSPOINTS[[#This Row],[PayScaleRate]]))</f>
        <v>0</v>
      </c>
      <c r="L27" s="120">
        <f>IF(SUBSTITUTE(TEXT(PSPOINTS[[#This Row],[PayScaleCode]],10)," ","")=TEXT(PSPOINTS[[#This Row],[PayScaleCode]],10),0,1)+IF(SUBSTITUTE(TEXT(PSPOINTS[[#This Row],[PayScalePointCode]],10)," ","")=TEXT(PSPOINTS[[#This Row],[PayScalePointCode]],10),0,1)</f>
        <v>0</v>
      </c>
      <c r="M27" s="57">
        <f ca="1">SUM(PSPOINTS[[#This Row],[Scale Point Issue]:[Space in Code]])</f>
        <v>0</v>
      </c>
      <c r="N27" s="57" t="s">
        <v>1137</v>
      </c>
      <c r="P27" s="12" t="s">
        <v>1384</v>
      </c>
      <c r="Q27" s="57" t="str">
        <f>_xlfn.XLOOKUP(PSPOINTS[[#This Row],[PayScaleCode]],'19_PayScales'!N:N,'19_PayScales'!O:O)</f>
        <v>Lead Practitioner EW</v>
      </c>
      <c r="R27" s="12" t="s">
        <v>1537</v>
      </c>
      <c r="S27" s="12" t="s">
        <v>1537</v>
      </c>
      <c r="T27" s="12">
        <v>15</v>
      </c>
      <c r="U27" s="12" t="b">
        <v>0</v>
      </c>
      <c r="V27" s="12" t="b">
        <v>1</v>
      </c>
      <c r="W27" s="86">
        <v>45901</v>
      </c>
      <c r="Y27" s="14">
        <v>73464</v>
      </c>
    </row>
    <row r="28" spans="1:25" x14ac:dyDescent="0.25">
      <c r="A28" s="158" t="str">
        <f>PSPOINTS[[#This Row],[PayScaleCode]]&amp;PSPOINTS[[#This Row],[RateDateFrom]]</f>
        <v>LP_EW45901</v>
      </c>
      <c r="B28" s="57">
        <f t="shared" si="0"/>
        <v>0</v>
      </c>
      <c r="C28" s="57" t="str">
        <f>PSPOINTS[[#This Row],[PayScaleCode]]&amp;PSPOINTS[[#This Row],[PayScalePointCode]]&amp;PSPOINTS[[#This Row],[RateDateFrom]]</f>
        <v>LP_EWLP1645901</v>
      </c>
      <c r="D28" s="57">
        <f>COUNTIF(PSPOINTS[Pay Scale String Duplicates],PSPOINTS[[#This Row],[Pay Scale String Duplicates]])-1</f>
        <v>0</v>
      </c>
      <c r="E28" s="57">
        <f>IF((MONTH(_xlfn.XLOOKUP(PSPOINTS[[#This Row],[PayScaleCode]],'19_PayScales'!N:N,'19_PayScales'!R:R)))=MONTH(PSPOINTS[[#This Row],[RateDateFrom]]),0,1)</f>
        <v>0</v>
      </c>
      <c r="F28" s="57">
        <f>IF(ISBLANK(PSPOINTS[[#This Row],[RateDateTo]]),0,IF(PSPOINTS[[#This Row],[RateDateFrom]]&lt;PSPOINTS[[#This Row],[RateDateTo]],0,1))</f>
        <v>0</v>
      </c>
      <c r="G28" s="57" cm="1">
        <f t="array" aca="1" ref="G28" ca="1">IF(CELL("format",PSPOINTS[[#This Row],[RateDateFrom]])="D1",0,1)+IF(CELL("format",PSPOINTS[[#This Row],[RateDateTo]])="D1",0,1)</f>
        <v>0</v>
      </c>
      <c r="H28" s="57">
        <f>IF(OR(PSPOINTS[[#This Row],[Hourly]]=TRUE,PSPOINTS[[#This Row],[Hourly]]=FALSE),IF(OR(PSPOINTS[[#This Row],[PayScalePointEnabled]]=TRUE,PSPOINTS[[#This Row],[PayScalePointEnabled]]=FALSE),0,1),1)</f>
        <v>0</v>
      </c>
      <c r="I28" s="57">
        <f>IF(LEN(PSPOINTS[[#This Row],[PayScalePointCode]])&lt;100,0,1)</f>
        <v>0</v>
      </c>
      <c r="J28" s="57">
        <f>IF(LEN(PSPOINTS[[#This Row],[PayScalePointTitle]])&lt;100,0,1)</f>
        <v>0</v>
      </c>
      <c r="K28" s="57">
        <f>(COUNTBLANK(PSPOINTS[[#This Row],[PayScalePointCode]:[RateDateFrom]])+COUNTBLANK(PSPOINTS[[#This Row],[PayScaleRate]]))</f>
        <v>0</v>
      </c>
      <c r="L28" s="120">
        <f>IF(SUBSTITUTE(TEXT(PSPOINTS[[#This Row],[PayScaleCode]],10)," ","")=TEXT(PSPOINTS[[#This Row],[PayScaleCode]],10),0,1)+IF(SUBSTITUTE(TEXT(PSPOINTS[[#This Row],[PayScalePointCode]],10)," ","")=TEXT(PSPOINTS[[#This Row],[PayScalePointCode]],10),0,1)</f>
        <v>0</v>
      </c>
      <c r="M28" s="57">
        <f ca="1">SUM(PSPOINTS[[#This Row],[Scale Point Issue]:[Space in Code]])</f>
        <v>0</v>
      </c>
      <c r="N28" s="57" t="s">
        <v>1137</v>
      </c>
      <c r="P28" s="12" t="s">
        <v>1384</v>
      </c>
      <c r="Q28" s="57" t="str">
        <f>_xlfn.XLOOKUP(PSPOINTS[[#This Row],[PayScaleCode]],'19_PayScales'!N:N,'19_PayScales'!O:O)</f>
        <v>Lead Practitioner EW</v>
      </c>
      <c r="R28" s="12" t="s">
        <v>1538</v>
      </c>
      <c r="S28" s="12" t="s">
        <v>1538</v>
      </c>
      <c r="T28" s="12">
        <v>16</v>
      </c>
      <c r="U28" s="12" t="b">
        <v>0</v>
      </c>
      <c r="V28" s="12" t="b">
        <v>1</v>
      </c>
      <c r="W28" s="86">
        <v>45901</v>
      </c>
      <c r="Y28" s="14">
        <v>75419</v>
      </c>
    </row>
    <row r="29" spans="1:25" x14ac:dyDescent="0.25">
      <c r="A29" s="158" t="str">
        <f>PSPOINTS[[#This Row],[PayScaleCode]]&amp;PSPOINTS[[#This Row],[RateDateFrom]]</f>
        <v>LP_EW45901</v>
      </c>
      <c r="B29" s="57">
        <f t="shared" si="0"/>
        <v>0</v>
      </c>
      <c r="C29" s="57" t="str">
        <f>PSPOINTS[[#This Row],[PayScaleCode]]&amp;PSPOINTS[[#This Row],[PayScalePointCode]]&amp;PSPOINTS[[#This Row],[RateDateFrom]]</f>
        <v>LP_EWLP1745901</v>
      </c>
      <c r="D29" s="57">
        <f>COUNTIF(PSPOINTS[Pay Scale String Duplicates],PSPOINTS[[#This Row],[Pay Scale String Duplicates]])-1</f>
        <v>0</v>
      </c>
      <c r="E29" s="57">
        <f>IF((MONTH(_xlfn.XLOOKUP(PSPOINTS[[#This Row],[PayScaleCode]],'19_PayScales'!N:N,'19_PayScales'!R:R)))=MONTH(PSPOINTS[[#This Row],[RateDateFrom]]),0,1)</f>
        <v>0</v>
      </c>
      <c r="F29" s="57">
        <f>IF(ISBLANK(PSPOINTS[[#This Row],[RateDateTo]]),0,IF(PSPOINTS[[#This Row],[RateDateFrom]]&lt;PSPOINTS[[#This Row],[RateDateTo]],0,1))</f>
        <v>0</v>
      </c>
      <c r="G29" s="57" cm="1">
        <f t="array" aca="1" ref="G29" ca="1">IF(CELL("format",PSPOINTS[[#This Row],[RateDateFrom]])="D1",0,1)+IF(CELL("format",PSPOINTS[[#This Row],[RateDateTo]])="D1",0,1)</f>
        <v>0</v>
      </c>
      <c r="H29" s="57">
        <f>IF(OR(PSPOINTS[[#This Row],[Hourly]]=TRUE,PSPOINTS[[#This Row],[Hourly]]=FALSE),IF(OR(PSPOINTS[[#This Row],[PayScalePointEnabled]]=TRUE,PSPOINTS[[#This Row],[PayScalePointEnabled]]=FALSE),0,1),1)</f>
        <v>0</v>
      </c>
      <c r="I29" s="57">
        <f>IF(LEN(PSPOINTS[[#This Row],[PayScalePointCode]])&lt;100,0,1)</f>
        <v>0</v>
      </c>
      <c r="J29" s="57">
        <f>IF(LEN(PSPOINTS[[#This Row],[PayScalePointTitle]])&lt;100,0,1)</f>
        <v>0</v>
      </c>
      <c r="K29" s="57">
        <f>(COUNTBLANK(PSPOINTS[[#This Row],[PayScalePointCode]:[RateDateFrom]])+COUNTBLANK(PSPOINTS[[#This Row],[PayScaleRate]]))</f>
        <v>0</v>
      </c>
      <c r="L29" s="120">
        <f>IF(SUBSTITUTE(TEXT(PSPOINTS[[#This Row],[PayScaleCode]],10)," ","")=TEXT(PSPOINTS[[#This Row],[PayScaleCode]],10),0,1)+IF(SUBSTITUTE(TEXT(PSPOINTS[[#This Row],[PayScalePointCode]],10)," ","")=TEXT(PSPOINTS[[#This Row],[PayScalePointCode]],10),0,1)</f>
        <v>0</v>
      </c>
      <c r="M29" s="57">
        <f ca="1">SUM(PSPOINTS[[#This Row],[Scale Point Issue]:[Space in Code]])</f>
        <v>0</v>
      </c>
      <c r="N29" s="57" t="s">
        <v>1137</v>
      </c>
      <c r="P29" s="12" t="s">
        <v>1384</v>
      </c>
      <c r="Q29" s="57" t="str">
        <f>_xlfn.XLOOKUP(PSPOINTS[[#This Row],[PayScaleCode]],'19_PayScales'!N:N,'19_PayScales'!O:O)</f>
        <v>Lead Practitioner EW</v>
      </c>
      <c r="R29" s="12" t="s">
        <v>1539</v>
      </c>
      <c r="S29" s="12" t="s">
        <v>1539</v>
      </c>
      <c r="T29" s="12">
        <v>17</v>
      </c>
      <c r="U29" s="12" t="b">
        <v>0</v>
      </c>
      <c r="V29" s="12" t="b">
        <v>1</v>
      </c>
      <c r="W29" s="86">
        <v>45901</v>
      </c>
      <c r="Y29" s="14">
        <v>77150</v>
      </c>
    </row>
    <row r="30" spans="1:25" x14ac:dyDescent="0.25">
      <c r="A30" s="158" t="str">
        <f>PSPOINTS[[#This Row],[PayScaleCode]]&amp;PSPOINTS[[#This Row],[RateDateFrom]]</f>
        <v>LP_EW45901</v>
      </c>
      <c r="B30" s="57">
        <f t="shared" si="0"/>
        <v>0</v>
      </c>
      <c r="C30" s="57" t="str">
        <f>PSPOINTS[[#This Row],[PayScaleCode]]&amp;PSPOINTS[[#This Row],[PayScalePointCode]]&amp;PSPOINTS[[#This Row],[RateDateFrom]]</f>
        <v>LP_EWLP1845901</v>
      </c>
      <c r="D30" s="57">
        <f>COUNTIF(PSPOINTS[Pay Scale String Duplicates],PSPOINTS[[#This Row],[Pay Scale String Duplicates]])-1</f>
        <v>0</v>
      </c>
      <c r="E30" s="57">
        <f>IF((MONTH(_xlfn.XLOOKUP(PSPOINTS[[#This Row],[PayScaleCode]],'19_PayScales'!N:N,'19_PayScales'!R:R)))=MONTH(PSPOINTS[[#This Row],[RateDateFrom]]),0,1)</f>
        <v>0</v>
      </c>
      <c r="F30" s="57">
        <f>IF(ISBLANK(PSPOINTS[[#This Row],[RateDateTo]]),0,IF(PSPOINTS[[#This Row],[RateDateFrom]]&lt;PSPOINTS[[#This Row],[RateDateTo]],0,1))</f>
        <v>0</v>
      </c>
      <c r="G30" s="57" cm="1">
        <f t="array" aca="1" ref="G30" ca="1">IF(CELL("format",PSPOINTS[[#This Row],[RateDateFrom]])="D1",0,1)+IF(CELL("format",PSPOINTS[[#This Row],[RateDateTo]])="D1",0,1)</f>
        <v>0</v>
      </c>
      <c r="H30" s="57">
        <f>IF(OR(PSPOINTS[[#This Row],[Hourly]]=TRUE,PSPOINTS[[#This Row],[Hourly]]=FALSE),IF(OR(PSPOINTS[[#This Row],[PayScalePointEnabled]]=TRUE,PSPOINTS[[#This Row],[PayScalePointEnabled]]=FALSE),0,1),1)</f>
        <v>0</v>
      </c>
      <c r="I30" s="57">
        <f>IF(LEN(PSPOINTS[[#This Row],[PayScalePointCode]])&lt;100,0,1)</f>
        <v>0</v>
      </c>
      <c r="J30" s="57">
        <f>IF(LEN(PSPOINTS[[#This Row],[PayScalePointTitle]])&lt;100,0,1)</f>
        <v>0</v>
      </c>
      <c r="K30" s="57">
        <f>(COUNTBLANK(PSPOINTS[[#This Row],[PayScalePointCode]:[RateDateFrom]])+COUNTBLANK(PSPOINTS[[#This Row],[PayScaleRate]]))</f>
        <v>0</v>
      </c>
      <c r="L30" s="120">
        <f>IF(SUBSTITUTE(TEXT(PSPOINTS[[#This Row],[PayScaleCode]],10)," ","")=TEXT(PSPOINTS[[#This Row],[PayScaleCode]],10),0,1)+IF(SUBSTITUTE(TEXT(PSPOINTS[[#This Row],[PayScalePointCode]],10)," ","")=TEXT(PSPOINTS[[#This Row],[PayScalePointCode]],10),0,1)</f>
        <v>0</v>
      </c>
      <c r="M30" s="57">
        <f ca="1">SUM(PSPOINTS[[#This Row],[Scale Point Issue]:[Space in Code]])</f>
        <v>0</v>
      </c>
      <c r="N30" s="57" t="s">
        <v>1137</v>
      </c>
      <c r="P30" s="12" t="s">
        <v>1384</v>
      </c>
      <c r="Q30" s="57" t="str">
        <f>_xlfn.XLOOKUP(PSPOINTS[[#This Row],[PayScaleCode]],'19_PayScales'!N:N,'19_PayScales'!O:O)</f>
        <v>Lead Practitioner EW</v>
      </c>
      <c r="R30" s="12" t="s">
        <v>1460</v>
      </c>
      <c r="S30" s="12" t="s">
        <v>1460</v>
      </c>
      <c r="T30" s="12">
        <v>18</v>
      </c>
      <c r="U30" s="12" t="b">
        <v>0</v>
      </c>
      <c r="V30" s="12" t="b">
        <v>1</v>
      </c>
      <c r="W30" s="86">
        <v>45901</v>
      </c>
      <c r="Y30" s="14">
        <v>79092</v>
      </c>
    </row>
    <row r="31" spans="1:25" hidden="1" x14ac:dyDescent="0.25">
      <c r="A31" s="158" t="str">
        <f>PSPOINTS[[#This Row],[PayScaleCode]]&amp;PSPOINTS[[#This Row],[RateDateFrom]]</f>
        <v>UQ_EW45901</v>
      </c>
      <c r="B31" s="57">
        <f t="shared" si="0"/>
        <v>0</v>
      </c>
      <c r="C31" s="57" t="str">
        <f>PSPOINTS[[#This Row],[PayScaleCode]]&amp;PSPOINTS[[#This Row],[PayScalePointCode]]&amp;PSPOINTS[[#This Row],[RateDateFrom]]</f>
        <v>UQ_EWUQ145901</v>
      </c>
      <c r="D31" s="57">
        <f>COUNTIF(PSPOINTS[Pay Scale String Duplicates],PSPOINTS[[#This Row],[Pay Scale String Duplicates]])-1</f>
        <v>0</v>
      </c>
      <c r="E31" s="57">
        <f>IF((MONTH(_xlfn.XLOOKUP(PSPOINTS[[#This Row],[PayScaleCode]],'19_PayScales'!N:N,'19_PayScales'!R:R)))=MONTH(PSPOINTS[[#This Row],[RateDateFrom]]),0,1)</f>
        <v>0</v>
      </c>
      <c r="F31" s="57">
        <f>IF(ISBLANK(PSPOINTS[[#This Row],[RateDateTo]]),0,IF(PSPOINTS[[#This Row],[RateDateFrom]]&lt;PSPOINTS[[#This Row],[RateDateTo]],0,1))</f>
        <v>0</v>
      </c>
      <c r="G31" s="57" cm="1">
        <f t="array" aca="1" ref="G31" ca="1">IF(CELL("format",PSPOINTS[[#This Row],[RateDateFrom]])="D1",0,1)+IF(CELL("format",PSPOINTS[[#This Row],[RateDateTo]])="D1",0,1)</f>
        <v>0</v>
      </c>
      <c r="H31" s="57">
        <f>IF(OR(PSPOINTS[[#This Row],[Hourly]]=TRUE,PSPOINTS[[#This Row],[Hourly]]=FALSE),IF(OR(PSPOINTS[[#This Row],[PayScalePointEnabled]]=TRUE,PSPOINTS[[#This Row],[PayScalePointEnabled]]=FALSE),0,1),1)</f>
        <v>0</v>
      </c>
      <c r="I31" s="57">
        <f>IF(LEN(PSPOINTS[[#This Row],[PayScalePointCode]])&lt;100,0,1)</f>
        <v>0</v>
      </c>
      <c r="J31" s="57">
        <f>IF(LEN(PSPOINTS[[#This Row],[PayScalePointTitle]])&lt;100,0,1)</f>
        <v>0</v>
      </c>
      <c r="K31" s="57">
        <f>(COUNTBLANK(PSPOINTS[[#This Row],[PayScalePointCode]:[RateDateFrom]])+COUNTBLANK(PSPOINTS[[#This Row],[PayScaleRate]]))</f>
        <v>0</v>
      </c>
      <c r="L31" s="120">
        <f>IF(SUBSTITUTE(TEXT(PSPOINTS[[#This Row],[PayScaleCode]],10)," ","")=TEXT(PSPOINTS[[#This Row],[PayScaleCode]],10),0,1)+IF(SUBSTITUTE(TEXT(PSPOINTS[[#This Row],[PayScalePointCode]],10)," ","")=TEXT(PSPOINTS[[#This Row],[PayScalePointCode]],10),0,1)</f>
        <v>0</v>
      </c>
      <c r="M31" s="57">
        <f ca="1">SUM(PSPOINTS[[#This Row],[Scale Point Issue]:[Space in Code]])</f>
        <v>0</v>
      </c>
      <c r="N31" s="57" t="s">
        <v>1137</v>
      </c>
      <c r="P31" s="12" t="s">
        <v>1386</v>
      </c>
      <c r="Q31" s="57" t="str">
        <f>_xlfn.XLOOKUP(PSPOINTS[[#This Row],[PayScaleCode]],'19_PayScales'!N:N,'19_PayScales'!O:O)</f>
        <v>Teachers Unqualified EW</v>
      </c>
      <c r="R31" s="12" t="s">
        <v>1451</v>
      </c>
      <c r="S31" s="12" t="s">
        <v>1451</v>
      </c>
      <c r="T31" s="12">
        <v>1</v>
      </c>
      <c r="U31" s="12" t="b">
        <v>0</v>
      </c>
      <c r="V31" s="12" t="b">
        <v>1</v>
      </c>
      <c r="W31" s="86">
        <v>45901</v>
      </c>
      <c r="Y31" s="14">
        <v>22601</v>
      </c>
    </row>
    <row r="32" spans="1:25" hidden="1" x14ac:dyDescent="0.25">
      <c r="A32" s="158" t="str">
        <f>PSPOINTS[[#This Row],[PayScaleCode]]&amp;PSPOINTS[[#This Row],[RateDateFrom]]</f>
        <v>UQ_EW45901</v>
      </c>
      <c r="B32" s="57">
        <f t="shared" si="0"/>
        <v>0</v>
      </c>
      <c r="C32" s="57" t="str">
        <f>PSPOINTS[[#This Row],[PayScaleCode]]&amp;PSPOINTS[[#This Row],[PayScalePointCode]]&amp;PSPOINTS[[#This Row],[RateDateFrom]]</f>
        <v>UQ_EWUQ245901</v>
      </c>
      <c r="D32" s="57">
        <f>COUNTIF(PSPOINTS[Pay Scale String Duplicates],PSPOINTS[[#This Row],[Pay Scale String Duplicates]])-1</f>
        <v>0</v>
      </c>
      <c r="E32" s="57">
        <f>IF((MONTH(_xlfn.XLOOKUP(PSPOINTS[[#This Row],[PayScaleCode]],'19_PayScales'!N:N,'19_PayScales'!R:R)))=MONTH(PSPOINTS[[#This Row],[RateDateFrom]]),0,1)</f>
        <v>0</v>
      </c>
      <c r="F32" s="57">
        <f>IF(ISBLANK(PSPOINTS[[#This Row],[RateDateTo]]),0,IF(PSPOINTS[[#This Row],[RateDateFrom]]&lt;PSPOINTS[[#This Row],[RateDateTo]],0,1))</f>
        <v>0</v>
      </c>
      <c r="G32" s="57" cm="1">
        <f t="array" aca="1" ref="G32" ca="1">IF(CELL("format",PSPOINTS[[#This Row],[RateDateFrom]])="D1",0,1)+IF(CELL("format",PSPOINTS[[#This Row],[RateDateTo]])="D1",0,1)</f>
        <v>0</v>
      </c>
      <c r="H32" s="57">
        <f>IF(OR(PSPOINTS[[#This Row],[Hourly]]=TRUE,PSPOINTS[[#This Row],[Hourly]]=FALSE),IF(OR(PSPOINTS[[#This Row],[PayScalePointEnabled]]=TRUE,PSPOINTS[[#This Row],[PayScalePointEnabled]]=FALSE),0,1),1)</f>
        <v>0</v>
      </c>
      <c r="I32" s="57">
        <f>IF(LEN(PSPOINTS[[#This Row],[PayScalePointCode]])&lt;100,0,1)</f>
        <v>0</v>
      </c>
      <c r="J32" s="57">
        <f>IF(LEN(PSPOINTS[[#This Row],[PayScalePointTitle]])&lt;100,0,1)</f>
        <v>0</v>
      </c>
      <c r="K32" s="57">
        <f>(COUNTBLANK(PSPOINTS[[#This Row],[PayScalePointCode]:[RateDateFrom]])+COUNTBLANK(PSPOINTS[[#This Row],[PayScaleRate]]))</f>
        <v>0</v>
      </c>
      <c r="L32" s="120">
        <f>IF(SUBSTITUTE(TEXT(PSPOINTS[[#This Row],[PayScaleCode]],10)," ","")=TEXT(PSPOINTS[[#This Row],[PayScaleCode]],10),0,1)+IF(SUBSTITUTE(TEXT(PSPOINTS[[#This Row],[PayScalePointCode]],10)," ","")=TEXT(PSPOINTS[[#This Row],[PayScalePointCode]],10),0,1)</f>
        <v>0</v>
      </c>
      <c r="M32" s="57">
        <f ca="1">SUM(PSPOINTS[[#This Row],[Scale Point Issue]:[Space in Code]])</f>
        <v>0</v>
      </c>
      <c r="N32" s="57" t="s">
        <v>1137</v>
      </c>
      <c r="P32" s="12" t="s">
        <v>1386</v>
      </c>
      <c r="Q32" s="57" t="str">
        <f>_xlfn.XLOOKUP(PSPOINTS[[#This Row],[PayScaleCode]],'19_PayScales'!N:N,'19_PayScales'!O:O)</f>
        <v>Teachers Unqualified EW</v>
      </c>
      <c r="R32" s="12" t="s">
        <v>1540</v>
      </c>
      <c r="S32" s="12" t="s">
        <v>1540</v>
      </c>
      <c r="T32" s="12">
        <v>2</v>
      </c>
      <c r="U32" s="12" t="b">
        <v>0</v>
      </c>
      <c r="V32" s="12" t="b">
        <v>1</v>
      </c>
      <c r="W32" s="86">
        <v>45901</v>
      </c>
      <c r="Y32" s="14">
        <v>25193</v>
      </c>
    </row>
    <row r="33" spans="1:25" hidden="1" x14ac:dyDescent="0.25">
      <c r="A33" s="158" t="str">
        <f>PSPOINTS[[#This Row],[PayScaleCode]]&amp;PSPOINTS[[#This Row],[RateDateFrom]]</f>
        <v>UQ_EW45901</v>
      </c>
      <c r="B33" s="57">
        <f t="shared" si="0"/>
        <v>0</v>
      </c>
      <c r="C33" s="57" t="str">
        <f>PSPOINTS[[#This Row],[PayScaleCode]]&amp;PSPOINTS[[#This Row],[PayScalePointCode]]&amp;PSPOINTS[[#This Row],[RateDateFrom]]</f>
        <v>UQ_EWUQ345901</v>
      </c>
      <c r="D33" s="57">
        <f>COUNTIF(PSPOINTS[Pay Scale String Duplicates],PSPOINTS[[#This Row],[Pay Scale String Duplicates]])-1</f>
        <v>0</v>
      </c>
      <c r="E33" s="57">
        <f>IF((MONTH(_xlfn.XLOOKUP(PSPOINTS[[#This Row],[PayScaleCode]],'19_PayScales'!N:N,'19_PayScales'!R:R)))=MONTH(PSPOINTS[[#This Row],[RateDateFrom]]),0,1)</f>
        <v>0</v>
      </c>
      <c r="F33" s="57">
        <f>IF(ISBLANK(PSPOINTS[[#This Row],[RateDateTo]]),0,IF(PSPOINTS[[#This Row],[RateDateFrom]]&lt;PSPOINTS[[#This Row],[RateDateTo]],0,1))</f>
        <v>0</v>
      </c>
      <c r="G33" s="57" cm="1">
        <f t="array" aca="1" ref="G33" ca="1">IF(CELL("format",PSPOINTS[[#This Row],[RateDateFrom]])="D1",0,1)+IF(CELL("format",PSPOINTS[[#This Row],[RateDateTo]])="D1",0,1)</f>
        <v>0</v>
      </c>
      <c r="H33" s="57">
        <f>IF(OR(PSPOINTS[[#This Row],[Hourly]]=TRUE,PSPOINTS[[#This Row],[Hourly]]=FALSE),IF(OR(PSPOINTS[[#This Row],[PayScalePointEnabled]]=TRUE,PSPOINTS[[#This Row],[PayScalePointEnabled]]=FALSE),0,1),1)</f>
        <v>0</v>
      </c>
      <c r="I33" s="57">
        <f>IF(LEN(PSPOINTS[[#This Row],[PayScalePointCode]])&lt;100,0,1)</f>
        <v>0</v>
      </c>
      <c r="J33" s="57">
        <f>IF(LEN(PSPOINTS[[#This Row],[PayScalePointTitle]])&lt;100,0,1)</f>
        <v>0</v>
      </c>
      <c r="K33" s="57">
        <f>(COUNTBLANK(PSPOINTS[[#This Row],[PayScalePointCode]:[RateDateFrom]])+COUNTBLANK(PSPOINTS[[#This Row],[PayScaleRate]]))</f>
        <v>0</v>
      </c>
      <c r="L33" s="120">
        <f>IF(SUBSTITUTE(TEXT(PSPOINTS[[#This Row],[PayScaleCode]],10)," ","")=TEXT(PSPOINTS[[#This Row],[PayScaleCode]],10),0,1)+IF(SUBSTITUTE(TEXT(PSPOINTS[[#This Row],[PayScalePointCode]],10)," ","")=TEXT(PSPOINTS[[#This Row],[PayScalePointCode]],10),0,1)</f>
        <v>0</v>
      </c>
      <c r="M33" s="57">
        <f ca="1">SUM(PSPOINTS[[#This Row],[Scale Point Issue]:[Space in Code]])</f>
        <v>0</v>
      </c>
      <c r="N33" s="57" t="s">
        <v>1137</v>
      </c>
      <c r="P33" s="12" t="s">
        <v>1386</v>
      </c>
      <c r="Q33" s="57" t="str">
        <f>_xlfn.XLOOKUP(PSPOINTS[[#This Row],[PayScaleCode]],'19_PayScales'!N:N,'19_PayScales'!O:O)</f>
        <v>Teachers Unqualified EW</v>
      </c>
      <c r="R33" s="12" t="s">
        <v>1541</v>
      </c>
      <c r="S33" s="12" t="s">
        <v>1541</v>
      </c>
      <c r="T33" s="12">
        <v>3</v>
      </c>
      <c r="U33" s="12" t="b">
        <v>0</v>
      </c>
      <c r="V33" s="12" t="b">
        <v>1</v>
      </c>
      <c r="W33" s="86">
        <v>45901</v>
      </c>
      <c r="Y33" s="14">
        <v>27785</v>
      </c>
    </row>
    <row r="34" spans="1:25" hidden="1" x14ac:dyDescent="0.25">
      <c r="A34" s="158" t="str">
        <f>PSPOINTS[[#This Row],[PayScaleCode]]&amp;PSPOINTS[[#This Row],[RateDateFrom]]</f>
        <v>UQ_EW45901</v>
      </c>
      <c r="B34" s="57">
        <f t="shared" si="0"/>
        <v>0</v>
      </c>
      <c r="C34" s="57" t="str">
        <f>PSPOINTS[[#This Row],[PayScaleCode]]&amp;PSPOINTS[[#This Row],[PayScalePointCode]]&amp;PSPOINTS[[#This Row],[RateDateFrom]]</f>
        <v>UQ_EWUQ445901</v>
      </c>
      <c r="D34" s="57">
        <f>COUNTIF(PSPOINTS[Pay Scale String Duplicates],PSPOINTS[[#This Row],[Pay Scale String Duplicates]])-1</f>
        <v>0</v>
      </c>
      <c r="E34" s="57">
        <f>IF((MONTH(_xlfn.XLOOKUP(PSPOINTS[[#This Row],[PayScaleCode]],'19_PayScales'!N:N,'19_PayScales'!R:R)))=MONTH(PSPOINTS[[#This Row],[RateDateFrom]]),0,1)</f>
        <v>0</v>
      </c>
      <c r="F34" s="57">
        <f>IF(ISBLANK(PSPOINTS[[#This Row],[RateDateTo]]),0,IF(PSPOINTS[[#This Row],[RateDateFrom]]&lt;PSPOINTS[[#This Row],[RateDateTo]],0,1))</f>
        <v>0</v>
      </c>
      <c r="G34" s="57" cm="1">
        <f t="array" aca="1" ref="G34" ca="1">IF(CELL("format",PSPOINTS[[#This Row],[RateDateFrom]])="D1",0,1)+IF(CELL("format",PSPOINTS[[#This Row],[RateDateTo]])="D1",0,1)</f>
        <v>0</v>
      </c>
      <c r="H34" s="57">
        <f>IF(OR(PSPOINTS[[#This Row],[Hourly]]=TRUE,PSPOINTS[[#This Row],[Hourly]]=FALSE),IF(OR(PSPOINTS[[#This Row],[PayScalePointEnabled]]=TRUE,PSPOINTS[[#This Row],[PayScalePointEnabled]]=FALSE),0,1),1)</f>
        <v>0</v>
      </c>
      <c r="I34" s="57">
        <f>IF(LEN(PSPOINTS[[#This Row],[PayScalePointCode]])&lt;100,0,1)</f>
        <v>0</v>
      </c>
      <c r="J34" s="57">
        <f>IF(LEN(PSPOINTS[[#This Row],[PayScalePointTitle]])&lt;100,0,1)</f>
        <v>0</v>
      </c>
      <c r="K34" s="57">
        <f>(COUNTBLANK(PSPOINTS[[#This Row],[PayScalePointCode]:[RateDateFrom]])+COUNTBLANK(PSPOINTS[[#This Row],[PayScaleRate]]))</f>
        <v>0</v>
      </c>
      <c r="L34" s="120">
        <f>IF(SUBSTITUTE(TEXT(PSPOINTS[[#This Row],[PayScaleCode]],10)," ","")=TEXT(PSPOINTS[[#This Row],[PayScaleCode]],10),0,1)+IF(SUBSTITUTE(TEXT(PSPOINTS[[#This Row],[PayScalePointCode]],10)," ","")=TEXT(PSPOINTS[[#This Row],[PayScalePointCode]],10),0,1)</f>
        <v>0</v>
      </c>
      <c r="M34" s="57">
        <f ca="1">SUM(PSPOINTS[[#This Row],[Scale Point Issue]:[Space in Code]])</f>
        <v>0</v>
      </c>
      <c r="N34" s="57" t="s">
        <v>1137</v>
      </c>
      <c r="P34" s="12" t="s">
        <v>1386</v>
      </c>
      <c r="Q34" s="57" t="str">
        <f>_xlfn.XLOOKUP(PSPOINTS[[#This Row],[PayScaleCode]],'19_PayScales'!N:N,'19_PayScales'!O:O)</f>
        <v>Teachers Unqualified EW</v>
      </c>
      <c r="R34" s="12" t="s">
        <v>1542</v>
      </c>
      <c r="S34" s="12" t="s">
        <v>1542</v>
      </c>
      <c r="T34" s="12">
        <v>4</v>
      </c>
      <c r="U34" s="12" t="b">
        <v>0</v>
      </c>
      <c r="V34" s="12" t="b">
        <v>1</v>
      </c>
      <c r="W34" s="86">
        <v>45901</v>
      </c>
      <c r="Y34" s="14">
        <v>30071</v>
      </c>
    </row>
    <row r="35" spans="1:25" hidden="1" x14ac:dyDescent="0.25">
      <c r="A35" s="158" t="str">
        <f>PSPOINTS[[#This Row],[PayScaleCode]]&amp;PSPOINTS[[#This Row],[RateDateFrom]]</f>
        <v>UQ_EW45901</v>
      </c>
      <c r="B35" s="57">
        <f t="shared" si="0"/>
        <v>0</v>
      </c>
      <c r="C35" s="57" t="str">
        <f>PSPOINTS[[#This Row],[PayScaleCode]]&amp;PSPOINTS[[#This Row],[PayScalePointCode]]&amp;PSPOINTS[[#This Row],[RateDateFrom]]</f>
        <v>UQ_EWUQ545901</v>
      </c>
      <c r="D35" s="57">
        <f>COUNTIF(PSPOINTS[Pay Scale String Duplicates],PSPOINTS[[#This Row],[Pay Scale String Duplicates]])-1</f>
        <v>0</v>
      </c>
      <c r="E35" s="57">
        <f>IF((MONTH(_xlfn.XLOOKUP(PSPOINTS[[#This Row],[PayScaleCode]],'19_PayScales'!N:N,'19_PayScales'!R:R)))=MONTH(PSPOINTS[[#This Row],[RateDateFrom]]),0,1)</f>
        <v>0</v>
      </c>
      <c r="F35" s="57">
        <f>IF(ISBLANK(PSPOINTS[[#This Row],[RateDateTo]]),0,IF(PSPOINTS[[#This Row],[RateDateFrom]]&lt;PSPOINTS[[#This Row],[RateDateTo]],0,1))</f>
        <v>0</v>
      </c>
      <c r="G35" s="57" cm="1">
        <f t="array" aca="1" ref="G35" ca="1">IF(CELL("format",PSPOINTS[[#This Row],[RateDateFrom]])="D1",0,1)+IF(CELL("format",PSPOINTS[[#This Row],[RateDateTo]])="D1",0,1)</f>
        <v>0</v>
      </c>
      <c r="H35" s="57">
        <f>IF(OR(PSPOINTS[[#This Row],[Hourly]]=TRUE,PSPOINTS[[#This Row],[Hourly]]=FALSE),IF(OR(PSPOINTS[[#This Row],[PayScalePointEnabled]]=TRUE,PSPOINTS[[#This Row],[PayScalePointEnabled]]=FALSE),0,1),1)</f>
        <v>0</v>
      </c>
      <c r="I35" s="57">
        <f>IF(LEN(PSPOINTS[[#This Row],[PayScalePointCode]])&lt;100,0,1)</f>
        <v>0</v>
      </c>
      <c r="J35" s="57">
        <f>IF(LEN(PSPOINTS[[#This Row],[PayScalePointTitle]])&lt;100,0,1)</f>
        <v>0</v>
      </c>
      <c r="K35" s="57">
        <f>(COUNTBLANK(PSPOINTS[[#This Row],[PayScalePointCode]:[RateDateFrom]])+COUNTBLANK(PSPOINTS[[#This Row],[PayScaleRate]]))</f>
        <v>0</v>
      </c>
      <c r="L35" s="120">
        <f>IF(SUBSTITUTE(TEXT(PSPOINTS[[#This Row],[PayScaleCode]],10)," ","")=TEXT(PSPOINTS[[#This Row],[PayScaleCode]],10),0,1)+IF(SUBSTITUTE(TEXT(PSPOINTS[[#This Row],[PayScalePointCode]],10)," ","")=TEXT(PSPOINTS[[#This Row],[PayScalePointCode]],10),0,1)</f>
        <v>0</v>
      </c>
      <c r="M35" s="57">
        <f ca="1">SUM(PSPOINTS[[#This Row],[Scale Point Issue]:[Space in Code]])</f>
        <v>0</v>
      </c>
      <c r="N35" s="57" t="s">
        <v>1137</v>
      </c>
      <c r="P35" s="12" t="s">
        <v>1386</v>
      </c>
      <c r="Q35" s="57" t="str">
        <f>_xlfn.XLOOKUP(PSPOINTS[[#This Row],[PayScaleCode]],'19_PayScales'!N:N,'19_PayScales'!O:O)</f>
        <v>Teachers Unqualified EW</v>
      </c>
      <c r="R35" s="12" t="s">
        <v>1543</v>
      </c>
      <c r="S35" s="12" t="s">
        <v>1543</v>
      </c>
      <c r="T35" s="12">
        <v>5</v>
      </c>
      <c r="U35" s="12" t="b">
        <v>0</v>
      </c>
      <c r="V35" s="12" t="b">
        <v>1</v>
      </c>
      <c r="W35" s="86">
        <v>45901</v>
      </c>
      <c r="Y35" s="14">
        <v>32667</v>
      </c>
    </row>
    <row r="36" spans="1:25" hidden="1" x14ac:dyDescent="0.25">
      <c r="A36" s="158" t="str">
        <f>PSPOINTS[[#This Row],[PayScaleCode]]&amp;PSPOINTS[[#This Row],[RateDateFrom]]</f>
        <v>UQ_EW45901</v>
      </c>
      <c r="B36" s="57">
        <f t="shared" si="0"/>
        <v>0</v>
      </c>
      <c r="C36" s="57" t="str">
        <f>PSPOINTS[[#This Row],[PayScaleCode]]&amp;PSPOINTS[[#This Row],[PayScalePointCode]]&amp;PSPOINTS[[#This Row],[RateDateFrom]]</f>
        <v>UQ_EWUQ645901</v>
      </c>
      <c r="D36" s="57">
        <f>COUNTIF(PSPOINTS[Pay Scale String Duplicates],PSPOINTS[[#This Row],[Pay Scale String Duplicates]])-1</f>
        <v>0</v>
      </c>
      <c r="E36" s="57">
        <f>IF((MONTH(_xlfn.XLOOKUP(PSPOINTS[[#This Row],[PayScaleCode]],'19_PayScales'!N:N,'19_PayScales'!R:R)))=MONTH(PSPOINTS[[#This Row],[RateDateFrom]]),0,1)</f>
        <v>0</v>
      </c>
      <c r="F36" s="57">
        <f>IF(ISBLANK(PSPOINTS[[#This Row],[RateDateTo]]),0,IF(PSPOINTS[[#This Row],[RateDateFrom]]&lt;PSPOINTS[[#This Row],[RateDateTo]],0,1))</f>
        <v>0</v>
      </c>
      <c r="G36" s="57" cm="1">
        <f t="array" aca="1" ref="G36" ca="1">IF(CELL("format",PSPOINTS[[#This Row],[RateDateFrom]])="D1",0,1)+IF(CELL("format",PSPOINTS[[#This Row],[RateDateTo]])="D1",0,1)</f>
        <v>0</v>
      </c>
      <c r="H36" s="57">
        <f>IF(OR(PSPOINTS[[#This Row],[Hourly]]=TRUE,PSPOINTS[[#This Row],[Hourly]]=FALSE),IF(OR(PSPOINTS[[#This Row],[PayScalePointEnabled]]=TRUE,PSPOINTS[[#This Row],[PayScalePointEnabled]]=FALSE),0,1),1)</f>
        <v>0</v>
      </c>
      <c r="I36" s="57">
        <f>IF(LEN(PSPOINTS[[#This Row],[PayScalePointCode]])&lt;100,0,1)</f>
        <v>0</v>
      </c>
      <c r="J36" s="57">
        <f>IF(LEN(PSPOINTS[[#This Row],[PayScalePointTitle]])&lt;100,0,1)</f>
        <v>0</v>
      </c>
      <c r="K36" s="57">
        <f>(COUNTBLANK(PSPOINTS[[#This Row],[PayScalePointCode]:[RateDateFrom]])+COUNTBLANK(PSPOINTS[[#This Row],[PayScaleRate]]))</f>
        <v>0</v>
      </c>
      <c r="L36" s="120">
        <f>IF(SUBSTITUTE(TEXT(PSPOINTS[[#This Row],[PayScaleCode]],10)," ","")=TEXT(PSPOINTS[[#This Row],[PayScaleCode]],10),0,1)+IF(SUBSTITUTE(TEXT(PSPOINTS[[#This Row],[PayScalePointCode]],10)," ","")=TEXT(PSPOINTS[[#This Row],[PayScalePointCode]],10),0,1)</f>
        <v>0</v>
      </c>
      <c r="M36" s="57">
        <f ca="1">SUM(PSPOINTS[[#This Row],[Scale Point Issue]:[Space in Code]])</f>
        <v>0</v>
      </c>
      <c r="N36" s="57" t="s">
        <v>1137</v>
      </c>
      <c r="P36" s="12" t="s">
        <v>1386</v>
      </c>
      <c r="Q36" s="57" t="str">
        <f>_xlfn.XLOOKUP(PSPOINTS[[#This Row],[PayScaleCode]],'19_PayScales'!N:N,'19_PayScales'!O:O)</f>
        <v>Teachers Unqualified EW</v>
      </c>
      <c r="R36" s="12" t="s">
        <v>1452</v>
      </c>
      <c r="S36" s="12" t="s">
        <v>1452</v>
      </c>
      <c r="T36" s="12">
        <v>6</v>
      </c>
      <c r="U36" s="12" t="b">
        <v>0</v>
      </c>
      <c r="V36" s="12" t="b">
        <v>1</v>
      </c>
      <c r="W36" s="86">
        <v>45901</v>
      </c>
      <c r="Y36" s="14">
        <v>35259</v>
      </c>
    </row>
    <row r="37" spans="1:25" hidden="1" x14ac:dyDescent="0.25">
      <c r="A37" s="158" t="str">
        <f>PSPOINTS[[#This Row],[PayScaleCode]]&amp;PSPOINTS[[#This Row],[RateDateFrom]]</f>
        <v>LS_EW45901</v>
      </c>
      <c r="B37" s="57">
        <f t="shared" si="0"/>
        <v>0</v>
      </c>
      <c r="C37" s="57" t="str">
        <f>PSPOINTS[[#This Row],[PayScaleCode]]&amp;PSPOINTS[[#This Row],[PayScalePointCode]]&amp;PSPOINTS[[#This Row],[RateDateFrom]]</f>
        <v>LS_EWL0145901</v>
      </c>
      <c r="D37" s="57">
        <f>COUNTIF(PSPOINTS[Pay Scale String Duplicates],PSPOINTS[[#This Row],[Pay Scale String Duplicates]])-1</f>
        <v>0</v>
      </c>
      <c r="E37" s="57">
        <f>IF((MONTH(_xlfn.XLOOKUP(PSPOINTS[[#This Row],[PayScaleCode]],'19_PayScales'!N:N,'19_PayScales'!R:R)))=MONTH(PSPOINTS[[#This Row],[RateDateFrom]]),0,1)</f>
        <v>0</v>
      </c>
      <c r="F37" s="57">
        <f>IF(ISBLANK(PSPOINTS[[#This Row],[RateDateTo]]),0,IF(PSPOINTS[[#This Row],[RateDateFrom]]&lt;PSPOINTS[[#This Row],[RateDateTo]],0,1))</f>
        <v>0</v>
      </c>
      <c r="G37" s="57" cm="1">
        <f t="array" aca="1" ref="G37" ca="1">IF(CELL("format",PSPOINTS[[#This Row],[RateDateFrom]])="D1",0,1)+IF(CELL("format",PSPOINTS[[#This Row],[RateDateTo]])="D1",0,1)</f>
        <v>0</v>
      </c>
      <c r="H37" s="57">
        <f>IF(OR(PSPOINTS[[#This Row],[Hourly]]=TRUE,PSPOINTS[[#This Row],[Hourly]]=FALSE),IF(OR(PSPOINTS[[#This Row],[PayScalePointEnabled]]=TRUE,PSPOINTS[[#This Row],[PayScalePointEnabled]]=FALSE),0,1),1)</f>
        <v>0</v>
      </c>
      <c r="I37" s="57">
        <f>IF(LEN(PSPOINTS[[#This Row],[PayScalePointCode]])&lt;100,0,1)</f>
        <v>0</v>
      </c>
      <c r="J37" s="57">
        <f>IF(LEN(PSPOINTS[[#This Row],[PayScalePointTitle]])&lt;100,0,1)</f>
        <v>0</v>
      </c>
      <c r="K37" s="57">
        <f>(COUNTBLANK(PSPOINTS[[#This Row],[PayScalePointCode]:[RateDateFrom]])+COUNTBLANK(PSPOINTS[[#This Row],[PayScaleRate]]))</f>
        <v>0</v>
      </c>
      <c r="L37" s="120">
        <f>IF(SUBSTITUTE(TEXT(PSPOINTS[[#This Row],[PayScaleCode]],10)," ","")=TEXT(PSPOINTS[[#This Row],[PayScaleCode]],10),0,1)+IF(SUBSTITUTE(TEXT(PSPOINTS[[#This Row],[PayScalePointCode]],10)," ","")=TEXT(PSPOINTS[[#This Row],[PayScalePointCode]],10),0,1)</f>
        <v>0</v>
      </c>
      <c r="M37" s="57">
        <f ca="1">SUM(PSPOINTS[[#This Row],[Scale Point Issue]:[Space in Code]])</f>
        <v>0</v>
      </c>
      <c r="N37" s="57" t="s">
        <v>1137</v>
      </c>
      <c r="P37" s="12" t="s">
        <v>1388</v>
      </c>
      <c r="Q37" s="57" t="str">
        <f>_xlfn.XLOOKUP(PSPOINTS[[#This Row],[PayScaleCode]],'19_PayScales'!N:N,'19_PayScales'!O:O)</f>
        <v>Leadership Group EW</v>
      </c>
      <c r="R37" s="12" t="s">
        <v>1455</v>
      </c>
      <c r="S37" s="12" t="s">
        <v>1455</v>
      </c>
      <c r="T37" s="12">
        <v>1</v>
      </c>
      <c r="U37" s="12" t="b">
        <v>0</v>
      </c>
      <c r="V37" s="12" t="b">
        <v>1</v>
      </c>
      <c r="W37" s="86">
        <v>45901</v>
      </c>
      <c r="Y37" s="14">
        <v>51773</v>
      </c>
    </row>
    <row r="38" spans="1:25" hidden="1" x14ac:dyDescent="0.25">
      <c r="A38" s="158" t="str">
        <f>PSPOINTS[[#This Row],[PayScaleCode]]&amp;PSPOINTS[[#This Row],[RateDateFrom]]</f>
        <v>LS_EW45901</v>
      </c>
      <c r="B38" s="57">
        <f t="shared" si="0"/>
        <v>0</v>
      </c>
      <c r="C38" s="57" t="str">
        <f>PSPOINTS[[#This Row],[PayScaleCode]]&amp;PSPOINTS[[#This Row],[PayScalePointCode]]&amp;PSPOINTS[[#This Row],[RateDateFrom]]</f>
        <v>LS_EWL0245901</v>
      </c>
      <c r="D38" s="57">
        <f>COUNTIF(PSPOINTS[Pay Scale String Duplicates],PSPOINTS[[#This Row],[Pay Scale String Duplicates]])-1</f>
        <v>0</v>
      </c>
      <c r="E38" s="57">
        <f>IF((MONTH(_xlfn.XLOOKUP(PSPOINTS[[#This Row],[PayScaleCode]],'19_PayScales'!N:N,'19_PayScales'!R:R)))=MONTH(PSPOINTS[[#This Row],[RateDateFrom]]),0,1)</f>
        <v>0</v>
      </c>
      <c r="F38" s="57">
        <f>IF(ISBLANK(PSPOINTS[[#This Row],[RateDateTo]]),0,IF(PSPOINTS[[#This Row],[RateDateFrom]]&lt;PSPOINTS[[#This Row],[RateDateTo]],0,1))</f>
        <v>0</v>
      </c>
      <c r="G38" s="57" cm="1">
        <f t="array" aca="1" ref="G38" ca="1">IF(CELL("format",PSPOINTS[[#This Row],[RateDateFrom]])="D1",0,1)+IF(CELL("format",PSPOINTS[[#This Row],[RateDateTo]])="D1",0,1)</f>
        <v>0</v>
      </c>
      <c r="H38" s="57">
        <f>IF(OR(PSPOINTS[[#This Row],[Hourly]]=TRUE,PSPOINTS[[#This Row],[Hourly]]=FALSE),IF(OR(PSPOINTS[[#This Row],[PayScalePointEnabled]]=TRUE,PSPOINTS[[#This Row],[PayScalePointEnabled]]=FALSE),0,1),1)</f>
        <v>0</v>
      </c>
      <c r="I38" s="57">
        <f>IF(LEN(PSPOINTS[[#This Row],[PayScalePointCode]])&lt;100,0,1)</f>
        <v>0</v>
      </c>
      <c r="J38" s="57">
        <f>IF(LEN(PSPOINTS[[#This Row],[PayScalePointTitle]])&lt;100,0,1)</f>
        <v>0</v>
      </c>
      <c r="K38" s="57">
        <f>(COUNTBLANK(PSPOINTS[[#This Row],[PayScalePointCode]:[RateDateFrom]])+COUNTBLANK(PSPOINTS[[#This Row],[PayScaleRate]]))</f>
        <v>0</v>
      </c>
      <c r="L38" s="120">
        <f>IF(SUBSTITUTE(TEXT(PSPOINTS[[#This Row],[PayScaleCode]],10)," ","")=TEXT(PSPOINTS[[#This Row],[PayScaleCode]],10),0,1)+IF(SUBSTITUTE(TEXT(PSPOINTS[[#This Row],[PayScalePointCode]],10)," ","")=TEXT(PSPOINTS[[#This Row],[PayScalePointCode]],10),0,1)</f>
        <v>0</v>
      </c>
      <c r="M38" s="57">
        <f ca="1">SUM(PSPOINTS[[#This Row],[Scale Point Issue]:[Space in Code]])</f>
        <v>0</v>
      </c>
      <c r="N38" s="57" t="s">
        <v>1137</v>
      </c>
      <c r="P38" s="12" t="s">
        <v>1388</v>
      </c>
      <c r="Q38" s="57" t="str">
        <f>_xlfn.XLOOKUP(PSPOINTS[[#This Row],[PayScaleCode]],'19_PayScales'!N:N,'19_PayScales'!O:O)</f>
        <v>Leadership Group EW</v>
      </c>
      <c r="R38" s="12" t="s">
        <v>1544</v>
      </c>
      <c r="S38" s="12" t="s">
        <v>1544</v>
      </c>
      <c r="T38" s="12">
        <v>2</v>
      </c>
      <c r="U38" s="12" t="b">
        <v>0</v>
      </c>
      <c r="V38" s="12" t="b">
        <v>1</v>
      </c>
      <c r="W38" s="86">
        <v>45901</v>
      </c>
      <c r="Y38" s="14">
        <v>53069</v>
      </c>
    </row>
    <row r="39" spans="1:25" hidden="1" x14ac:dyDescent="0.25">
      <c r="A39" s="158" t="str">
        <f>PSPOINTS[[#This Row],[PayScaleCode]]&amp;PSPOINTS[[#This Row],[RateDateFrom]]</f>
        <v>LS_EW45901</v>
      </c>
      <c r="B39" s="57">
        <f t="shared" si="0"/>
        <v>0</v>
      </c>
      <c r="C39" s="57" t="str">
        <f>PSPOINTS[[#This Row],[PayScaleCode]]&amp;PSPOINTS[[#This Row],[PayScalePointCode]]&amp;PSPOINTS[[#This Row],[RateDateFrom]]</f>
        <v>LS_EWL0345901</v>
      </c>
      <c r="D39" s="57">
        <f>COUNTIF(PSPOINTS[Pay Scale String Duplicates],PSPOINTS[[#This Row],[Pay Scale String Duplicates]])-1</f>
        <v>0</v>
      </c>
      <c r="E39" s="57">
        <f>IF((MONTH(_xlfn.XLOOKUP(PSPOINTS[[#This Row],[PayScaleCode]],'19_PayScales'!N:N,'19_PayScales'!R:R)))=MONTH(PSPOINTS[[#This Row],[RateDateFrom]]),0,1)</f>
        <v>0</v>
      </c>
      <c r="F39" s="57">
        <f>IF(ISBLANK(PSPOINTS[[#This Row],[RateDateTo]]),0,IF(PSPOINTS[[#This Row],[RateDateFrom]]&lt;PSPOINTS[[#This Row],[RateDateTo]],0,1))</f>
        <v>0</v>
      </c>
      <c r="G39" s="57" cm="1">
        <f t="array" aca="1" ref="G39" ca="1">IF(CELL("format",PSPOINTS[[#This Row],[RateDateFrom]])="D1",0,1)+IF(CELL("format",PSPOINTS[[#This Row],[RateDateTo]])="D1",0,1)</f>
        <v>0</v>
      </c>
      <c r="H39" s="57">
        <f>IF(OR(PSPOINTS[[#This Row],[Hourly]]=TRUE,PSPOINTS[[#This Row],[Hourly]]=FALSE),IF(OR(PSPOINTS[[#This Row],[PayScalePointEnabled]]=TRUE,PSPOINTS[[#This Row],[PayScalePointEnabled]]=FALSE),0,1),1)</f>
        <v>0</v>
      </c>
      <c r="I39" s="57">
        <f>IF(LEN(PSPOINTS[[#This Row],[PayScalePointCode]])&lt;100,0,1)</f>
        <v>0</v>
      </c>
      <c r="J39" s="57">
        <f>IF(LEN(PSPOINTS[[#This Row],[PayScalePointTitle]])&lt;100,0,1)</f>
        <v>0</v>
      </c>
      <c r="K39" s="57">
        <f>(COUNTBLANK(PSPOINTS[[#This Row],[PayScalePointCode]:[RateDateFrom]])+COUNTBLANK(PSPOINTS[[#This Row],[PayScaleRate]]))</f>
        <v>0</v>
      </c>
      <c r="L39" s="120">
        <f>IF(SUBSTITUTE(TEXT(PSPOINTS[[#This Row],[PayScaleCode]],10)," ","")=TEXT(PSPOINTS[[#This Row],[PayScaleCode]],10),0,1)+IF(SUBSTITUTE(TEXT(PSPOINTS[[#This Row],[PayScalePointCode]],10)," ","")=TEXT(PSPOINTS[[#This Row],[PayScalePointCode]],10),0,1)</f>
        <v>0</v>
      </c>
      <c r="M39" s="57">
        <f ca="1">SUM(PSPOINTS[[#This Row],[Scale Point Issue]:[Space in Code]])</f>
        <v>0</v>
      </c>
      <c r="N39" s="57" t="s">
        <v>1137</v>
      </c>
      <c r="P39" s="12" t="s">
        <v>1388</v>
      </c>
      <c r="Q39" s="57" t="str">
        <f>_xlfn.XLOOKUP(PSPOINTS[[#This Row],[PayScaleCode]],'19_PayScales'!N:N,'19_PayScales'!O:O)</f>
        <v>Leadership Group EW</v>
      </c>
      <c r="R39" s="12" t="s">
        <v>1545</v>
      </c>
      <c r="S39" s="12" t="s">
        <v>1545</v>
      </c>
      <c r="T39" s="12">
        <v>3</v>
      </c>
      <c r="U39" s="12" t="b">
        <v>0</v>
      </c>
      <c r="V39" s="12" t="b">
        <v>1</v>
      </c>
      <c r="W39" s="86">
        <v>45901</v>
      </c>
      <c r="Y39" s="14">
        <v>54394</v>
      </c>
    </row>
    <row r="40" spans="1:25" hidden="1" x14ac:dyDescent="0.25">
      <c r="A40" s="158" t="str">
        <f>PSPOINTS[[#This Row],[PayScaleCode]]&amp;PSPOINTS[[#This Row],[RateDateFrom]]</f>
        <v>LS_EW45901</v>
      </c>
      <c r="B40" s="57">
        <f t="shared" si="0"/>
        <v>0</v>
      </c>
      <c r="C40" s="57" t="str">
        <f>PSPOINTS[[#This Row],[PayScaleCode]]&amp;PSPOINTS[[#This Row],[PayScalePointCode]]&amp;PSPOINTS[[#This Row],[RateDateFrom]]</f>
        <v>LS_EWL0445901</v>
      </c>
      <c r="D40" s="57">
        <f>COUNTIF(PSPOINTS[Pay Scale String Duplicates],PSPOINTS[[#This Row],[Pay Scale String Duplicates]])-1</f>
        <v>0</v>
      </c>
      <c r="E40" s="57">
        <f>IF((MONTH(_xlfn.XLOOKUP(PSPOINTS[[#This Row],[PayScaleCode]],'19_PayScales'!N:N,'19_PayScales'!R:R)))=MONTH(PSPOINTS[[#This Row],[RateDateFrom]]),0,1)</f>
        <v>0</v>
      </c>
      <c r="F40" s="57">
        <f>IF(ISBLANK(PSPOINTS[[#This Row],[RateDateTo]]),0,IF(PSPOINTS[[#This Row],[RateDateFrom]]&lt;PSPOINTS[[#This Row],[RateDateTo]],0,1))</f>
        <v>0</v>
      </c>
      <c r="G40" s="57" cm="1">
        <f t="array" aca="1" ref="G40" ca="1">IF(CELL("format",PSPOINTS[[#This Row],[RateDateFrom]])="D1",0,1)+IF(CELL("format",PSPOINTS[[#This Row],[RateDateTo]])="D1",0,1)</f>
        <v>0</v>
      </c>
      <c r="H40" s="57">
        <f>IF(OR(PSPOINTS[[#This Row],[Hourly]]=TRUE,PSPOINTS[[#This Row],[Hourly]]=FALSE),IF(OR(PSPOINTS[[#This Row],[PayScalePointEnabled]]=TRUE,PSPOINTS[[#This Row],[PayScalePointEnabled]]=FALSE),0,1),1)</f>
        <v>0</v>
      </c>
      <c r="I40" s="57">
        <f>IF(LEN(PSPOINTS[[#This Row],[PayScalePointCode]])&lt;100,0,1)</f>
        <v>0</v>
      </c>
      <c r="J40" s="57">
        <f>IF(LEN(PSPOINTS[[#This Row],[PayScalePointTitle]])&lt;100,0,1)</f>
        <v>0</v>
      </c>
      <c r="K40" s="57">
        <f>(COUNTBLANK(PSPOINTS[[#This Row],[PayScalePointCode]:[RateDateFrom]])+COUNTBLANK(PSPOINTS[[#This Row],[PayScaleRate]]))</f>
        <v>0</v>
      </c>
      <c r="L40" s="120">
        <f>IF(SUBSTITUTE(TEXT(PSPOINTS[[#This Row],[PayScaleCode]],10)," ","")=TEXT(PSPOINTS[[#This Row],[PayScaleCode]],10),0,1)+IF(SUBSTITUTE(TEXT(PSPOINTS[[#This Row],[PayScalePointCode]],10)," ","")=TEXT(PSPOINTS[[#This Row],[PayScalePointCode]],10),0,1)</f>
        <v>0</v>
      </c>
      <c r="M40" s="57">
        <f ca="1">SUM(PSPOINTS[[#This Row],[Scale Point Issue]:[Space in Code]])</f>
        <v>0</v>
      </c>
      <c r="N40" s="57" t="s">
        <v>1137</v>
      </c>
      <c r="P40" s="12" t="s">
        <v>1388</v>
      </c>
      <c r="Q40" s="57" t="str">
        <f>_xlfn.XLOOKUP(PSPOINTS[[#This Row],[PayScaleCode]],'19_PayScales'!N:N,'19_PayScales'!O:O)</f>
        <v>Leadership Group EW</v>
      </c>
      <c r="R40" s="12" t="s">
        <v>1546</v>
      </c>
      <c r="S40" s="12" t="s">
        <v>1546</v>
      </c>
      <c r="T40" s="12">
        <v>4</v>
      </c>
      <c r="U40" s="12" t="b">
        <v>0</v>
      </c>
      <c r="V40" s="12" t="b">
        <v>1</v>
      </c>
      <c r="W40" s="86">
        <v>45901</v>
      </c>
      <c r="Y40" s="14">
        <v>55747</v>
      </c>
    </row>
    <row r="41" spans="1:25" hidden="1" x14ac:dyDescent="0.25">
      <c r="A41" s="158" t="str">
        <f>PSPOINTS[[#This Row],[PayScaleCode]]&amp;PSPOINTS[[#This Row],[RateDateFrom]]</f>
        <v>LS_EW45901</v>
      </c>
      <c r="B41" s="57">
        <f t="shared" si="0"/>
        <v>0</v>
      </c>
      <c r="C41" s="57" t="str">
        <f>PSPOINTS[[#This Row],[PayScaleCode]]&amp;PSPOINTS[[#This Row],[PayScalePointCode]]&amp;PSPOINTS[[#This Row],[RateDateFrom]]</f>
        <v>LS_EWL0545901</v>
      </c>
      <c r="D41" s="57">
        <f>COUNTIF(PSPOINTS[Pay Scale String Duplicates],PSPOINTS[[#This Row],[Pay Scale String Duplicates]])-1</f>
        <v>0</v>
      </c>
      <c r="E41" s="57">
        <f>IF((MONTH(_xlfn.XLOOKUP(PSPOINTS[[#This Row],[PayScaleCode]],'19_PayScales'!N:N,'19_PayScales'!R:R)))=MONTH(PSPOINTS[[#This Row],[RateDateFrom]]),0,1)</f>
        <v>0</v>
      </c>
      <c r="F41" s="57">
        <f>IF(ISBLANK(PSPOINTS[[#This Row],[RateDateTo]]),0,IF(PSPOINTS[[#This Row],[RateDateFrom]]&lt;PSPOINTS[[#This Row],[RateDateTo]],0,1))</f>
        <v>0</v>
      </c>
      <c r="G41" s="57" cm="1">
        <f t="array" aca="1" ref="G41" ca="1">IF(CELL("format",PSPOINTS[[#This Row],[RateDateFrom]])="D1",0,1)+IF(CELL("format",PSPOINTS[[#This Row],[RateDateTo]])="D1",0,1)</f>
        <v>0</v>
      </c>
      <c r="H41" s="57">
        <f>IF(OR(PSPOINTS[[#This Row],[Hourly]]=TRUE,PSPOINTS[[#This Row],[Hourly]]=FALSE),IF(OR(PSPOINTS[[#This Row],[PayScalePointEnabled]]=TRUE,PSPOINTS[[#This Row],[PayScalePointEnabled]]=FALSE),0,1),1)</f>
        <v>0</v>
      </c>
      <c r="I41" s="57">
        <f>IF(LEN(PSPOINTS[[#This Row],[PayScalePointCode]])&lt;100,0,1)</f>
        <v>0</v>
      </c>
      <c r="J41" s="57">
        <f>IF(LEN(PSPOINTS[[#This Row],[PayScalePointTitle]])&lt;100,0,1)</f>
        <v>0</v>
      </c>
      <c r="K41" s="57">
        <f>(COUNTBLANK(PSPOINTS[[#This Row],[PayScalePointCode]:[RateDateFrom]])+COUNTBLANK(PSPOINTS[[#This Row],[PayScaleRate]]))</f>
        <v>0</v>
      </c>
      <c r="L41" s="120">
        <f>IF(SUBSTITUTE(TEXT(PSPOINTS[[#This Row],[PayScaleCode]],10)," ","")=TEXT(PSPOINTS[[#This Row],[PayScaleCode]],10),0,1)+IF(SUBSTITUTE(TEXT(PSPOINTS[[#This Row],[PayScalePointCode]],10)," ","")=TEXT(PSPOINTS[[#This Row],[PayScalePointCode]],10),0,1)</f>
        <v>0</v>
      </c>
      <c r="M41" s="57">
        <f ca="1">SUM(PSPOINTS[[#This Row],[Scale Point Issue]:[Space in Code]])</f>
        <v>0</v>
      </c>
      <c r="N41" s="57" t="s">
        <v>1137</v>
      </c>
      <c r="P41" s="12" t="s">
        <v>1388</v>
      </c>
      <c r="Q41" s="57" t="str">
        <f>_xlfn.XLOOKUP(PSPOINTS[[#This Row],[PayScaleCode]],'19_PayScales'!N:N,'19_PayScales'!O:O)</f>
        <v>Leadership Group EW</v>
      </c>
      <c r="R41" s="12" t="s">
        <v>1547</v>
      </c>
      <c r="S41" s="12" t="s">
        <v>1547</v>
      </c>
      <c r="T41" s="12">
        <v>5</v>
      </c>
      <c r="U41" s="12" t="b">
        <v>0</v>
      </c>
      <c r="V41" s="12" t="b">
        <v>1</v>
      </c>
      <c r="W41" s="86">
        <v>45901</v>
      </c>
      <c r="Y41" s="14">
        <v>57137</v>
      </c>
    </row>
    <row r="42" spans="1:25" hidden="1" x14ac:dyDescent="0.25">
      <c r="A42" s="158" t="str">
        <f>PSPOINTS[[#This Row],[PayScaleCode]]&amp;PSPOINTS[[#This Row],[RateDateFrom]]</f>
        <v>LS_EW45901</v>
      </c>
      <c r="B42" s="57">
        <f t="shared" si="0"/>
        <v>0</v>
      </c>
      <c r="C42" s="57" t="str">
        <f>PSPOINTS[[#This Row],[PayScaleCode]]&amp;PSPOINTS[[#This Row],[PayScalePointCode]]&amp;PSPOINTS[[#This Row],[RateDateFrom]]</f>
        <v>LS_EWL0645901</v>
      </c>
      <c r="D42" s="57">
        <f>COUNTIF(PSPOINTS[Pay Scale String Duplicates],PSPOINTS[[#This Row],[Pay Scale String Duplicates]])-1</f>
        <v>0</v>
      </c>
      <c r="E42" s="57">
        <f>IF((MONTH(_xlfn.XLOOKUP(PSPOINTS[[#This Row],[PayScaleCode]],'19_PayScales'!N:N,'19_PayScales'!R:R)))=MONTH(PSPOINTS[[#This Row],[RateDateFrom]]),0,1)</f>
        <v>0</v>
      </c>
      <c r="F42" s="57">
        <f>IF(ISBLANK(PSPOINTS[[#This Row],[RateDateTo]]),0,IF(PSPOINTS[[#This Row],[RateDateFrom]]&lt;PSPOINTS[[#This Row],[RateDateTo]],0,1))</f>
        <v>0</v>
      </c>
      <c r="G42" s="57" cm="1">
        <f t="array" aca="1" ref="G42" ca="1">IF(CELL("format",PSPOINTS[[#This Row],[RateDateFrom]])="D1",0,1)+IF(CELL("format",PSPOINTS[[#This Row],[RateDateTo]])="D1",0,1)</f>
        <v>0</v>
      </c>
      <c r="H42" s="57">
        <f>IF(OR(PSPOINTS[[#This Row],[Hourly]]=TRUE,PSPOINTS[[#This Row],[Hourly]]=FALSE),IF(OR(PSPOINTS[[#This Row],[PayScalePointEnabled]]=TRUE,PSPOINTS[[#This Row],[PayScalePointEnabled]]=FALSE),0,1),1)</f>
        <v>0</v>
      </c>
      <c r="I42" s="57">
        <f>IF(LEN(PSPOINTS[[#This Row],[PayScalePointCode]])&lt;100,0,1)</f>
        <v>0</v>
      </c>
      <c r="J42" s="57">
        <f>IF(LEN(PSPOINTS[[#This Row],[PayScalePointTitle]])&lt;100,0,1)</f>
        <v>0</v>
      </c>
      <c r="K42" s="57">
        <f>(COUNTBLANK(PSPOINTS[[#This Row],[PayScalePointCode]:[RateDateFrom]])+COUNTBLANK(PSPOINTS[[#This Row],[PayScaleRate]]))</f>
        <v>0</v>
      </c>
      <c r="L42" s="120">
        <f>IF(SUBSTITUTE(TEXT(PSPOINTS[[#This Row],[PayScaleCode]],10)," ","")=TEXT(PSPOINTS[[#This Row],[PayScaleCode]],10),0,1)+IF(SUBSTITUTE(TEXT(PSPOINTS[[#This Row],[PayScalePointCode]],10)," ","")=TEXT(PSPOINTS[[#This Row],[PayScalePointCode]],10),0,1)</f>
        <v>0</v>
      </c>
      <c r="M42" s="57">
        <f ca="1">SUM(PSPOINTS[[#This Row],[Scale Point Issue]:[Space in Code]])</f>
        <v>0</v>
      </c>
      <c r="N42" s="57" t="s">
        <v>1137</v>
      </c>
      <c r="P42" s="12" t="s">
        <v>1388</v>
      </c>
      <c r="Q42" s="57" t="str">
        <f>_xlfn.XLOOKUP(PSPOINTS[[#This Row],[PayScaleCode]],'19_PayScales'!N:N,'19_PayScales'!O:O)</f>
        <v>Leadership Group EW</v>
      </c>
      <c r="R42" s="12" t="s">
        <v>1548</v>
      </c>
      <c r="S42" s="12" t="s">
        <v>1548</v>
      </c>
      <c r="T42" s="12">
        <v>6</v>
      </c>
      <c r="U42" s="12" t="b">
        <v>0</v>
      </c>
      <c r="V42" s="12" t="b">
        <v>1</v>
      </c>
      <c r="W42" s="86">
        <v>45901</v>
      </c>
      <c r="Y42" s="14">
        <v>58569</v>
      </c>
    </row>
    <row r="43" spans="1:25" hidden="1" x14ac:dyDescent="0.25">
      <c r="A43" s="158" t="str">
        <f>PSPOINTS[[#This Row],[PayScaleCode]]&amp;PSPOINTS[[#This Row],[RateDateFrom]]</f>
        <v>LS_EW45901</v>
      </c>
      <c r="B43" s="57">
        <f t="shared" si="0"/>
        <v>0</v>
      </c>
      <c r="C43" s="57" t="str">
        <f>PSPOINTS[[#This Row],[PayScaleCode]]&amp;PSPOINTS[[#This Row],[PayScalePointCode]]&amp;PSPOINTS[[#This Row],[RateDateFrom]]</f>
        <v>LS_EWL0745901</v>
      </c>
      <c r="D43" s="57">
        <f>COUNTIF(PSPOINTS[Pay Scale String Duplicates],PSPOINTS[[#This Row],[Pay Scale String Duplicates]])-1</f>
        <v>0</v>
      </c>
      <c r="E43" s="57">
        <f>IF((MONTH(_xlfn.XLOOKUP(PSPOINTS[[#This Row],[PayScaleCode]],'19_PayScales'!N:N,'19_PayScales'!R:R)))=MONTH(PSPOINTS[[#This Row],[RateDateFrom]]),0,1)</f>
        <v>0</v>
      </c>
      <c r="F43" s="57">
        <f>IF(ISBLANK(PSPOINTS[[#This Row],[RateDateTo]]),0,IF(PSPOINTS[[#This Row],[RateDateFrom]]&lt;PSPOINTS[[#This Row],[RateDateTo]],0,1))</f>
        <v>0</v>
      </c>
      <c r="G43" s="57" cm="1">
        <f t="array" aca="1" ref="G43" ca="1">IF(CELL("format",PSPOINTS[[#This Row],[RateDateFrom]])="D1",0,1)+IF(CELL("format",PSPOINTS[[#This Row],[RateDateTo]])="D1",0,1)</f>
        <v>0</v>
      </c>
      <c r="H43" s="57">
        <f>IF(OR(PSPOINTS[[#This Row],[Hourly]]=TRUE,PSPOINTS[[#This Row],[Hourly]]=FALSE),IF(OR(PSPOINTS[[#This Row],[PayScalePointEnabled]]=TRUE,PSPOINTS[[#This Row],[PayScalePointEnabled]]=FALSE),0,1),1)</f>
        <v>0</v>
      </c>
      <c r="I43" s="57">
        <f>IF(LEN(PSPOINTS[[#This Row],[PayScalePointCode]])&lt;100,0,1)</f>
        <v>0</v>
      </c>
      <c r="J43" s="57">
        <f>IF(LEN(PSPOINTS[[#This Row],[PayScalePointTitle]])&lt;100,0,1)</f>
        <v>0</v>
      </c>
      <c r="K43" s="57">
        <f>(COUNTBLANK(PSPOINTS[[#This Row],[PayScalePointCode]:[RateDateFrom]])+COUNTBLANK(PSPOINTS[[#This Row],[PayScaleRate]]))</f>
        <v>0</v>
      </c>
      <c r="L43" s="120">
        <f>IF(SUBSTITUTE(TEXT(PSPOINTS[[#This Row],[PayScaleCode]],10)," ","")=TEXT(PSPOINTS[[#This Row],[PayScaleCode]],10),0,1)+IF(SUBSTITUTE(TEXT(PSPOINTS[[#This Row],[PayScalePointCode]],10)," ","")=TEXT(PSPOINTS[[#This Row],[PayScalePointCode]],10),0,1)</f>
        <v>0</v>
      </c>
      <c r="M43" s="57">
        <f ca="1">SUM(PSPOINTS[[#This Row],[Scale Point Issue]:[Space in Code]])</f>
        <v>0</v>
      </c>
      <c r="N43" s="57" t="s">
        <v>1137</v>
      </c>
      <c r="P43" s="12" t="s">
        <v>1388</v>
      </c>
      <c r="Q43" s="57" t="str">
        <f>_xlfn.XLOOKUP(PSPOINTS[[#This Row],[PayScaleCode]],'19_PayScales'!N:N,'19_PayScales'!O:O)</f>
        <v>Leadership Group EW</v>
      </c>
      <c r="R43" s="12" t="s">
        <v>1549</v>
      </c>
      <c r="S43" s="12" t="s">
        <v>1549</v>
      </c>
      <c r="T43" s="12">
        <v>7</v>
      </c>
      <c r="U43" s="12" t="b">
        <v>0</v>
      </c>
      <c r="V43" s="12" t="b">
        <v>1</v>
      </c>
      <c r="W43" s="86">
        <v>45901</v>
      </c>
      <c r="Y43" s="14">
        <v>60145</v>
      </c>
    </row>
    <row r="44" spans="1:25" hidden="1" x14ac:dyDescent="0.25">
      <c r="A44" s="158" t="str">
        <f>PSPOINTS[[#This Row],[PayScaleCode]]&amp;PSPOINTS[[#This Row],[RateDateFrom]]</f>
        <v>LS_EW45901</v>
      </c>
      <c r="B44" s="57">
        <f t="shared" si="0"/>
        <v>0</v>
      </c>
      <c r="C44" s="57" t="str">
        <f>PSPOINTS[[#This Row],[PayScaleCode]]&amp;PSPOINTS[[#This Row],[PayScalePointCode]]&amp;PSPOINTS[[#This Row],[RateDateFrom]]</f>
        <v>LS_EWL0845901</v>
      </c>
      <c r="D44" s="57">
        <f>COUNTIF(PSPOINTS[Pay Scale String Duplicates],PSPOINTS[[#This Row],[Pay Scale String Duplicates]])-1</f>
        <v>0</v>
      </c>
      <c r="E44" s="57">
        <f>IF((MONTH(_xlfn.XLOOKUP(PSPOINTS[[#This Row],[PayScaleCode]],'19_PayScales'!N:N,'19_PayScales'!R:R)))=MONTH(PSPOINTS[[#This Row],[RateDateFrom]]),0,1)</f>
        <v>0</v>
      </c>
      <c r="F44" s="57">
        <f>IF(ISBLANK(PSPOINTS[[#This Row],[RateDateTo]]),0,IF(PSPOINTS[[#This Row],[RateDateFrom]]&lt;PSPOINTS[[#This Row],[RateDateTo]],0,1))</f>
        <v>0</v>
      </c>
      <c r="G44" s="57" cm="1">
        <f t="array" aca="1" ref="G44" ca="1">IF(CELL("format",PSPOINTS[[#This Row],[RateDateFrom]])="D1",0,1)+IF(CELL("format",PSPOINTS[[#This Row],[RateDateTo]])="D1",0,1)</f>
        <v>0</v>
      </c>
      <c r="H44" s="57">
        <f>IF(OR(PSPOINTS[[#This Row],[Hourly]]=TRUE,PSPOINTS[[#This Row],[Hourly]]=FALSE),IF(OR(PSPOINTS[[#This Row],[PayScalePointEnabled]]=TRUE,PSPOINTS[[#This Row],[PayScalePointEnabled]]=FALSE),0,1),1)</f>
        <v>0</v>
      </c>
      <c r="I44" s="57">
        <f>IF(LEN(PSPOINTS[[#This Row],[PayScalePointCode]])&lt;100,0,1)</f>
        <v>0</v>
      </c>
      <c r="J44" s="57">
        <f>IF(LEN(PSPOINTS[[#This Row],[PayScalePointTitle]])&lt;100,0,1)</f>
        <v>0</v>
      </c>
      <c r="K44" s="57">
        <f>(COUNTBLANK(PSPOINTS[[#This Row],[PayScalePointCode]:[RateDateFrom]])+COUNTBLANK(PSPOINTS[[#This Row],[PayScaleRate]]))</f>
        <v>0</v>
      </c>
      <c r="L44" s="120">
        <f>IF(SUBSTITUTE(TEXT(PSPOINTS[[#This Row],[PayScaleCode]],10)," ","")=TEXT(PSPOINTS[[#This Row],[PayScaleCode]],10),0,1)+IF(SUBSTITUTE(TEXT(PSPOINTS[[#This Row],[PayScalePointCode]],10)," ","")=TEXT(PSPOINTS[[#This Row],[PayScalePointCode]],10),0,1)</f>
        <v>0</v>
      </c>
      <c r="M44" s="57">
        <f ca="1">SUM(PSPOINTS[[#This Row],[Scale Point Issue]:[Space in Code]])</f>
        <v>0</v>
      </c>
      <c r="N44" s="57" t="s">
        <v>1137</v>
      </c>
      <c r="P44" s="12" t="s">
        <v>1388</v>
      </c>
      <c r="Q44" s="57" t="str">
        <f>_xlfn.XLOOKUP(PSPOINTS[[#This Row],[PayScaleCode]],'19_PayScales'!N:N,'19_PayScales'!O:O)</f>
        <v>Leadership Group EW</v>
      </c>
      <c r="R44" s="12" t="s">
        <v>1550</v>
      </c>
      <c r="S44" s="12" t="s">
        <v>1550</v>
      </c>
      <c r="T44" s="12">
        <v>8</v>
      </c>
      <c r="U44" s="12" t="b">
        <v>0</v>
      </c>
      <c r="V44" s="12" t="b">
        <v>1</v>
      </c>
      <c r="W44" s="86">
        <v>45901</v>
      </c>
      <c r="Y44" s="14">
        <v>61534</v>
      </c>
    </row>
    <row r="45" spans="1:25" hidden="1" x14ac:dyDescent="0.25">
      <c r="A45" s="158" t="str">
        <f>PSPOINTS[[#This Row],[PayScaleCode]]&amp;PSPOINTS[[#This Row],[RateDateFrom]]</f>
        <v>LS_EW45901</v>
      </c>
      <c r="B45" s="57">
        <f t="shared" si="0"/>
        <v>0</v>
      </c>
      <c r="C45" s="57" t="str">
        <f>PSPOINTS[[#This Row],[PayScaleCode]]&amp;PSPOINTS[[#This Row],[PayScalePointCode]]&amp;PSPOINTS[[#This Row],[RateDateFrom]]</f>
        <v>LS_EWL0945901</v>
      </c>
      <c r="D45" s="57">
        <f>COUNTIF(PSPOINTS[Pay Scale String Duplicates],PSPOINTS[[#This Row],[Pay Scale String Duplicates]])-1</f>
        <v>0</v>
      </c>
      <c r="E45" s="57">
        <f>IF((MONTH(_xlfn.XLOOKUP(PSPOINTS[[#This Row],[PayScaleCode]],'19_PayScales'!N:N,'19_PayScales'!R:R)))=MONTH(PSPOINTS[[#This Row],[RateDateFrom]]),0,1)</f>
        <v>0</v>
      </c>
      <c r="F45" s="57">
        <f>IF(ISBLANK(PSPOINTS[[#This Row],[RateDateTo]]),0,IF(PSPOINTS[[#This Row],[RateDateFrom]]&lt;PSPOINTS[[#This Row],[RateDateTo]],0,1))</f>
        <v>0</v>
      </c>
      <c r="G45" s="57" cm="1">
        <f t="array" aca="1" ref="G45" ca="1">IF(CELL("format",PSPOINTS[[#This Row],[RateDateFrom]])="D1",0,1)+IF(CELL("format",PSPOINTS[[#This Row],[RateDateTo]])="D1",0,1)</f>
        <v>0</v>
      </c>
      <c r="H45" s="57">
        <f>IF(OR(PSPOINTS[[#This Row],[Hourly]]=TRUE,PSPOINTS[[#This Row],[Hourly]]=FALSE),IF(OR(PSPOINTS[[#This Row],[PayScalePointEnabled]]=TRUE,PSPOINTS[[#This Row],[PayScalePointEnabled]]=FALSE),0,1),1)</f>
        <v>0</v>
      </c>
      <c r="I45" s="57">
        <f>IF(LEN(PSPOINTS[[#This Row],[PayScalePointCode]])&lt;100,0,1)</f>
        <v>0</v>
      </c>
      <c r="J45" s="57">
        <f>IF(LEN(PSPOINTS[[#This Row],[PayScalePointTitle]])&lt;100,0,1)</f>
        <v>0</v>
      </c>
      <c r="K45" s="57">
        <f>(COUNTBLANK(PSPOINTS[[#This Row],[PayScalePointCode]:[RateDateFrom]])+COUNTBLANK(PSPOINTS[[#This Row],[PayScaleRate]]))</f>
        <v>0</v>
      </c>
      <c r="L45" s="120">
        <f>IF(SUBSTITUTE(TEXT(PSPOINTS[[#This Row],[PayScaleCode]],10)," ","")=TEXT(PSPOINTS[[#This Row],[PayScaleCode]],10),0,1)+IF(SUBSTITUTE(TEXT(PSPOINTS[[#This Row],[PayScalePointCode]],10)," ","")=TEXT(PSPOINTS[[#This Row],[PayScalePointCode]],10),0,1)</f>
        <v>0</v>
      </c>
      <c r="M45" s="57">
        <f ca="1">SUM(PSPOINTS[[#This Row],[Scale Point Issue]:[Space in Code]])</f>
        <v>0</v>
      </c>
      <c r="N45" s="57" t="s">
        <v>1137</v>
      </c>
      <c r="P45" s="12" t="s">
        <v>1388</v>
      </c>
      <c r="Q45" s="57" t="str">
        <f>_xlfn.XLOOKUP(PSPOINTS[[#This Row],[PayScaleCode]],'19_PayScales'!N:N,'19_PayScales'!O:O)</f>
        <v>Leadership Group EW</v>
      </c>
      <c r="R45" s="12" t="s">
        <v>1551</v>
      </c>
      <c r="S45" s="12" t="s">
        <v>1551</v>
      </c>
      <c r="T45" s="12">
        <v>9</v>
      </c>
      <c r="U45" s="12" t="b">
        <v>0</v>
      </c>
      <c r="V45" s="12" t="b">
        <v>1</v>
      </c>
      <c r="W45" s="86">
        <v>45901</v>
      </c>
      <c r="Y45" s="14">
        <v>63070</v>
      </c>
    </row>
    <row r="46" spans="1:25" hidden="1" x14ac:dyDescent="0.25">
      <c r="A46" s="158" t="str">
        <f>PSPOINTS[[#This Row],[PayScaleCode]]&amp;PSPOINTS[[#This Row],[RateDateFrom]]</f>
        <v>LS_EW45901</v>
      </c>
      <c r="B46" s="57">
        <f t="shared" si="0"/>
        <v>0</v>
      </c>
      <c r="C46" s="57" t="str">
        <f>PSPOINTS[[#This Row],[PayScaleCode]]&amp;PSPOINTS[[#This Row],[PayScalePointCode]]&amp;PSPOINTS[[#This Row],[RateDateFrom]]</f>
        <v>LS_EWL1045901</v>
      </c>
      <c r="D46" s="57">
        <f>COUNTIF(PSPOINTS[Pay Scale String Duplicates],PSPOINTS[[#This Row],[Pay Scale String Duplicates]])-1</f>
        <v>0</v>
      </c>
      <c r="E46" s="57">
        <f>IF((MONTH(_xlfn.XLOOKUP(PSPOINTS[[#This Row],[PayScaleCode]],'19_PayScales'!N:N,'19_PayScales'!R:R)))=MONTH(PSPOINTS[[#This Row],[RateDateFrom]]),0,1)</f>
        <v>0</v>
      </c>
      <c r="F46" s="57">
        <f>IF(ISBLANK(PSPOINTS[[#This Row],[RateDateTo]]),0,IF(PSPOINTS[[#This Row],[RateDateFrom]]&lt;PSPOINTS[[#This Row],[RateDateTo]],0,1))</f>
        <v>0</v>
      </c>
      <c r="G46" s="57" cm="1">
        <f t="array" aca="1" ref="G46" ca="1">IF(CELL("format",PSPOINTS[[#This Row],[RateDateFrom]])="D1",0,1)+IF(CELL("format",PSPOINTS[[#This Row],[RateDateTo]])="D1",0,1)</f>
        <v>0</v>
      </c>
      <c r="H46" s="57">
        <f>IF(OR(PSPOINTS[[#This Row],[Hourly]]=TRUE,PSPOINTS[[#This Row],[Hourly]]=FALSE),IF(OR(PSPOINTS[[#This Row],[PayScalePointEnabled]]=TRUE,PSPOINTS[[#This Row],[PayScalePointEnabled]]=FALSE),0,1),1)</f>
        <v>0</v>
      </c>
      <c r="I46" s="57">
        <f>IF(LEN(PSPOINTS[[#This Row],[PayScalePointCode]])&lt;100,0,1)</f>
        <v>0</v>
      </c>
      <c r="J46" s="57">
        <f>IF(LEN(PSPOINTS[[#This Row],[PayScalePointTitle]])&lt;100,0,1)</f>
        <v>0</v>
      </c>
      <c r="K46" s="57">
        <f>(COUNTBLANK(PSPOINTS[[#This Row],[PayScalePointCode]:[RateDateFrom]])+COUNTBLANK(PSPOINTS[[#This Row],[PayScaleRate]]))</f>
        <v>0</v>
      </c>
      <c r="L46" s="120">
        <f>IF(SUBSTITUTE(TEXT(PSPOINTS[[#This Row],[PayScaleCode]],10)," ","")=TEXT(PSPOINTS[[#This Row],[PayScaleCode]],10),0,1)+IF(SUBSTITUTE(TEXT(PSPOINTS[[#This Row],[PayScalePointCode]],10)," ","")=TEXT(PSPOINTS[[#This Row],[PayScalePointCode]],10),0,1)</f>
        <v>0</v>
      </c>
      <c r="M46" s="57">
        <f ca="1">SUM(PSPOINTS[[#This Row],[Scale Point Issue]:[Space in Code]])</f>
        <v>0</v>
      </c>
      <c r="N46" s="57" t="s">
        <v>1137</v>
      </c>
      <c r="P46" s="12" t="s">
        <v>1388</v>
      </c>
      <c r="Q46" s="57" t="str">
        <f>_xlfn.XLOOKUP(PSPOINTS[[#This Row],[PayScaleCode]],'19_PayScales'!N:N,'19_PayScales'!O:O)</f>
        <v>Leadership Group EW</v>
      </c>
      <c r="R46" s="12" t="s">
        <v>1552</v>
      </c>
      <c r="S46" s="12" t="s">
        <v>1552</v>
      </c>
      <c r="T46" s="12">
        <v>10</v>
      </c>
      <c r="U46" s="12" t="b">
        <v>0</v>
      </c>
      <c r="V46" s="12" t="b">
        <v>1</v>
      </c>
      <c r="W46" s="86">
        <v>45901</v>
      </c>
      <c r="Y46" s="14">
        <v>64691</v>
      </c>
    </row>
    <row r="47" spans="1:25" hidden="1" x14ac:dyDescent="0.25">
      <c r="A47" s="158" t="str">
        <f>PSPOINTS[[#This Row],[PayScaleCode]]&amp;PSPOINTS[[#This Row],[RateDateFrom]]</f>
        <v>LS_EW45901</v>
      </c>
      <c r="B47" s="57">
        <f t="shared" si="0"/>
        <v>0</v>
      </c>
      <c r="C47" s="57" t="str">
        <f>PSPOINTS[[#This Row],[PayScaleCode]]&amp;PSPOINTS[[#This Row],[PayScalePointCode]]&amp;PSPOINTS[[#This Row],[RateDateFrom]]</f>
        <v>LS_EWL1145901</v>
      </c>
      <c r="D47" s="57">
        <f>COUNTIF(PSPOINTS[Pay Scale String Duplicates],PSPOINTS[[#This Row],[Pay Scale String Duplicates]])-1</f>
        <v>0</v>
      </c>
      <c r="E47" s="57">
        <f>IF((MONTH(_xlfn.XLOOKUP(PSPOINTS[[#This Row],[PayScaleCode]],'19_PayScales'!N:N,'19_PayScales'!R:R)))=MONTH(PSPOINTS[[#This Row],[RateDateFrom]]),0,1)</f>
        <v>0</v>
      </c>
      <c r="F47" s="57">
        <f>IF(ISBLANK(PSPOINTS[[#This Row],[RateDateTo]]),0,IF(PSPOINTS[[#This Row],[RateDateFrom]]&lt;PSPOINTS[[#This Row],[RateDateTo]],0,1))</f>
        <v>0</v>
      </c>
      <c r="G47" s="57" cm="1">
        <f t="array" aca="1" ref="G47" ca="1">IF(CELL("format",PSPOINTS[[#This Row],[RateDateFrom]])="D1",0,1)+IF(CELL("format",PSPOINTS[[#This Row],[RateDateTo]])="D1",0,1)</f>
        <v>0</v>
      </c>
      <c r="H47" s="57">
        <f>IF(OR(PSPOINTS[[#This Row],[Hourly]]=TRUE,PSPOINTS[[#This Row],[Hourly]]=FALSE),IF(OR(PSPOINTS[[#This Row],[PayScalePointEnabled]]=TRUE,PSPOINTS[[#This Row],[PayScalePointEnabled]]=FALSE),0,1),1)</f>
        <v>0</v>
      </c>
      <c r="I47" s="57">
        <f>IF(LEN(PSPOINTS[[#This Row],[PayScalePointCode]])&lt;100,0,1)</f>
        <v>0</v>
      </c>
      <c r="J47" s="57">
        <f>IF(LEN(PSPOINTS[[#This Row],[PayScalePointTitle]])&lt;100,0,1)</f>
        <v>0</v>
      </c>
      <c r="K47" s="57">
        <f>(COUNTBLANK(PSPOINTS[[#This Row],[PayScalePointCode]:[RateDateFrom]])+COUNTBLANK(PSPOINTS[[#This Row],[PayScaleRate]]))</f>
        <v>0</v>
      </c>
      <c r="L47" s="120">
        <f>IF(SUBSTITUTE(TEXT(PSPOINTS[[#This Row],[PayScaleCode]],10)," ","")=TEXT(PSPOINTS[[#This Row],[PayScaleCode]],10),0,1)+IF(SUBSTITUTE(TEXT(PSPOINTS[[#This Row],[PayScalePointCode]],10)," ","")=TEXT(PSPOINTS[[#This Row],[PayScalePointCode]],10),0,1)</f>
        <v>0</v>
      </c>
      <c r="M47" s="57">
        <f ca="1">SUM(PSPOINTS[[#This Row],[Scale Point Issue]:[Space in Code]])</f>
        <v>0</v>
      </c>
      <c r="N47" s="57" t="s">
        <v>1137</v>
      </c>
      <c r="P47" s="12" t="s">
        <v>1388</v>
      </c>
      <c r="Q47" s="57" t="str">
        <f>_xlfn.XLOOKUP(PSPOINTS[[#This Row],[PayScaleCode]],'19_PayScales'!N:N,'19_PayScales'!O:O)</f>
        <v>Leadership Group EW</v>
      </c>
      <c r="R47" s="12" t="s">
        <v>1553</v>
      </c>
      <c r="S47" s="12" t="s">
        <v>1553</v>
      </c>
      <c r="T47" s="12">
        <v>11</v>
      </c>
      <c r="U47" s="12" t="b">
        <v>0</v>
      </c>
      <c r="V47" s="12" t="b">
        <v>1</v>
      </c>
      <c r="W47" s="86">
        <v>45901</v>
      </c>
      <c r="Y47" s="14">
        <v>66368</v>
      </c>
    </row>
    <row r="48" spans="1:25" hidden="1" x14ac:dyDescent="0.25">
      <c r="A48" s="158" t="str">
        <f>PSPOINTS[[#This Row],[PayScaleCode]]&amp;PSPOINTS[[#This Row],[RateDateFrom]]</f>
        <v>LS_EW45901</v>
      </c>
      <c r="B48" s="57">
        <f t="shared" si="0"/>
        <v>0</v>
      </c>
      <c r="C48" s="57" t="str">
        <f>PSPOINTS[[#This Row],[PayScaleCode]]&amp;PSPOINTS[[#This Row],[PayScalePointCode]]&amp;PSPOINTS[[#This Row],[RateDateFrom]]</f>
        <v>LS_EWL1245901</v>
      </c>
      <c r="D48" s="57">
        <f>COUNTIF(PSPOINTS[Pay Scale String Duplicates],PSPOINTS[[#This Row],[Pay Scale String Duplicates]])-1</f>
        <v>0</v>
      </c>
      <c r="E48" s="57">
        <f>IF((MONTH(_xlfn.XLOOKUP(PSPOINTS[[#This Row],[PayScaleCode]],'19_PayScales'!N:N,'19_PayScales'!R:R)))=MONTH(PSPOINTS[[#This Row],[RateDateFrom]]),0,1)</f>
        <v>0</v>
      </c>
      <c r="F48" s="57">
        <f>IF(ISBLANK(PSPOINTS[[#This Row],[RateDateTo]]),0,IF(PSPOINTS[[#This Row],[RateDateFrom]]&lt;PSPOINTS[[#This Row],[RateDateTo]],0,1))</f>
        <v>0</v>
      </c>
      <c r="G48" s="57" cm="1">
        <f t="array" aca="1" ref="G48" ca="1">IF(CELL("format",PSPOINTS[[#This Row],[RateDateFrom]])="D1",0,1)+IF(CELL("format",PSPOINTS[[#This Row],[RateDateTo]])="D1",0,1)</f>
        <v>0</v>
      </c>
      <c r="H48" s="57">
        <f>IF(OR(PSPOINTS[[#This Row],[Hourly]]=TRUE,PSPOINTS[[#This Row],[Hourly]]=FALSE),IF(OR(PSPOINTS[[#This Row],[PayScalePointEnabled]]=TRUE,PSPOINTS[[#This Row],[PayScalePointEnabled]]=FALSE),0,1),1)</f>
        <v>0</v>
      </c>
      <c r="I48" s="57">
        <f>IF(LEN(PSPOINTS[[#This Row],[PayScalePointCode]])&lt;100,0,1)</f>
        <v>0</v>
      </c>
      <c r="J48" s="57">
        <f>IF(LEN(PSPOINTS[[#This Row],[PayScalePointTitle]])&lt;100,0,1)</f>
        <v>0</v>
      </c>
      <c r="K48" s="57">
        <f>(COUNTBLANK(PSPOINTS[[#This Row],[PayScalePointCode]:[RateDateFrom]])+COUNTBLANK(PSPOINTS[[#This Row],[PayScaleRate]]))</f>
        <v>0</v>
      </c>
      <c r="L48" s="120">
        <f>IF(SUBSTITUTE(TEXT(PSPOINTS[[#This Row],[PayScaleCode]],10)," ","")=TEXT(PSPOINTS[[#This Row],[PayScaleCode]],10),0,1)+IF(SUBSTITUTE(TEXT(PSPOINTS[[#This Row],[PayScalePointCode]],10)," ","")=TEXT(PSPOINTS[[#This Row],[PayScalePointCode]],10),0,1)</f>
        <v>0</v>
      </c>
      <c r="M48" s="57">
        <f ca="1">SUM(PSPOINTS[[#This Row],[Scale Point Issue]:[Space in Code]])</f>
        <v>0</v>
      </c>
      <c r="N48" s="57" t="s">
        <v>1137</v>
      </c>
      <c r="P48" s="12" t="s">
        <v>1388</v>
      </c>
      <c r="Q48" s="57" t="str">
        <f>_xlfn.XLOOKUP(PSPOINTS[[#This Row],[PayScaleCode]],'19_PayScales'!N:N,'19_PayScales'!O:O)</f>
        <v>Leadership Group EW</v>
      </c>
      <c r="R48" s="12" t="s">
        <v>1554</v>
      </c>
      <c r="S48" s="12" t="s">
        <v>1554</v>
      </c>
      <c r="T48" s="12">
        <v>12</v>
      </c>
      <c r="U48" s="12" t="b">
        <v>0</v>
      </c>
      <c r="V48" s="12" t="b">
        <v>1</v>
      </c>
      <c r="W48" s="86">
        <v>45901</v>
      </c>
      <c r="Y48" s="14">
        <v>67898</v>
      </c>
    </row>
    <row r="49" spans="1:25" hidden="1" x14ac:dyDescent="0.25">
      <c r="A49" s="158" t="str">
        <f>PSPOINTS[[#This Row],[PayScaleCode]]&amp;PSPOINTS[[#This Row],[RateDateFrom]]</f>
        <v>LS_EW45901</v>
      </c>
      <c r="B49" s="57">
        <f t="shared" si="0"/>
        <v>0</v>
      </c>
      <c r="C49" s="57" t="str">
        <f>PSPOINTS[[#This Row],[PayScaleCode]]&amp;PSPOINTS[[#This Row],[PayScalePointCode]]&amp;PSPOINTS[[#This Row],[RateDateFrom]]</f>
        <v>LS_EWL1345901</v>
      </c>
      <c r="D49" s="57">
        <f>COUNTIF(PSPOINTS[Pay Scale String Duplicates],PSPOINTS[[#This Row],[Pay Scale String Duplicates]])-1</f>
        <v>0</v>
      </c>
      <c r="E49" s="57">
        <f>IF((MONTH(_xlfn.XLOOKUP(PSPOINTS[[#This Row],[PayScaleCode]],'19_PayScales'!N:N,'19_PayScales'!R:R)))=MONTH(PSPOINTS[[#This Row],[RateDateFrom]]),0,1)</f>
        <v>0</v>
      </c>
      <c r="F49" s="57">
        <f>IF(ISBLANK(PSPOINTS[[#This Row],[RateDateTo]]),0,IF(PSPOINTS[[#This Row],[RateDateFrom]]&lt;PSPOINTS[[#This Row],[RateDateTo]],0,1))</f>
        <v>0</v>
      </c>
      <c r="G49" s="57" cm="1">
        <f t="array" aca="1" ref="G49" ca="1">IF(CELL("format",PSPOINTS[[#This Row],[RateDateFrom]])="D1",0,1)+IF(CELL("format",PSPOINTS[[#This Row],[RateDateTo]])="D1",0,1)</f>
        <v>0</v>
      </c>
      <c r="H49" s="57">
        <f>IF(OR(PSPOINTS[[#This Row],[Hourly]]=TRUE,PSPOINTS[[#This Row],[Hourly]]=FALSE),IF(OR(PSPOINTS[[#This Row],[PayScalePointEnabled]]=TRUE,PSPOINTS[[#This Row],[PayScalePointEnabled]]=FALSE),0,1),1)</f>
        <v>0</v>
      </c>
      <c r="I49" s="57">
        <f>IF(LEN(PSPOINTS[[#This Row],[PayScalePointCode]])&lt;100,0,1)</f>
        <v>0</v>
      </c>
      <c r="J49" s="57">
        <f>IF(LEN(PSPOINTS[[#This Row],[PayScalePointTitle]])&lt;100,0,1)</f>
        <v>0</v>
      </c>
      <c r="K49" s="57">
        <f>(COUNTBLANK(PSPOINTS[[#This Row],[PayScalePointCode]:[RateDateFrom]])+COUNTBLANK(PSPOINTS[[#This Row],[PayScaleRate]]))</f>
        <v>0</v>
      </c>
      <c r="L49" s="120">
        <f>IF(SUBSTITUTE(TEXT(PSPOINTS[[#This Row],[PayScaleCode]],10)," ","")=TEXT(PSPOINTS[[#This Row],[PayScaleCode]],10),0,1)+IF(SUBSTITUTE(TEXT(PSPOINTS[[#This Row],[PayScalePointCode]],10)," ","")=TEXT(PSPOINTS[[#This Row],[PayScalePointCode]],10),0,1)</f>
        <v>0</v>
      </c>
      <c r="M49" s="57">
        <f ca="1">SUM(PSPOINTS[[#This Row],[Scale Point Issue]:[Space in Code]])</f>
        <v>0</v>
      </c>
      <c r="N49" s="57" t="s">
        <v>1137</v>
      </c>
      <c r="P49" s="12" t="s">
        <v>1388</v>
      </c>
      <c r="Q49" s="57" t="str">
        <f>_xlfn.XLOOKUP(PSPOINTS[[#This Row],[PayScaleCode]],'19_PayScales'!N:N,'19_PayScales'!O:O)</f>
        <v>Leadership Group EW</v>
      </c>
      <c r="R49" s="12" t="s">
        <v>1555</v>
      </c>
      <c r="S49" s="12" t="s">
        <v>1555</v>
      </c>
      <c r="T49" s="12">
        <v>13</v>
      </c>
      <c r="U49" s="12" t="b">
        <v>0</v>
      </c>
      <c r="V49" s="12" t="b">
        <v>1</v>
      </c>
      <c r="W49" s="86">
        <v>45901</v>
      </c>
      <c r="Y49" s="14">
        <v>69596</v>
      </c>
    </row>
    <row r="50" spans="1:25" hidden="1" x14ac:dyDescent="0.25">
      <c r="A50" s="158" t="str">
        <f>PSPOINTS[[#This Row],[PayScaleCode]]&amp;PSPOINTS[[#This Row],[RateDateFrom]]</f>
        <v>LS_EW45901</v>
      </c>
      <c r="B50" s="57">
        <f t="shared" si="0"/>
        <v>0</v>
      </c>
      <c r="C50" s="57" t="str">
        <f>PSPOINTS[[#This Row],[PayScaleCode]]&amp;PSPOINTS[[#This Row],[PayScalePointCode]]&amp;PSPOINTS[[#This Row],[RateDateFrom]]</f>
        <v>LS_EWL1445901</v>
      </c>
      <c r="D50" s="57">
        <f>COUNTIF(PSPOINTS[Pay Scale String Duplicates],PSPOINTS[[#This Row],[Pay Scale String Duplicates]])-1</f>
        <v>0</v>
      </c>
      <c r="E50" s="57">
        <f>IF((MONTH(_xlfn.XLOOKUP(PSPOINTS[[#This Row],[PayScaleCode]],'19_PayScales'!N:N,'19_PayScales'!R:R)))=MONTH(PSPOINTS[[#This Row],[RateDateFrom]]),0,1)</f>
        <v>0</v>
      </c>
      <c r="F50" s="57">
        <f>IF(ISBLANK(PSPOINTS[[#This Row],[RateDateTo]]),0,IF(PSPOINTS[[#This Row],[RateDateFrom]]&lt;PSPOINTS[[#This Row],[RateDateTo]],0,1))</f>
        <v>0</v>
      </c>
      <c r="G50" s="57" cm="1">
        <f t="array" aca="1" ref="G50" ca="1">IF(CELL("format",PSPOINTS[[#This Row],[RateDateFrom]])="D1",0,1)+IF(CELL("format",PSPOINTS[[#This Row],[RateDateTo]])="D1",0,1)</f>
        <v>0</v>
      </c>
      <c r="H50" s="57">
        <f>IF(OR(PSPOINTS[[#This Row],[Hourly]]=TRUE,PSPOINTS[[#This Row],[Hourly]]=FALSE),IF(OR(PSPOINTS[[#This Row],[PayScalePointEnabled]]=TRUE,PSPOINTS[[#This Row],[PayScalePointEnabled]]=FALSE),0,1),1)</f>
        <v>0</v>
      </c>
      <c r="I50" s="57">
        <f>IF(LEN(PSPOINTS[[#This Row],[PayScalePointCode]])&lt;100,0,1)</f>
        <v>0</v>
      </c>
      <c r="J50" s="57">
        <f>IF(LEN(PSPOINTS[[#This Row],[PayScalePointTitle]])&lt;100,0,1)</f>
        <v>0</v>
      </c>
      <c r="K50" s="57">
        <f>(COUNTBLANK(PSPOINTS[[#This Row],[PayScalePointCode]:[RateDateFrom]])+COUNTBLANK(PSPOINTS[[#This Row],[PayScaleRate]]))</f>
        <v>0</v>
      </c>
      <c r="L50" s="120">
        <f>IF(SUBSTITUTE(TEXT(PSPOINTS[[#This Row],[PayScaleCode]],10)," ","")=TEXT(PSPOINTS[[#This Row],[PayScaleCode]],10),0,1)+IF(SUBSTITUTE(TEXT(PSPOINTS[[#This Row],[PayScalePointCode]],10)," ","")=TEXT(PSPOINTS[[#This Row],[PayScalePointCode]],10),0,1)</f>
        <v>0</v>
      </c>
      <c r="M50" s="57">
        <f ca="1">SUM(PSPOINTS[[#This Row],[Scale Point Issue]:[Space in Code]])</f>
        <v>0</v>
      </c>
      <c r="N50" s="57" t="s">
        <v>1137</v>
      </c>
      <c r="P50" s="12" t="s">
        <v>1388</v>
      </c>
      <c r="Q50" s="57" t="str">
        <f>_xlfn.XLOOKUP(PSPOINTS[[#This Row],[PayScaleCode]],'19_PayScales'!N:N,'19_PayScales'!O:O)</f>
        <v>Leadership Group EW</v>
      </c>
      <c r="R50" s="12" t="s">
        <v>1556</v>
      </c>
      <c r="S50" s="12" t="s">
        <v>1556</v>
      </c>
      <c r="T50" s="12">
        <v>14</v>
      </c>
      <c r="U50" s="12" t="b">
        <v>0</v>
      </c>
      <c r="V50" s="12" t="b">
        <v>1</v>
      </c>
      <c r="W50" s="86">
        <v>45901</v>
      </c>
      <c r="Y50" s="14">
        <v>71330</v>
      </c>
    </row>
    <row r="51" spans="1:25" hidden="1" x14ac:dyDescent="0.25">
      <c r="A51" s="158" t="str">
        <f>PSPOINTS[[#This Row],[PayScaleCode]]&amp;PSPOINTS[[#This Row],[RateDateFrom]]</f>
        <v>LS_EW45901</v>
      </c>
      <c r="B51" s="57">
        <f t="shared" si="0"/>
        <v>0</v>
      </c>
      <c r="C51" s="57" t="str">
        <f>PSPOINTS[[#This Row],[PayScaleCode]]&amp;PSPOINTS[[#This Row],[PayScalePointCode]]&amp;PSPOINTS[[#This Row],[RateDateFrom]]</f>
        <v>LS_EWL1545901</v>
      </c>
      <c r="D51" s="57">
        <f>COUNTIF(PSPOINTS[Pay Scale String Duplicates],PSPOINTS[[#This Row],[Pay Scale String Duplicates]])-1</f>
        <v>0</v>
      </c>
      <c r="E51" s="57">
        <f>IF((MONTH(_xlfn.XLOOKUP(PSPOINTS[[#This Row],[PayScaleCode]],'19_PayScales'!N:N,'19_PayScales'!R:R)))=MONTH(PSPOINTS[[#This Row],[RateDateFrom]]),0,1)</f>
        <v>0</v>
      </c>
      <c r="F51" s="57">
        <f>IF(ISBLANK(PSPOINTS[[#This Row],[RateDateTo]]),0,IF(PSPOINTS[[#This Row],[RateDateFrom]]&lt;PSPOINTS[[#This Row],[RateDateTo]],0,1))</f>
        <v>0</v>
      </c>
      <c r="G51" s="57" cm="1">
        <f t="array" aca="1" ref="G51" ca="1">IF(CELL("format",PSPOINTS[[#This Row],[RateDateFrom]])="D1",0,1)+IF(CELL("format",PSPOINTS[[#This Row],[RateDateTo]])="D1",0,1)</f>
        <v>0</v>
      </c>
      <c r="H51" s="57">
        <f>IF(OR(PSPOINTS[[#This Row],[Hourly]]=TRUE,PSPOINTS[[#This Row],[Hourly]]=FALSE),IF(OR(PSPOINTS[[#This Row],[PayScalePointEnabled]]=TRUE,PSPOINTS[[#This Row],[PayScalePointEnabled]]=FALSE),0,1),1)</f>
        <v>0</v>
      </c>
      <c r="I51" s="57">
        <f>IF(LEN(PSPOINTS[[#This Row],[PayScalePointCode]])&lt;100,0,1)</f>
        <v>0</v>
      </c>
      <c r="J51" s="57">
        <f>IF(LEN(PSPOINTS[[#This Row],[PayScalePointTitle]])&lt;100,0,1)</f>
        <v>0</v>
      </c>
      <c r="K51" s="57">
        <f>(COUNTBLANK(PSPOINTS[[#This Row],[PayScalePointCode]:[RateDateFrom]])+COUNTBLANK(PSPOINTS[[#This Row],[PayScaleRate]]))</f>
        <v>0</v>
      </c>
      <c r="L51" s="120">
        <f>IF(SUBSTITUTE(TEXT(PSPOINTS[[#This Row],[PayScaleCode]],10)," ","")=TEXT(PSPOINTS[[#This Row],[PayScaleCode]],10),0,1)+IF(SUBSTITUTE(TEXT(PSPOINTS[[#This Row],[PayScalePointCode]],10)," ","")=TEXT(PSPOINTS[[#This Row],[PayScalePointCode]],10),0,1)</f>
        <v>0</v>
      </c>
      <c r="M51" s="57">
        <f ca="1">SUM(PSPOINTS[[#This Row],[Scale Point Issue]:[Space in Code]])</f>
        <v>0</v>
      </c>
      <c r="N51" s="57" t="s">
        <v>1137</v>
      </c>
      <c r="P51" s="12" t="s">
        <v>1388</v>
      </c>
      <c r="Q51" s="57" t="str">
        <f>_xlfn.XLOOKUP(PSPOINTS[[#This Row],[PayScaleCode]],'19_PayScales'!N:N,'19_PayScales'!O:O)</f>
        <v>Leadership Group EW</v>
      </c>
      <c r="R51" s="12" t="s">
        <v>1557</v>
      </c>
      <c r="S51" s="12" t="s">
        <v>1557</v>
      </c>
      <c r="T51" s="12">
        <v>15</v>
      </c>
      <c r="U51" s="12" t="b">
        <v>0</v>
      </c>
      <c r="V51" s="12" t="b">
        <v>1</v>
      </c>
      <c r="W51" s="86">
        <v>45901</v>
      </c>
      <c r="Y51" s="14">
        <v>73105</v>
      </c>
    </row>
    <row r="52" spans="1:25" hidden="1" x14ac:dyDescent="0.25">
      <c r="A52" s="158" t="str">
        <f>PSPOINTS[[#This Row],[PayScaleCode]]&amp;PSPOINTS[[#This Row],[RateDateFrom]]</f>
        <v>LS_EW45901</v>
      </c>
      <c r="B52" s="57">
        <f t="shared" si="0"/>
        <v>0</v>
      </c>
      <c r="C52" s="57" t="str">
        <f>PSPOINTS[[#This Row],[PayScaleCode]]&amp;PSPOINTS[[#This Row],[PayScalePointCode]]&amp;PSPOINTS[[#This Row],[RateDateFrom]]</f>
        <v>LS_EWL1645901</v>
      </c>
      <c r="D52" s="57">
        <f>COUNTIF(PSPOINTS[Pay Scale String Duplicates],PSPOINTS[[#This Row],[Pay Scale String Duplicates]])-1</f>
        <v>0</v>
      </c>
      <c r="E52" s="57">
        <f>IF((MONTH(_xlfn.XLOOKUP(PSPOINTS[[#This Row],[PayScaleCode]],'19_PayScales'!N:N,'19_PayScales'!R:R)))=MONTH(PSPOINTS[[#This Row],[RateDateFrom]]),0,1)</f>
        <v>0</v>
      </c>
      <c r="F52" s="57">
        <f>IF(ISBLANK(PSPOINTS[[#This Row],[RateDateTo]]),0,IF(PSPOINTS[[#This Row],[RateDateFrom]]&lt;PSPOINTS[[#This Row],[RateDateTo]],0,1))</f>
        <v>0</v>
      </c>
      <c r="G52" s="57" cm="1">
        <f t="array" aca="1" ref="G52" ca="1">IF(CELL("format",PSPOINTS[[#This Row],[RateDateFrom]])="D1",0,1)+IF(CELL("format",PSPOINTS[[#This Row],[RateDateTo]])="D1",0,1)</f>
        <v>0</v>
      </c>
      <c r="H52" s="57">
        <f>IF(OR(PSPOINTS[[#This Row],[Hourly]]=TRUE,PSPOINTS[[#This Row],[Hourly]]=FALSE),IF(OR(PSPOINTS[[#This Row],[PayScalePointEnabled]]=TRUE,PSPOINTS[[#This Row],[PayScalePointEnabled]]=FALSE),0,1),1)</f>
        <v>0</v>
      </c>
      <c r="I52" s="57">
        <f>IF(LEN(PSPOINTS[[#This Row],[PayScalePointCode]])&lt;100,0,1)</f>
        <v>0</v>
      </c>
      <c r="J52" s="57">
        <f>IF(LEN(PSPOINTS[[#This Row],[PayScalePointTitle]])&lt;100,0,1)</f>
        <v>0</v>
      </c>
      <c r="K52" s="57">
        <f>(COUNTBLANK(PSPOINTS[[#This Row],[PayScalePointCode]:[RateDateFrom]])+COUNTBLANK(PSPOINTS[[#This Row],[PayScaleRate]]))</f>
        <v>0</v>
      </c>
      <c r="L52" s="120">
        <f>IF(SUBSTITUTE(TEXT(PSPOINTS[[#This Row],[PayScaleCode]],10)," ","")=TEXT(PSPOINTS[[#This Row],[PayScaleCode]],10),0,1)+IF(SUBSTITUTE(TEXT(PSPOINTS[[#This Row],[PayScalePointCode]],10)," ","")=TEXT(PSPOINTS[[#This Row],[PayScalePointCode]],10),0,1)</f>
        <v>0</v>
      </c>
      <c r="M52" s="57">
        <f ca="1">SUM(PSPOINTS[[#This Row],[Scale Point Issue]:[Space in Code]])</f>
        <v>0</v>
      </c>
      <c r="N52" s="57" t="s">
        <v>1137</v>
      </c>
      <c r="P52" s="12" t="s">
        <v>1388</v>
      </c>
      <c r="Q52" s="57" t="str">
        <f>_xlfn.XLOOKUP(PSPOINTS[[#This Row],[PayScaleCode]],'19_PayScales'!N:N,'19_PayScales'!O:O)</f>
        <v>Leadership Group EW</v>
      </c>
      <c r="R52" s="12" t="s">
        <v>1558</v>
      </c>
      <c r="S52" s="12" t="s">
        <v>1558</v>
      </c>
      <c r="T52" s="12">
        <v>16</v>
      </c>
      <c r="U52" s="12" t="b">
        <v>0</v>
      </c>
      <c r="V52" s="12" t="b">
        <v>1</v>
      </c>
      <c r="W52" s="86">
        <v>45901</v>
      </c>
      <c r="Y52" s="14">
        <v>75049</v>
      </c>
    </row>
    <row r="53" spans="1:25" hidden="1" x14ac:dyDescent="0.25">
      <c r="A53" s="158" t="str">
        <f>PSPOINTS[[#This Row],[PayScaleCode]]&amp;PSPOINTS[[#This Row],[RateDateFrom]]</f>
        <v>LS_EW45901</v>
      </c>
      <c r="B53" s="57">
        <f t="shared" si="0"/>
        <v>0</v>
      </c>
      <c r="C53" s="57" t="str">
        <f>PSPOINTS[[#This Row],[PayScaleCode]]&amp;PSPOINTS[[#This Row],[PayScalePointCode]]&amp;PSPOINTS[[#This Row],[RateDateFrom]]</f>
        <v>LS_EWL1745901</v>
      </c>
      <c r="D53" s="57">
        <f>COUNTIF(PSPOINTS[Pay Scale String Duplicates],PSPOINTS[[#This Row],[Pay Scale String Duplicates]])-1</f>
        <v>0</v>
      </c>
      <c r="E53" s="57">
        <f>IF((MONTH(_xlfn.XLOOKUP(PSPOINTS[[#This Row],[PayScaleCode]],'19_PayScales'!N:N,'19_PayScales'!R:R)))=MONTH(PSPOINTS[[#This Row],[RateDateFrom]]),0,1)</f>
        <v>0</v>
      </c>
      <c r="F53" s="57">
        <f>IF(ISBLANK(PSPOINTS[[#This Row],[RateDateTo]]),0,IF(PSPOINTS[[#This Row],[RateDateFrom]]&lt;PSPOINTS[[#This Row],[RateDateTo]],0,1))</f>
        <v>0</v>
      </c>
      <c r="G53" s="57" cm="1">
        <f t="array" aca="1" ref="G53" ca="1">IF(CELL("format",PSPOINTS[[#This Row],[RateDateFrom]])="D1",0,1)+IF(CELL("format",PSPOINTS[[#This Row],[RateDateTo]])="D1",0,1)</f>
        <v>0</v>
      </c>
      <c r="H53" s="57">
        <f>IF(OR(PSPOINTS[[#This Row],[Hourly]]=TRUE,PSPOINTS[[#This Row],[Hourly]]=FALSE),IF(OR(PSPOINTS[[#This Row],[PayScalePointEnabled]]=TRUE,PSPOINTS[[#This Row],[PayScalePointEnabled]]=FALSE),0,1),1)</f>
        <v>0</v>
      </c>
      <c r="I53" s="57">
        <f>IF(LEN(PSPOINTS[[#This Row],[PayScalePointCode]])&lt;100,0,1)</f>
        <v>0</v>
      </c>
      <c r="J53" s="57">
        <f>IF(LEN(PSPOINTS[[#This Row],[PayScalePointTitle]])&lt;100,0,1)</f>
        <v>0</v>
      </c>
      <c r="K53" s="57">
        <f>(COUNTBLANK(PSPOINTS[[#This Row],[PayScalePointCode]:[RateDateFrom]])+COUNTBLANK(PSPOINTS[[#This Row],[PayScaleRate]]))</f>
        <v>0</v>
      </c>
      <c r="L53" s="120">
        <f>IF(SUBSTITUTE(TEXT(PSPOINTS[[#This Row],[PayScaleCode]],10)," ","")=TEXT(PSPOINTS[[#This Row],[PayScaleCode]],10),0,1)+IF(SUBSTITUTE(TEXT(PSPOINTS[[#This Row],[PayScalePointCode]],10)," ","")=TEXT(PSPOINTS[[#This Row],[PayScalePointCode]],10),0,1)</f>
        <v>0</v>
      </c>
      <c r="M53" s="57">
        <f ca="1">SUM(PSPOINTS[[#This Row],[Scale Point Issue]:[Space in Code]])</f>
        <v>0</v>
      </c>
      <c r="N53" s="57" t="s">
        <v>1137</v>
      </c>
      <c r="P53" s="12" t="s">
        <v>1388</v>
      </c>
      <c r="Q53" s="57" t="str">
        <f>_xlfn.XLOOKUP(PSPOINTS[[#This Row],[PayScaleCode]],'19_PayScales'!N:N,'19_PayScales'!O:O)</f>
        <v>Leadership Group EW</v>
      </c>
      <c r="R53" s="12" t="s">
        <v>1559</v>
      </c>
      <c r="S53" s="12" t="s">
        <v>1559</v>
      </c>
      <c r="T53" s="12">
        <v>17</v>
      </c>
      <c r="U53" s="12" t="b">
        <v>0</v>
      </c>
      <c r="V53" s="12" t="b">
        <v>1</v>
      </c>
      <c r="W53" s="86">
        <v>45901</v>
      </c>
      <c r="Y53" s="14">
        <v>76772</v>
      </c>
    </row>
    <row r="54" spans="1:25" hidden="1" x14ac:dyDescent="0.25">
      <c r="A54" s="158" t="str">
        <f>PSPOINTS[[#This Row],[PayScaleCode]]&amp;PSPOINTS[[#This Row],[RateDateFrom]]</f>
        <v>LS_EW45901</v>
      </c>
      <c r="B54" s="57">
        <f t="shared" si="0"/>
        <v>0</v>
      </c>
      <c r="C54" s="57" t="str">
        <f>PSPOINTS[[#This Row],[PayScaleCode]]&amp;PSPOINTS[[#This Row],[PayScalePointCode]]&amp;PSPOINTS[[#This Row],[RateDateFrom]]</f>
        <v>LS_EWL1845901</v>
      </c>
      <c r="D54" s="57">
        <f>COUNTIF(PSPOINTS[Pay Scale String Duplicates],PSPOINTS[[#This Row],[Pay Scale String Duplicates]])-1</f>
        <v>0</v>
      </c>
      <c r="E54" s="57">
        <f>IF((MONTH(_xlfn.XLOOKUP(PSPOINTS[[#This Row],[PayScaleCode]],'19_PayScales'!N:N,'19_PayScales'!R:R)))=MONTH(PSPOINTS[[#This Row],[RateDateFrom]]),0,1)</f>
        <v>0</v>
      </c>
      <c r="F54" s="57">
        <f>IF(ISBLANK(PSPOINTS[[#This Row],[RateDateTo]]),0,IF(PSPOINTS[[#This Row],[RateDateFrom]]&lt;PSPOINTS[[#This Row],[RateDateTo]],0,1))</f>
        <v>0</v>
      </c>
      <c r="G54" s="57" cm="1">
        <f t="array" aca="1" ref="G54" ca="1">IF(CELL("format",PSPOINTS[[#This Row],[RateDateFrom]])="D1",0,1)+IF(CELL("format",PSPOINTS[[#This Row],[RateDateTo]])="D1",0,1)</f>
        <v>0</v>
      </c>
      <c r="H54" s="57">
        <f>IF(OR(PSPOINTS[[#This Row],[Hourly]]=TRUE,PSPOINTS[[#This Row],[Hourly]]=FALSE),IF(OR(PSPOINTS[[#This Row],[PayScalePointEnabled]]=TRUE,PSPOINTS[[#This Row],[PayScalePointEnabled]]=FALSE),0,1),1)</f>
        <v>0</v>
      </c>
      <c r="I54" s="57">
        <f>IF(LEN(PSPOINTS[[#This Row],[PayScalePointCode]])&lt;100,0,1)</f>
        <v>0</v>
      </c>
      <c r="J54" s="57">
        <f>IF(LEN(PSPOINTS[[#This Row],[PayScalePointTitle]])&lt;100,0,1)</f>
        <v>0</v>
      </c>
      <c r="K54" s="57">
        <f>(COUNTBLANK(PSPOINTS[[#This Row],[PayScalePointCode]:[RateDateFrom]])+COUNTBLANK(PSPOINTS[[#This Row],[PayScaleRate]]))</f>
        <v>0</v>
      </c>
      <c r="L54" s="120">
        <f>IF(SUBSTITUTE(TEXT(PSPOINTS[[#This Row],[PayScaleCode]],10)," ","")=TEXT(PSPOINTS[[#This Row],[PayScaleCode]],10),0,1)+IF(SUBSTITUTE(TEXT(PSPOINTS[[#This Row],[PayScalePointCode]],10)," ","")=TEXT(PSPOINTS[[#This Row],[PayScalePointCode]],10),0,1)</f>
        <v>0</v>
      </c>
      <c r="M54" s="57">
        <f ca="1">SUM(PSPOINTS[[#This Row],[Scale Point Issue]:[Space in Code]])</f>
        <v>0</v>
      </c>
      <c r="N54" s="57" t="s">
        <v>1137</v>
      </c>
      <c r="P54" s="12" t="s">
        <v>1388</v>
      </c>
      <c r="Q54" s="57" t="str">
        <f>_xlfn.XLOOKUP(PSPOINTS[[#This Row],[PayScaleCode]],'19_PayScales'!N:N,'19_PayScales'!O:O)</f>
        <v>Leadership Group EW</v>
      </c>
      <c r="R54" s="12" t="s">
        <v>1560</v>
      </c>
      <c r="S54" s="12" t="s">
        <v>1560</v>
      </c>
      <c r="T54" s="12">
        <v>18</v>
      </c>
      <c r="U54" s="12" t="b">
        <v>0</v>
      </c>
      <c r="V54" s="12" t="b">
        <v>1</v>
      </c>
      <c r="W54" s="86">
        <v>45901</v>
      </c>
      <c r="Y54" s="14">
        <v>78702</v>
      </c>
    </row>
    <row r="55" spans="1:25" hidden="1" x14ac:dyDescent="0.25">
      <c r="A55" s="158" t="str">
        <f>PSPOINTS[[#This Row],[PayScaleCode]]&amp;PSPOINTS[[#This Row],[RateDateFrom]]</f>
        <v>LS_EW45901</v>
      </c>
      <c r="B55" s="57">
        <f t="shared" si="0"/>
        <v>0</v>
      </c>
      <c r="C55" s="57" t="str">
        <f>PSPOINTS[[#This Row],[PayScaleCode]]&amp;PSPOINTS[[#This Row],[PayScalePointCode]]&amp;PSPOINTS[[#This Row],[RateDateFrom]]</f>
        <v>LS_EWL1945901</v>
      </c>
      <c r="D55" s="57">
        <f>COUNTIF(PSPOINTS[Pay Scale String Duplicates],PSPOINTS[[#This Row],[Pay Scale String Duplicates]])-1</f>
        <v>0</v>
      </c>
      <c r="E55" s="57">
        <f>IF((MONTH(_xlfn.XLOOKUP(PSPOINTS[[#This Row],[PayScaleCode]],'19_PayScales'!N:N,'19_PayScales'!R:R)))=MONTH(PSPOINTS[[#This Row],[RateDateFrom]]),0,1)</f>
        <v>0</v>
      </c>
      <c r="F55" s="57">
        <f>IF(ISBLANK(PSPOINTS[[#This Row],[RateDateTo]]),0,IF(PSPOINTS[[#This Row],[RateDateFrom]]&lt;PSPOINTS[[#This Row],[RateDateTo]],0,1))</f>
        <v>0</v>
      </c>
      <c r="G55" s="57" cm="1">
        <f t="array" aca="1" ref="G55" ca="1">IF(CELL("format",PSPOINTS[[#This Row],[RateDateFrom]])="D1",0,1)+IF(CELL("format",PSPOINTS[[#This Row],[RateDateTo]])="D1",0,1)</f>
        <v>0</v>
      </c>
      <c r="H55" s="57">
        <f>IF(OR(PSPOINTS[[#This Row],[Hourly]]=TRUE,PSPOINTS[[#This Row],[Hourly]]=FALSE),IF(OR(PSPOINTS[[#This Row],[PayScalePointEnabled]]=TRUE,PSPOINTS[[#This Row],[PayScalePointEnabled]]=FALSE),0,1),1)</f>
        <v>0</v>
      </c>
      <c r="I55" s="57">
        <f>IF(LEN(PSPOINTS[[#This Row],[PayScalePointCode]])&lt;100,0,1)</f>
        <v>0</v>
      </c>
      <c r="J55" s="57">
        <f>IF(LEN(PSPOINTS[[#This Row],[PayScalePointTitle]])&lt;100,0,1)</f>
        <v>0</v>
      </c>
      <c r="K55" s="57">
        <f>(COUNTBLANK(PSPOINTS[[#This Row],[PayScalePointCode]:[RateDateFrom]])+COUNTBLANK(PSPOINTS[[#This Row],[PayScaleRate]]))</f>
        <v>0</v>
      </c>
      <c r="L55" s="120">
        <f>IF(SUBSTITUTE(TEXT(PSPOINTS[[#This Row],[PayScaleCode]],10)," ","")=TEXT(PSPOINTS[[#This Row],[PayScaleCode]],10),0,1)+IF(SUBSTITUTE(TEXT(PSPOINTS[[#This Row],[PayScalePointCode]],10)," ","")=TEXT(PSPOINTS[[#This Row],[PayScalePointCode]],10),0,1)</f>
        <v>0</v>
      </c>
      <c r="M55" s="57">
        <f ca="1">SUM(PSPOINTS[[#This Row],[Scale Point Issue]:[Space in Code]])</f>
        <v>0</v>
      </c>
      <c r="N55" s="57" t="s">
        <v>1137</v>
      </c>
      <c r="P55" s="12" t="s">
        <v>1388</v>
      </c>
      <c r="Q55" s="57" t="str">
        <f>_xlfn.XLOOKUP(PSPOINTS[[#This Row],[PayScaleCode]],'19_PayScales'!N:N,'19_PayScales'!O:O)</f>
        <v>Leadership Group EW</v>
      </c>
      <c r="R55" s="12" t="s">
        <v>1561</v>
      </c>
      <c r="S55" s="12" t="s">
        <v>1561</v>
      </c>
      <c r="T55" s="12">
        <v>19</v>
      </c>
      <c r="U55" s="12" t="b">
        <v>0</v>
      </c>
      <c r="V55" s="12" t="b">
        <v>1</v>
      </c>
      <c r="W55" s="86">
        <v>45901</v>
      </c>
      <c r="Y55" s="14">
        <v>80655</v>
      </c>
    </row>
    <row r="56" spans="1:25" hidden="1" x14ac:dyDescent="0.25">
      <c r="A56" s="158" t="str">
        <f>PSPOINTS[[#This Row],[PayScaleCode]]&amp;PSPOINTS[[#This Row],[RateDateFrom]]</f>
        <v>LS_EW45901</v>
      </c>
      <c r="B56" s="57">
        <f t="shared" si="0"/>
        <v>0</v>
      </c>
      <c r="C56" s="57" t="str">
        <f>PSPOINTS[[#This Row],[PayScaleCode]]&amp;PSPOINTS[[#This Row],[PayScalePointCode]]&amp;PSPOINTS[[#This Row],[RateDateFrom]]</f>
        <v>LS_EWL2045901</v>
      </c>
      <c r="D56" s="57">
        <f>COUNTIF(PSPOINTS[Pay Scale String Duplicates],PSPOINTS[[#This Row],[Pay Scale String Duplicates]])-1</f>
        <v>0</v>
      </c>
      <c r="E56" s="57">
        <f>IF((MONTH(_xlfn.XLOOKUP(PSPOINTS[[#This Row],[PayScaleCode]],'19_PayScales'!N:N,'19_PayScales'!R:R)))=MONTH(PSPOINTS[[#This Row],[RateDateFrom]]),0,1)</f>
        <v>0</v>
      </c>
      <c r="F56" s="57">
        <f>IF(ISBLANK(PSPOINTS[[#This Row],[RateDateTo]]),0,IF(PSPOINTS[[#This Row],[RateDateFrom]]&lt;PSPOINTS[[#This Row],[RateDateTo]],0,1))</f>
        <v>0</v>
      </c>
      <c r="G56" s="57" cm="1">
        <f t="array" aca="1" ref="G56" ca="1">IF(CELL("format",PSPOINTS[[#This Row],[RateDateFrom]])="D1",0,1)+IF(CELL("format",PSPOINTS[[#This Row],[RateDateTo]])="D1",0,1)</f>
        <v>0</v>
      </c>
      <c r="H56" s="57">
        <f>IF(OR(PSPOINTS[[#This Row],[Hourly]]=TRUE,PSPOINTS[[#This Row],[Hourly]]=FALSE),IF(OR(PSPOINTS[[#This Row],[PayScalePointEnabled]]=TRUE,PSPOINTS[[#This Row],[PayScalePointEnabled]]=FALSE),0,1),1)</f>
        <v>0</v>
      </c>
      <c r="I56" s="57">
        <f>IF(LEN(PSPOINTS[[#This Row],[PayScalePointCode]])&lt;100,0,1)</f>
        <v>0</v>
      </c>
      <c r="J56" s="57">
        <f>IF(LEN(PSPOINTS[[#This Row],[PayScalePointTitle]])&lt;100,0,1)</f>
        <v>0</v>
      </c>
      <c r="K56" s="57">
        <f>(COUNTBLANK(PSPOINTS[[#This Row],[PayScalePointCode]:[RateDateFrom]])+COUNTBLANK(PSPOINTS[[#This Row],[PayScaleRate]]))</f>
        <v>0</v>
      </c>
      <c r="L56" s="120">
        <f>IF(SUBSTITUTE(TEXT(PSPOINTS[[#This Row],[PayScaleCode]],10)," ","")=TEXT(PSPOINTS[[#This Row],[PayScaleCode]],10),0,1)+IF(SUBSTITUTE(TEXT(PSPOINTS[[#This Row],[PayScalePointCode]],10)," ","")=TEXT(PSPOINTS[[#This Row],[PayScalePointCode]],10),0,1)</f>
        <v>0</v>
      </c>
      <c r="M56" s="57">
        <f ca="1">SUM(PSPOINTS[[#This Row],[Scale Point Issue]:[Space in Code]])</f>
        <v>0</v>
      </c>
      <c r="N56" s="57" t="s">
        <v>1137</v>
      </c>
      <c r="P56" s="12" t="s">
        <v>1388</v>
      </c>
      <c r="Q56" s="57" t="str">
        <f>_xlfn.XLOOKUP(PSPOINTS[[#This Row],[PayScaleCode]],'19_PayScales'!N:N,'19_PayScales'!O:O)</f>
        <v>Leadership Group EW</v>
      </c>
      <c r="R56" s="12" t="s">
        <v>1562</v>
      </c>
      <c r="S56" s="12" t="s">
        <v>1562</v>
      </c>
      <c r="T56" s="12">
        <v>20</v>
      </c>
      <c r="U56" s="12" t="b">
        <v>0</v>
      </c>
      <c r="V56" s="12" t="b">
        <v>1</v>
      </c>
      <c r="W56" s="86">
        <v>45901</v>
      </c>
      <c r="Y56" s="14">
        <v>82654</v>
      </c>
    </row>
    <row r="57" spans="1:25" hidden="1" x14ac:dyDescent="0.25">
      <c r="A57" s="158" t="str">
        <f>PSPOINTS[[#This Row],[PayScaleCode]]&amp;PSPOINTS[[#This Row],[RateDateFrom]]</f>
        <v>LS_EW45901</v>
      </c>
      <c r="B57" s="57">
        <f t="shared" si="0"/>
        <v>0</v>
      </c>
      <c r="C57" s="57" t="str">
        <f>PSPOINTS[[#This Row],[PayScaleCode]]&amp;PSPOINTS[[#This Row],[PayScalePointCode]]&amp;PSPOINTS[[#This Row],[RateDateFrom]]</f>
        <v>LS_EWL2145901</v>
      </c>
      <c r="D57" s="57">
        <f>COUNTIF(PSPOINTS[Pay Scale String Duplicates],PSPOINTS[[#This Row],[Pay Scale String Duplicates]])-1</f>
        <v>0</v>
      </c>
      <c r="E57" s="57">
        <f>IF((MONTH(_xlfn.XLOOKUP(PSPOINTS[[#This Row],[PayScaleCode]],'19_PayScales'!N:N,'19_PayScales'!R:R)))=MONTH(PSPOINTS[[#This Row],[RateDateFrom]]),0,1)</f>
        <v>0</v>
      </c>
      <c r="F57" s="57">
        <f>IF(ISBLANK(PSPOINTS[[#This Row],[RateDateTo]]),0,IF(PSPOINTS[[#This Row],[RateDateFrom]]&lt;PSPOINTS[[#This Row],[RateDateTo]],0,1))</f>
        <v>0</v>
      </c>
      <c r="G57" s="57" cm="1">
        <f t="array" aca="1" ref="G57" ca="1">IF(CELL("format",PSPOINTS[[#This Row],[RateDateFrom]])="D1",0,1)+IF(CELL("format",PSPOINTS[[#This Row],[RateDateTo]])="D1",0,1)</f>
        <v>0</v>
      </c>
      <c r="H57" s="57">
        <f>IF(OR(PSPOINTS[[#This Row],[Hourly]]=TRUE,PSPOINTS[[#This Row],[Hourly]]=FALSE),IF(OR(PSPOINTS[[#This Row],[PayScalePointEnabled]]=TRUE,PSPOINTS[[#This Row],[PayScalePointEnabled]]=FALSE),0,1),1)</f>
        <v>0</v>
      </c>
      <c r="I57" s="57">
        <f>IF(LEN(PSPOINTS[[#This Row],[PayScalePointCode]])&lt;100,0,1)</f>
        <v>0</v>
      </c>
      <c r="J57" s="57">
        <f>IF(LEN(PSPOINTS[[#This Row],[PayScalePointTitle]])&lt;100,0,1)</f>
        <v>0</v>
      </c>
      <c r="K57" s="57">
        <f>(COUNTBLANK(PSPOINTS[[#This Row],[PayScalePointCode]:[RateDateFrom]])+COUNTBLANK(PSPOINTS[[#This Row],[PayScaleRate]]))</f>
        <v>0</v>
      </c>
      <c r="L57" s="120">
        <f>IF(SUBSTITUTE(TEXT(PSPOINTS[[#This Row],[PayScaleCode]],10)," ","")=TEXT(PSPOINTS[[#This Row],[PayScaleCode]],10),0,1)+IF(SUBSTITUTE(TEXT(PSPOINTS[[#This Row],[PayScalePointCode]],10)," ","")=TEXT(PSPOINTS[[#This Row],[PayScalePointCode]],10),0,1)</f>
        <v>0</v>
      </c>
      <c r="M57" s="57">
        <f ca="1">SUM(PSPOINTS[[#This Row],[Scale Point Issue]:[Space in Code]])</f>
        <v>0</v>
      </c>
      <c r="N57" s="57" t="s">
        <v>1137</v>
      </c>
      <c r="P57" s="12" t="s">
        <v>1388</v>
      </c>
      <c r="Q57" s="57" t="str">
        <f>_xlfn.XLOOKUP(PSPOINTS[[#This Row],[PayScaleCode]],'19_PayScales'!N:N,'19_PayScales'!O:O)</f>
        <v>Leadership Group EW</v>
      </c>
      <c r="R57" s="12" t="s">
        <v>1563</v>
      </c>
      <c r="S57" s="12" t="s">
        <v>1563</v>
      </c>
      <c r="T57" s="12">
        <v>21</v>
      </c>
      <c r="U57" s="12" t="b">
        <v>0</v>
      </c>
      <c r="V57" s="12" t="b">
        <v>1</v>
      </c>
      <c r="W57" s="86">
        <v>45901</v>
      </c>
      <c r="Y57" s="14">
        <v>84699</v>
      </c>
    </row>
    <row r="58" spans="1:25" hidden="1" x14ac:dyDescent="0.25">
      <c r="A58" s="158" t="str">
        <f>PSPOINTS[[#This Row],[PayScaleCode]]&amp;PSPOINTS[[#This Row],[RateDateFrom]]</f>
        <v>LS_EW45901</v>
      </c>
      <c r="B58" s="57">
        <f t="shared" si="0"/>
        <v>0</v>
      </c>
      <c r="C58" s="57" t="str">
        <f>PSPOINTS[[#This Row],[PayScaleCode]]&amp;PSPOINTS[[#This Row],[PayScalePointCode]]&amp;PSPOINTS[[#This Row],[RateDateFrom]]</f>
        <v>LS_EWL2245901</v>
      </c>
      <c r="D58" s="57">
        <f>COUNTIF(PSPOINTS[Pay Scale String Duplicates],PSPOINTS[[#This Row],[Pay Scale String Duplicates]])-1</f>
        <v>0</v>
      </c>
      <c r="E58" s="57">
        <f>IF((MONTH(_xlfn.XLOOKUP(PSPOINTS[[#This Row],[PayScaleCode]],'19_PayScales'!N:N,'19_PayScales'!R:R)))=MONTH(PSPOINTS[[#This Row],[RateDateFrom]]),0,1)</f>
        <v>0</v>
      </c>
      <c r="F58" s="57">
        <f>IF(ISBLANK(PSPOINTS[[#This Row],[RateDateTo]]),0,IF(PSPOINTS[[#This Row],[RateDateFrom]]&lt;PSPOINTS[[#This Row],[RateDateTo]],0,1))</f>
        <v>0</v>
      </c>
      <c r="G58" s="57" cm="1">
        <f t="array" aca="1" ref="G58" ca="1">IF(CELL("format",PSPOINTS[[#This Row],[RateDateFrom]])="D1",0,1)+IF(CELL("format",PSPOINTS[[#This Row],[RateDateTo]])="D1",0,1)</f>
        <v>0</v>
      </c>
      <c r="H58" s="57">
        <f>IF(OR(PSPOINTS[[#This Row],[Hourly]]=TRUE,PSPOINTS[[#This Row],[Hourly]]=FALSE),IF(OR(PSPOINTS[[#This Row],[PayScalePointEnabled]]=TRUE,PSPOINTS[[#This Row],[PayScalePointEnabled]]=FALSE),0,1),1)</f>
        <v>0</v>
      </c>
      <c r="I58" s="57">
        <f>IF(LEN(PSPOINTS[[#This Row],[PayScalePointCode]])&lt;100,0,1)</f>
        <v>0</v>
      </c>
      <c r="J58" s="57">
        <f>IF(LEN(PSPOINTS[[#This Row],[PayScalePointTitle]])&lt;100,0,1)</f>
        <v>0</v>
      </c>
      <c r="K58" s="57">
        <f>(COUNTBLANK(PSPOINTS[[#This Row],[PayScalePointCode]:[RateDateFrom]])+COUNTBLANK(PSPOINTS[[#This Row],[PayScaleRate]]))</f>
        <v>0</v>
      </c>
      <c r="L58" s="120">
        <f>IF(SUBSTITUTE(TEXT(PSPOINTS[[#This Row],[PayScaleCode]],10)," ","")=TEXT(PSPOINTS[[#This Row],[PayScaleCode]],10),0,1)+IF(SUBSTITUTE(TEXT(PSPOINTS[[#This Row],[PayScalePointCode]],10)," ","")=TEXT(PSPOINTS[[#This Row],[PayScalePointCode]],10),0,1)</f>
        <v>0</v>
      </c>
      <c r="M58" s="57">
        <f ca="1">SUM(PSPOINTS[[#This Row],[Scale Point Issue]:[Space in Code]])</f>
        <v>0</v>
      </c>
      <c r="N58" s="57" t="s">
        <v>1137</v>
      </c>
      <c r="P58" s="12" t="s">
        <v>1388</v>
      </c>
      <c r="Q58" s="57" t="str">
        <f>_xlfn.XLOOKUP(PSPOINTS[[#This Row],[PayScaleCode]],'19_PayScales'!N:N,'19_PayScales'!O:O)</f>
        <v>Leadership Group EW</v>
      </c>
      <c r="R58" s="12" t="s">
        <v>1564</v>
      </c>
      <c r="S58" s="12" t="s">
        <v>1564</v>
      </c>
      <c r="T58" s="12">
        <v>22</v>
      </c>
      <c r="U58" s="12" t="b">
        <v>0</v>
      </c>
      <c r="V58" s="12" t="b">
        <v>1</v>
      </c>
      <c r="W58" s="86">
        <v>45901</v>
      </c>
      <c r="Y58" s="14">
        <v>86803</v>
      </c>
    </row>
    <row r="59" spans="1:25" hidden="1" x14ac:dyDescent="0.25">
      <c r="A59" s="158" t="str">
        <f>PSPOINTS[[#This Row],[PayScaleCode]]&amp;PSPOINTS[[#This Row],[RateDateFrom]]</f>
        <v>LS_EW45901</v>
      </c>
      <c r="B59" s="57">
        <f t="shared" si="0"/>
        <v>0</v>
      </c>
      <c r="C59" s="57" t="str">
        <f>PSPOINTS[[#This Row],[PayScaleCode]]&amp;PSPOINTS[[#This Row],[PayScalePointCode]]&amp;PSPOINTS[[#This Row],[RateDateFrom]]</f>
        <v>LS_EWL2345901</v>
      </c>
      <c r="D59" s="57">
        <f>COUNTIF(PSPOINTS[Pay Scale String Duplicates],PSPOINTS[[#This Row],[Pay Scale String Duplicates]])-1</f>
        <v>0</v>
      </c>
      <c r="E59" s="57">
        <f>IF((MONTH(_xlfn.XLOOKUP(PSPOINTS[[#This Row],[PayScaleCode]],'19_PayScales'!N:N,'19_PayScales'!R:R)))=MONTH(PSPOINTS[[#This Row],[RateDateFrom]]),0,1)</f>
        <v>0</v>
      </c>
      <c r="F59" s="57">
        <f>IF(ISBLANK(PSPOINTS[[#This Row],[RateDateTo]]),0,IF(PSPOINTS[[#This Row],[RateDateFrom]]&lt;PSPOINTS[[#This Row],[RateDateTo]],0,1))</f>
        <v>0</v>
      </c>
      <c r="G59" s="57" cm="1">
        <f t="array" aca="1" ref="G59" ca="1">IF(CELL("format",PSPOINTS[[#This Row],[RateDateFrom]])="D1",0,1)+IF(CELL("format",PSPOINTS[[#This Row],[RateDateTo]])="D1",0,1)</f>
        <v>0</v>
      </c>
      <c r="H59" s="57">
        <f>IF(OR(PSPOINTS[[#This Row],[Hourly]]=TRUE,PSPOINTS[[#This Row],[Hourly]]=FALSE),IF(OR(PSPOINTS[[#This Row],[PayScalePointEnabled]]=TRUE,PSPOINTS[[#This Row],[PayScalePointEnabled]]=FALSE),0,1),1)</f>
        <v>0</v>
      </c>
      <c r="I59" s="57">
        <f>IF(LEN(PSPOINTS[[#This Row],[PayScalePointCode]])&lt;100,0,1)</f>
        <v>0</v>
      </c>
      <c r="J59" s="57">
        <f>IF(LEN(PSPOINTS[[#This Row],[PayScalePointTitle]])&lt;100,0,1)</f>
        <v>0</v>
      </c>
      <c r="K59" s="57">
        <f>(COUNTBLANK(PSPOINTS[[#This Row],[PayScalePointCode]:[RateDateFrom]])+COUNTBLANK(PSPOINTS[[#This Row],[PayScaleRate]]))</f>
        <v>0</v>
      </c>
      <c r="L59" s="120">
        <f>IF(SUBSTITUTE(TEXT(PSPOINTS[[#This Row],[PayScaleCode]],10)," ","")=TEXT(PSPOINTS[[#This Row],[PayScaleCode]],10),0,1)+IF(SUBSTITUTE(TEXT(PSPOINTS[[#This Row],[PayScalePointCode]],10)," ","")=TEXT(PSPOINTS[[#This Row],[PayScalePointCode]],10),0,1)</f>
        <v>0</v>
      </c>
      <c r="M59" s="57">
        <f ca="1">SUM(PSPOINTS[[#This Row],[Scale Point Issue]:[Space in Code]])</f>
        <v>0</v>
      </c>
      <c r="N59" s="57" t="s">
        <v>1137</v>
      </c>
      <c r="P59" s="12" t="s">
        <v>1388</v>
      </c>
      <c r="Q59" s="57" t="str">
        <f>_xlfn.XLOOKUP(PSPOINTS[[#This Row],[PayScaleCode]],'19_PayScales'!N:N,'19_PayScales'!O:O)</f>
        <v>Leadership Group EW</v>
      </c>
      <c r="R59" s="12" t="s">
        <v>1565</v>
      </c>
      <c r="S59" s="12" t="s">
        <v>1565</v>
      </c>
      <c r="T59" s="12">
        <v>23</v>
      </c>
      <c r="U59" s="12" t="b">
        <v>0</v>
      </c>
      <c r="V59" s="12" t="b">
        <v>1</v>
      </c>
      <c r="W59" s="86">
        <v>45901</v>
      </c>
      <c r="Y59" s="14">
        <v>88951</v>
      </c>
    </row>
    <row r="60" spans="1:25" hidden="1" x14ac:dyDescent="0.25">
      <c r="A60" s="158" t="str">
        <f>PSPOINTS[[#This Row],[PayScaleCode]]&amp;PSPOINTS[[#This Row],[RateDateFrom]]</f>
        <v>LS_EW45901</v>
      </c>
      <c r="B60" s="57">
        <f t="shared" si="0"/>
        <v>0</v>
      </c>
      <c r="C60" s="57" t="str">
        <f>PSPOINTS[[#This Row],[PayScaleCode]]&amp;PSPOINTS[[#This Row],[PayScalePointCode]]&amp;PSPOINTS[[#This Row],[RateDateFrom]]</f>
        <v>LS_EWL2445901</v>
      </c>
      <c r="D60" s="57">
        <f>COUNTIF(PSPOINTS[Pay Scale String Duplicates],PSPOINTS[[#This Row],[Pay Scale String Duplicates]])-1</f>
        <v>0</v>
      </c>
      <c r="E60" s="57">
        <f>IF((MONTH(_xlfn.XLOOKUP(PSPOINTS[[#This Row],[PayScaleCode]],'19_PayScales'!N:N,'19_PayScales'!R:R)))=MONTH(PSPOINTS[[#This Row],[RateDateFrom]]),0,1)</f>
        <v>0</v>
      </c>
      <c r="F60" s="57">
        <f>IF(ISBLANK(PSPOINTS[[#This Row],[RateDateTo]]),0,IF(PSPOINTS[[#This Row],[RateDateFrom]]&lt;PSPOINTS[[#This Row],[RateDateTo]],0,1))</f>
        <v>0</v>
      </c>
      <c r="G60" s="57" cm="1">
        <f t="array" aca="1" ref="G60" ca="1">IF(CELL("format",PSPOINTS[[#This Row],[RateDateFrom]])="D1",0,1)+IF(CELL("format",PSPOINTS[[#This Row],[RateDateTo]])="D1",0,1)</f>
        <v>0</v>
      </c>
      <c r="H60" s="57">
        <f>IF(OR(PSPOINTS[[#This Row],[Hourly]]=TRUE,PSPOINTS[[#This Row],[Hourly]]=FALSE),IF(OR(PSPOINTS[[#This Row],[PayScalePointEnabled]]=TRUE,PSPOINTS[[#This Row],[PayScalePointEnabled]]=FALSE),0,1),1)</f>
        <v>0</v>
      </c>
      <c r="I60" s="57">
        <f>IF(LEN(PSPOINTS[[#This Row],[PayScalePointCode]])&lt;100,0,1)</f>
        <v>0</v>
      </c>
      <c r="J60" s="57">
        <f>IF(LEN(PSPOINTS[[#This Row],[PayScalePointTitle]])&lt;100,0,1)</f>
        <v>0</v>
      </c>
      <c r="K60" s="57">
        <f>(COUNTBLANK(PSPOINTS[[#This Row],[PayScalePointCode]:[RateDateFrom]])+COUNTBLANK(PSPOINTS[[#This Row],[PayScaleRate]]))</f>
        <v>0</v>
      </c>
      <c r="L60" s="120">
        <f>IF(SUBSTITUTE(TEXT(PSPOINTS[[#This Row],[PayScaleCode]],10)," ","")=TEXT(PSPOINTS[[#This Row],[PayScaleCode]],10),0,1)+IF(SUBSTITUTE(TEXT(PSPOINTS[[#This Row],[PayScalePointCode]],10)," ","")=TEXT(PSPOINTS[[#This Row],[PayScalePointCode]],10),0,1)</f>
        <v>0</v>
      </c>
      <c r="M60" s="57">
        <f ca="1">SUM(PSPOINTS[[#This Row],[Scale Point Issue]:[Space in Code]])</f>
        <v>0</v>
      </c>
      <c r="N60" s="57" t="s">
        <v>1137</v>
      </c>
      <c r="P60" s="12" t="s">
        <v>1388</v>
      </c>
      <c r="Q60" s="57" t="str">
        <f>_xlfn.XLOOKUP(PSPOINTS[[#This Row],[PayScaleCode]],'19_PayScales'!N:N,'19_PayScales'!O:O)</f>
        <v>Leadership Group EW</v>
      </c>
      <c r="R60" s="12" t="s">
        <v>1566</v>
      </c>
      <c r="S60" s="12" t="s">
        <v>1566</v>
      </c>
      <c r="T60" s="12">
        <v>24</v>
      </c>
      <c r="U60" s="12" t="b">
        <v>0</v>
      </c>
      <c r="V60" s="12" t="b">
        <v>1</v>
      </c>
      <c r="W60" s="86">
        <v>45901</v>
      </c>
      <c r="Y60" s="14">
        <v>91158</v>
      </c>
    </row>
    <row r="61" spans="1:25" hidden="1" x14ac:dyDescent="0.25">
      <c r="A61" s="158" t="str">
        <f>PSPOINTS[[#This Row],[PayScaleCode]]&amp;PSPOINTS[[#This Row],[RateDateFrom]]</f>
        <v>LS_EW45901</v>
      </c>
      <c r="B61" s="57">
        <f t="shared" si="0"/>
        <v>0</v>
      </c>
      <c r="C61" s="57" t="str">
        <f>PSPOINTS[[#This Row],[PayScaleCode]]&amp;PSPOINTS[[#This Row],[PayScalePointCode]]&amp;PSPOINTS[[#This Row],[RateDateFrom]]</f>
        <v>LS_EWL2545901</v>
      </c>
      <c r="D61" s="57">
        <f>COUNTIF(PSPOINTS[Pay Scale String Duplicates],PSPOINTS[[#This Row],[Pay Scale String Duplicates]])-1</f>
        <v>0</v>
      </c>
      <c r="E61" s="57">
        <f>IF((MONTH(_xlfn.XLOOKUP(PSPOINTS[[#This Row],[PayScaleCode]],'19_PayScales'!N:N,'19_PayScales'!R:R)))=MONTH(PSPOINTS[[#This Row],[RateDateFrom]]),0,1)</f>
        <v>0</v>
      </c>
      <c r="F61" s="57">
        <f>IF(ISBLANK(PSPOINTS[[#This Row],[RateDateTo]]),0,IF(PSPOINTS[[#This Row],[RateDateFrom]]&lt;PSPOINTS[[#This Row],[RateDateTo]],0,1))</f>
        <v>0</v>
      </c>
      <c r="G61" s="57" cm="1">
        <f t="array" aca="1" ref="G61" ca="1">IF(CELL("format",PSPOINTS[[#This Row],[RateDateFrom]])="D1",0,1)+IF(CELL("format",PSPOINTS[[#This Row],[RateDateTo]])="D1",0,1)</f>
        <v>0</v>
      </c>
      <c r="H61" s="57">
        <f>IF(OR(PSPOINTS[[#This Row],[Hourly]]=TRUE,PSPOINTS[[#This Row],[Hourly]]=FALSE),IF(OR(PSPOINTS[[#This Row],[PayScalePointEnabled]]=TRUE,PSPOINTS[[#This Row],[PayScalePointEnabled]]=FALSE),0,1),1)</f>
        <v>0</v>
      </c>
      <c r="I61" s="57">
        <f>IF(LEN(PSPOINTS[[#This Row],[PayScalePointCode]])&lt;100,0,1)</f>
        <v>0</v>
      </c>
      <c r="J61" s="57">
        <f>IF(LEN(PSPOINTS[[#This Row],[PayScalePointTitle]])&lt;100,0,1)</f>
        <v>0</v>
      </c>
      <c r="K61" s="57">
        <f>(COUNTBLANK(PSPOINTS[[#This Row],[PayScalePointCode]:[RateDateFrom]])+COUNTBLANK(PSPOINTS[[#This Row],[PayScaleRate]]))</f>
        <v>0</v>
      </c>
      <c r="L61" s="120">
        <f>IF(SUBSTITUTE(TEXT(PSPOINTS[[#This Row],[PayScaleCode]],10)," ","")=TEXT(PSPOINTS[[#This Row],[PayScaleCode]],10),0,1)+IF(SUBSTITUTE(TEXT(PSPOINTS[[#This Row],[PayScalePointCode]],10)," ","")=TEXT(PSPOINTS[[#This Row],[PayScalePointCode]],10),0,1)</f>
        <v>0</v>
      </c>
      <c r="M61" s="57">
        <f ca="1">SUM(PSPOINTS[[#This Row],[Scale Point Issue]:[Space in Code]])</f>
        <v>0</v>
      </c>
      <c r="N61" s="57" t="s">
        <v>1137</v>
      </c>
      <c r="P61" s="12" t="s">
        <v>1388</v>
      </c>
      <c r="Q61" s="57" t="str">
        <f>_xlfn.XLOOKUP(PSPOINTS[[#This Row],[PayScaleCode]],'19_PayScales'!N:N,'19_PayScales'!O:O)</f>
        <v>Leadership Group EW</v>
      </c>
      <c r="R61" s="12" t="s">
        <v>1567</v>
      </c>
      <c r="S61" s="12" t="s">
        <v>1567</v>
      </c>
      <c r="T61" s="12">
        <v>25</v>
      </c>
      <c r="U61" s="12" t="b">
        <v>0</v>
      </c>
      <c r="V61" s="12" t="b">
        <v>1</v>
      </c>
      <c r="W61" s="86">
        <v>45901</v>
      </c>
      <c r="Y61" s="14">
        <v>93424</v>
      </c>
    </row>
    <row r="62" spans="1:25" hidden="1" x14ac:dyDescent="0.25">
      <c r="A62" s="158" t="str">
        <f>PSPOINTS[[#This Row],[PayScaleCode]]&amp;PSPOINTS[[#This Row],[RateDateFrom]]</f>
        <v>LS_EW45901</v>
      </c>
      <c r="B62" s="57">
        <f t="shared" si="0"/>
        <v>0</v>
      </c>
      <c r="C62" s="57" t="str">
        <f>PSPOINTS[[#This Row],[PayScaleCode]]&amp;PSPOINTS[[#This Row],[PayScalePointCode]]&amp;PSPOINTS[[#This Row],[RateDateFrom]]</f>
        <v>LS_EWL2645901</v>
      </c>
      <c r="D62" s="57">
        <f>COUNTIF(PSPOINTS[Pay Scale String Duplicates],PSPOINTS[[#This Row],[Pay Scale String Duplicates]])-1</f>
        <v>0</v>
      </c>
      <c r="E62" s="57">
        <f>IF((MONTH(_xlfn.XLOOKUP(PSPOINTS[[#This Row],[PayScaleCode]],'19_PayScales'!N:N,'19_PayScales'!R:R)))=MONTH(PSPOINTS[[#This Row],[RateDateFrom]]),0,1)</f>
        <v>0</v>
      </c>
      <c r="F62" s="57">
        <f>IF(ISBLANK(PSPOINTS[[#This Row],[RateDateTo]]),0,IF(PSPOINTS[[#This Row],[RateDateFrom]]&lt;PSPOINTS[[#This Row],[RateDateTo]],0,1))</f>
        <v>0</v>
      </c>
      <c r="G62" s="57" cm="1">
        <f t="array" aca="1" ref="G62" ca="1">IF(CELL("format",PSPOINTS[[#This Row],[RateDateFrom]])="D1",0,1)+IF(CELL("format",PSPOINTS[[#This Row],[RateDateTo]])="D1",0,1)</f>
        <v>0</v>
      </c>
      <c r="H62" s="57">
        <f>IF(OR(PSPOINTS[[#This Row],[Hourly]]=TRUE,PSPOINTS[[#This Row],[Hourly]]=FALSE),IF(OR(PSPOINTS[[#This Row],[PayScalePointEnabled]]=TRUE,PSPOINTS[[#This Row],[PayScalePointEnabled]]=FALSE),0,1),1)</f>
        <v>0</v>
      </c>
      <c r="I62" s="57">
        <f>IF(LEN(PSPOINTS[[#This Row],[PayScalePointCode]])&lt;100,0,1)</f>
        <v>0</v>
      </c>
      <c r="J62" s="57">
        <f>IF(LEN(PSPOINTS[[#This Row],[PayScalePointTitle]])&lt;100,0,1)</f>
        <v>0</v>
      </c>
      <c r="K62" s="57">
        <f>(COUNTBLANK(PSPOINTS[[#This Row],[PayScalePointCode]:[RateDateFrom]])+COUNTBLANK(PSPOINTS[[#This Row],[PayScaleRate]]))</f>
        <v>0</v>
      </c>
      <c r="L62" s="120">
        <f>IF(SUBSTITUTE(TEXT(PSPOINTS[[#This Row],[PayScaleCode]],10)," ","")=TEXT(PSPOINTS[[#This Row],[PayScaleCode]],10),0,1)+IF(SUBSTITUTE(TEXT(PSPOINTS[[#This Row],[PayScalePointCode]],10)," ","")=TEXT(PSPOINTS[[#This Row],[PayScalePointCode]],10),0,1)</f>
        <v>0</v>
      </c>
      <c r="M62" s="57">
        <f ca="1">SUM(PSPOINTS[[#This Row],[Scale Point Issue]:[Space in Code]])</f>
        <v>0</v>
      </c>
      <c r="N62" s="57" t="s">
        <v>1137</v>
      </c>
      <c r="P62" s="12" t="s">
        <v>1388</v>
      </c>
      <c r="Q62" s="57" t="str">
        <f>_xlfn.XLOOKUP(PSPOINTS[[#This Row],[PayScaleCode]],'19_PayScales'!N:N,'19_PayScales'!O:O)</f>
        <v>Leadership Group EW</v>
      </c>
      <c r="R62" s="12" t="s">
        <v>1568</v>
      </c>
      <c r="S62" s="12" t="s">
        <v>1568</v>
      </c>
      <c r="T62" s="12">
        <v>26</v>
      </c>
      <c r="U62" s="12" t="b">
        <v>0</v>
      </c>
      <c r="V62" s="12" t="b">
        <v>1</v>
      </c>
      <c r="W62" s="86">
        <v>45901</v>
      </c>
      <c r="Y62" s="14">
        <v>95735</v>
      </c>
    </row>
    <row r="63" spans="1:25" hidden="1" x14ac:dyDescent="0.25">
      <c r="A63" s="158" t="str">
        <f>PSPOINTS[[#This Row],[PayScaleCode]]&amp;PSPOINTS[[#This Row],[RateDateFrom]]</f>
        <v>LS_EW45901</v>
      </c>
      <c r="B63" s="57">
        <f t="shared" si="0"/>
        <v>0</v>
      </c>
      <c r="C63" s="57" t="str">
        <f>PSPOINTS[[#This Row],[PayScaleCode]]&amp;PSPOINTS[[#This Row],[PayScalePointCode]]&amp;PSPOINTS[[#This Row],[RateDateFrom]]</f>
        <v>LS_EWL2745901</v>
      </c>
      <c r="D63" s="57">
        <f>COUNTIF(PSPOINTS[Pay Scale String Duplicates],PSPOINTS[[#This Row],[Pay Scale String Duplicates]])-1</f>
        <v>0</v>
      </c>
      <c r="E63" s="57">
        <f>IF((MONTH(_xlfn.XLOOKUP(PSPOINTS[[#This Row],[PayScaleCode]],'19_PayScales'!N:N,'19_PayScales'!R:R)))=MONTH(PSPOINTS[[#This Row],[RateDateFrom]]),0,1)</f>
        <v>0</v>
      </c>
      <c r="F63" s="57">
        <f>IF(ISBLANK(PSPOINTS[[#This Row],[RateDateTo]]),0,IF(PSPOINTS[[#This Row],[RateDateFrom]]&lt;PSPOINTS[[#This Row],[RateDateTo]],0,1))</f>
        <v>0</v>
      </c>
      <c r="G63" s="57" cm="1">
        <f t="array" aca="1" ref="G63" ca="1">IF(CELL("format",PSPOINTS[[#This Row],[RateDateFrom]])="D1",0,1)+IF(CELL("format",PSPOINTS[[#This Row],[RateDateTo]])="D1",0,1)</f>
        <v>0</v>
      </c>
      <c r="H63" s="57">
        <f>IF(OR(PSPOINTS[[#This Row],[Hourly]]=TRUE,PSPOINTS[[#This Row],[Hourly]]=FALSE),IF(OR(PSPOINTS[[#This Row],[PayScalePointEnabled]]=TRUE,PSPOINTS[[#This Row],[PayScalePointEnabled]]=FALSE),0,1),1)</f>
        <v>0</v>
      </c>
      <c r="I63" s="57">
        <f>IF(LEN(PSPOINTS[[#This Row],[PayScalePointCode]])&lt;100,0,1)</f>
        <v>0</v>
      </c>
      <c r="J63" s="57">
        <f>IF(LEN(PSPOINTS[[#This Row],[PayScalePointTitle]])&lt;100,0,1)</f>
        <v>0</v>
      </c>
      <c r="K63" s="57">
        <f>(COUNTBLANK(PSPOINTS[[#This Row],[PayScalePointCode]:[RateDateFrom]])+COUNTBLANK(PSPOINTS[[#This Row],[PayScaleRate]]))</f>
        <v>0</v>
      </c>
      <c r="L63" s="120">
        <f>IF(SUBSTITUTE(TEXT(PSPOINTS[[#This Row],[PayScaleCode]],10)," ","")=TEXT(PSPOINTS[[#This Row],[PayScaleCode]],10),0,1)+IF(SUBSTITUTE(TEXT(PSPOINTS[[#This Row],[PayScalePointCode]],10)," ","")=TEXT(PSPOINTS[[#This Row],[PayScalePointCode]],10),0,1)</f>
        <v>0</v>
      </c>
      <c r="M63" s="57">
        <f ca="1">SUM(PSPOINTS[[#This Row],[Scale Point Issue]:[Space in Code]])</f>
        <v>0</v>
      </c>
      <c r="N63" s="57" t="s">
        <v>1137</v>
      </c>
      <c r="P63" s="12" t="s">
        <v>1388</v>
      </c>
      <c r="Q63" s="57" t="str">
        <f>_xlfn.XLOOKUP(PSPOINTS[[#This Row],[PayScaleCode]],'19_PayScales'!N:N,'19_PayScales'!O:O)</f>
        <v>Leadership Group EW</v>
      </c>
      <c r="R63" s="12" t="s">
        <v>1569</v>
      </c>
      <c r="S63" s="12" t="s">
        <v>1569</v>
      </c>
      <c r="T63" s="12">
        <v>27</v>
      </c>
      <c r="U63" s="12" t="b">
        <v>0</v>
      </c>
      <c r="V63" s="12" t="b">
        <v>1</v>
      </c>
      <c r="W63" s="86">
        <v>45901</v>
      </c>
      <c r="Y63" s="14">
        <v>98106</v>
      </c>
    </row>
    <row r="64" spans="1:25" hidden="1" x14ac:dyDescent="0.25">
      <c r="A64" s="158" t="str">
        <f>PSPOINTS[[#This Row],[PayScaleCode]]&amp;PSPOINTS[[#This Row],[RateDateFrom]]</f>
        <v>LS_EW45901</v>
      </c>
      <c r="B64" s="57">
        <f t="shared" si="0"/>
        <v>0</v>
      </c>
      <c r="C64" s="57" t="str">
        <f>PSPOINTS[[#This Row],[PayScaleCode]]&amp;PSPOINTS[[#This Row],[PayScalePointCode]]&amp;PSPOINTS[[#This Row],[RateDateFrom]]</f>
        <v>LS_EWL2845901</v>
      </c>
      <c r="D64" s="57">
        <f>COUNTIF(PSPOINTS[Pay Scale String Duplicates],PSPOINTS[[#This Row],[Pay Scale String Duplicates]])-1</f>
        <v>0</v>
      </c>
      <c r="E64" s="57">
        <f>IF((MONTH(_xlfn.XLOOKUP(PSPOINTS[[#This Row],[PayScaleCode]],'19_PayScales'!N:N,'19_PayScales'!R:R)))=MONTH(PSPOINTS[[#This Row],[RateDateFrom]]),0,1)</f>
        <v>0</v>
      </c>
      <c r="F64" s="57">
        <f>IF(ISBLANK(PSPOINTS[[#This Row],[RateDateTo]]),0,IF(PSPOINTS[[#This Row],[RateDateFrom]]&lt;PSPOINTS[[#This Row],[RateDateTo]],0,1))</f>
        <v>0</v>
      </c>
      <c r="G64" s="57" cm="1">
        <f t="array" aca="1" ref="G64" ca="1">IF(CELL("format",PSPOINTS[[#This Row],[RateDateFrom]])="D1",0,1)+IF(CELL("format",PSPOINTS[[#This Row],[RateDateTo]])="D1",0,1)</f>
        <v>0</v>
      </c>
      <c r="H64" s="57">
        <f>IF(OR(PSPOINTS[[#This Row],[Hourly]]=TRUE,PSPOINTS[[#This Row],[Hourly]]=FALSE),IF(OR(PSPOINTS[[#This Row],[PayScalePointEnabled]]=TRUE,PSPOINTS[[#This Row],[PayScalePointEnabled]]=FALSE),0,1),1)</f>
        <v>0</v>
      </c>
      <c r="I64" s="57">
        <f>IF(LEN(PSPOINTS[[#This Row],[PayScalePointCode]])&lt;100,0,1)</f>
        <v>0</v>
      </c>
      <c r="J64" s="57">
        <f>IF(LEN(PSPOINTS[[#This Row],[PayScalePointTitle]])&lt;100,0,1)</f>
        <v>0</v>
      </c>
      <c r="K64" s="57">
        <f>(COUNTBLANK(PSPOINTS[[#This Row],[PayScalePointCode]:[RateDateFrom]])+COUNTBLANK(PSPOINTS[[#This Row],[PayScaleRate]]))</f>
        <v>0</v>
      </c>
      <c r="L64" s="120">
        <f>IF(SUBSTITUTE(TEXT(PSPOINTS[[#This Row],[PayScaleCode]],10)," ","")=TEXT(PSPOINTS[[#This Row],[PayScaleCode]],10),0,1)+IF(SUBSTITUTE(TEXT(PSPOINTS[[#This Row],[PayScalePointCode]],10)," ","")=TEXT(PSPOINTS[[#This Row],[PayScalePointCode]],10),0,1)</f>
        <v>0</v>
      </c>
      <c r="M64" s="57">
        <f ca="1">SUM(PSPOINTS[[#This Row],[Scale Point Issue]:[Space in Code]])</f>
        <v>0</v>
      </c>
      <c r="N64" s="57" t="s">
        <v>1137</v>
      </c>
      <c r="P64" s="12" t="s">
        <v>1388</v>
      </c>
      <c r="Q64" s="57" t="str">
        <f>_xlfn.XLOOKUP(PSPOINTS[[#This Row],[PayScaleCode]],'19_PayScales'!N:N,'19_PayScales'!O:O)</f>
        <v>Leadership Group EW</v>
      </c>
      <c r="R64" s="12" t="s">
        <v>1570</v>
      </c>
      <c r="S64" s="12" t="s">
        <v>1570</v>
      </c>
      <c r="T64" s="12">
        <v>28</v>
      </c>
      <c r="U64" s="12" t="b">
        <v>0</v>
      </c>
      <c r="V64" s="12" t="b">
        <v>1</v>
      </c>
      <c r="W64" s="86">
        <v>45901</v>
      </c>
      <c r="Y64" s="14">
        <v>100540</v>
      </c>
    </row>
    <row r="65" spans="1:25" hidden="1" x14ac:dyDescent="0.25">
      <c r="A65" s="158" t="str">
        <f>PSPOINTS[[#This Row],[PayScaleCode]]&amp;PSPOINTS[[#This Row],[RateDateFrom]]</f>
        <v>LS_EW45901</v>
      </c>
      <c r="B65" s="57">
        <f t="shared" si="0"/>
        <v>0</v>
      </c>
      <c r="C65" s="57" t="str">
        <f>PSPOINTS[[#This Row],[PayScaleCode]]&amp;PSPOINTS[[#This Row],[PayScalePointCode]]&amp;PSPOINTS[[#This Row],[RateDateFrom]]</f>
        <v>LS_EWL2945901</v>
      </c>
      <c r="D65" s="57">
        <f>COUNTIF(PSPOINTS[Pay Scale String Duplicates],PSPOINTS[[#This Row],[Pay Scale String Duplicates]])-1</f>
        <v>0</v>
      </c>
      <c r="E65" s="57">
        <f>IF((MONTH(_xlfn.XLOOKUP(PSPOINTS[[#This Row],[PayScaleCode]],'19_PayScales'!N:N,'19_PayScales'!R:R)))=MONTH(PSPOINTS[[#This Row],[RateDateFrom]]),0,1)</f>
        <v>0</v>
      </c>
      <c r="F65" s="57">
        <f>IF(ISBLANK(PSPOINTS[[#This Row],[RateDateTo]]),0,IF(PSPOINTS[[#This Row],[RateDateFrom]]&lt;PSPOINTS[[#This Row],[RateDateTo]],0,1))</f>
        <v>0</v>
      </c>
      <c r="G65" s="57" cm="1">
        <f t="array" aca="1" ref="G65" ca="1">IF(CELL("format",PSPOINTS[[#This Row],[RateDateFrom]])="D1",0,1)+IF(CELL("format",PSPOINTS[[#This Row],[RateDateTo]])="D1",0,1)</f>
        <v>0</v>
      </c>
      <c r="H65" s="57">
        <f>IF(OR(PSPOINTS[[#This Row],[Hourly]]=TRUE,PSPOINTS[[#This Row],[Hourly]]=FALSE),IF(OR(PSPOINTS[[#This Row],[PayScalePointEnabled]]=TRUE,PSPOINTS[[#This Row],[PayScalePointEnabled]]=FALSE),0,1),1)</f>
        <v>0</v>
      </c>
      <c r="I65" s="57">
        <f>IF(LEN(PSPOINTS[[#This Row],[PayScalePointCode]])&lt;100,0,1)</f>
        <v>0</v>
      </c>
      <c r="J65" s="57">
        <f>IF(LEN(PSPOINTS[[#This Row],[PayScalePointTitle]])&lt;100,0,1)</f>
        <v>0</v>
      </c>
      <c r="K65" s="57">
        <f>(COUNTBLANK(PSPOINTS[[#This Row],[PayScalePointCode]:[RateDateFrom]])+COUNTBLANK(PSPOINTS[[#This Row],[PayScaleRate]]))</f>
        <v>0</v>
      </c>
      <c r="L65" s="120">
        <f>IF(SUBSTITUTE(TEXT(PSPOINTS[[#This Row],[PayScaleCode]],10)," ","")=TEXT(PSPOINTS[[#This Row],[PayScaleCode]],10),0,1)+IF(SUBSTITUTE(TEXT(PSPOINTS[[#This Row],[PayScalePointCode]],10)," ","")=TEXT(PSPOINTS[[#This Row],[PayScalePointCode]],10),0,1)</f>
        <v>0</v>
      </c>
      <c r="M65" s="57">
        <f ca="1">SUM(PSPOINTS[[#This Row],[Scale Point Issue]:[Space in Code]])</f>
        <v>0</v>
      </c>
      <c r="N65" s="57" t="s">
        <v>1137</v>
      </c>
      <c r="P65" s="12" t="s">
        <v>1388</v>
      </c>
      <c r="Q65" s="57" t="str">
        <f>_xlfn.XLOOKUP(PSPOINTS[[#This Row],[PayScaleCode]],'19_PayScales'!N:N,'19_PayScales'!O:O)</f>
        <v>Leadership Group EW</v>
      </c>
      <c r="R65" s="12" t="s">
        <v>1571</v>
      </c>
      <c r="S65" s="12" t="s">
        <v>1571</v>
      </c>
      <c r="T65" s="12">
        <v>29</v>
      </c>
      <c r="U65" s="12" t="b">
        <v>0</v>
      </c>
      <c r="V65" s="12" t="b">
        <v>1</v>
      </c>
      <c r="W65" s="86">
        <v>45901</v>
      </c>
      <c r="Y65" s="14">
        <v>103030</v>
      </c>
    </row>
    <row r="66" spans="1:25" hidden="1" x14ac:dyDescent="0.25">
      <c r="A66" s="158" t="str">
        <f>PSPOINTS[[#This Row],[PayScaleCode]]&amp;PSPOINTS[[#This Row],[RateDateFrom]]</f>
        <v>LS_EW45901</v>
      </c>
      <c r="B66" s="57">
        <f t="shared" ref="B66:B133" si="1">IF(A66=A65,SUM(T66-T65)-1,T66-1)</f>
        <v>0</v>
      </c>
      <c r="C66" s="57" t="str">
        <f>PSPOINTS[[#This Row],[PayScaleCode]]&amp;PSPOINTS[[#This Row],[PayScalePointCode]]&amp;PSPOINTS[[#This Row],[RateDateFrom]]</f>
        <v>LS_EWL3045901</v>
      </c>
      <c r="D66" s="57">
        <f>COUNTIF(PSPOINTS[Pay Scale String Duplicates],PSPOINTS[[#This Row],[Pay Scale String Duplicates]])-1</f>
        <v>0</v>
      </c>
      <c r="E66" s="57">
        <f>IF((MONTH(_xlfn.XLOOKUP(PSPOINTS[[#This Row],[PayScaleCode]],'19_PayScales'!N:N,'19_PayScales'!R:R)))=MONTH(PSPOINTS[[#This Row],[RateDateFrom]]),0,1)</f>
        <v>0</v>
      </c>
      <c r="F66" s="57">
        <f>IF(ISBLANK(PSPOINTS[[#This Row],[RateDateTo]]),0,IF(PSPOINTS[[#This Row],[RateDateFrom]]&lt;PSPOINTS[[#This Row],[RateDateTo]],0,1))</f>
        <v>0</v>
      </c>
      <c r="G66" s="57" cm="1">
        <f t="array" aca="1" ref="G66" ca="1">IF(CELL("format",PSPOINTS[[#This Row],[RateDateFrom]])="D1",0,1)+IF(CELL("format",PSPOINTS[[#This Row],[RateDateTo]])="D1",0,1)</f>
        <v>0</v>
      </c>
      <c r="H66" s="57">
        <f>IF(OR(PSPOINTS[[#This Row],[Hourly]]=TRUE,PSPOINTS[[#This Row],[Hourly]]=FALSE),IF(OR(PSPOINTS[[#This Row],[PayScalePointEnabled]]=TRUE,PSPOINTS[[#This Row],[PayScalePointEnabled]]=FALSE),0,1),1)</f>
        <v>0</v>
      </c>
      <c r="I66" s="57">
        <f>IF(LEN(PSPOINTS[[#This Row],[PayScalePointCode]])&lt;100,0,1)</f>
        <v>0</v>
      </c>
      <c r="J66" s="57">
        <f>IF(LEN(PSPOINTS[[#This Row],[PayScalePointTitle]])&lt;100,0,1)</f>
        <v>0</v>
      </c>
      <c r="K66" s="57">
        <f>(COUNTBLANK(PSPOINTS[[#This Row],[PayScalePointCode]:[RateDateFrom]])+COUNTBLANK(PSPOINTS[[#This Row],[PayScaleRate]]))</f>
        <v>0</v>
      </c>
      <c r="L66" s="120">
        <f>IF(SUBSTITUTE(TEXT(PSPOINTS[[#This Row],[PayScaleCode]],10)," ","")=TEXT(PSPOINTS[[#This Row],[PayScaleCode]],10),0,1)+IF(SUBSTITUTE(TEXT(PSPOINTS[[#This Row],[PayScalePointCode]],10)," ","")=TEXT(PSPOINTS[[#This Row],[PayScalePointCode]],10),0,1)</f>
        <v>0</v>
      </c>
      <c r="M66" s="57">
        <f ca="1">SUM(PSPOINTS[[#This Row],[Scale Point Issue]:[Space in Code]])</f>
        <v>0</v>
      </c>
      <c r="N66" s="57" t="s">
        <v>1137</v>
      </c>
      <c r="P66" s="12" t="s">
        <v>1388</v>
      </c>
      <c r="Q66" s="57" t="str">
        <f>_xlfn.XLOOKUP(PSPOINTS[[#This Row],[PayScaleCode]],'19_PayScales'!N:N,'19_PayScales'!O:O)</f>
        <v>Leadership Group EW</v>
      </c>
      <c r="R66" s="12" t="s">
        <v>1572</v>
      </c>
      <c r="S66" s="12" t="s">
        <v>1572</v>
      </c>
      <c r="T66" s="12">
        <v>30</v>
      </c>
      <c r="U66" s="12" t="b">
        <v>0</v>
      </c>
      <c r="V66" s="12" t="b">
        <v>1</v>
      </c>
      <c r="W66" s="86">
        <v>45901</v>
      </c>
      <c r="Y66" s="14">
        <v>105595</v>
      </c>
    </row>
    <row r="67" spans="1:25" hidden="1" x14ac:dyDescent="0.25">
      <c r="A67" s="158" t="str">
        <f>PSPOINTS[[#This Row],[PayScaleCode]]&amp;PSPOINTS[[#This Row],[RateDateFrom]]</f>
        <v>LS_EW45901</v>
      </c>
      <c r="B67" s="57">
        <f t="shared" si="1"/>
        <v>0</v>
      </c>
      <c r="C67" s="57" t="str">
        <f>PSPOINTS[[#This Row],[PayScaleCode]]&amp;PSPOINTS[[#This Row],[PayScalePointCode]]&amp;PSPOINTS[[#This Row],[RateDateFrom]]</f>
        <v>LS_EWL3145901</v>
      </c>
      <c r="D67" s="57">
        <f>COUNTIF(PSPOINTS[Pay Scale String Duplicates],PSPOINTS[[#This Row],[Pay Scale String Duplicates]])-1</f>
        <v>0</v>
      </c>
      <c r="E67" s="57">
        <f>IF((MONTH(_xlfn.XLOOKUP(PSPOINTS[[#This Row],[PayScaleCode]],'19_PayScales'!N:N,'19_PayScales'!R:R)))=MONTH(PSPOINTS[[#This Row],[RateDateFrom]]),0,1)</f>
        <v>0</v>
      </c>
      <c r="F67" s="57">
        <f>IF(ISBLANK(PSPOINTS[[#This Row],[RateDateTo]]),0,IF(PSPOINTS[[#This Row],[RateDateFrom]]&lt;PSPOINTS[[#This Row],[RateDateTo]],0,1))</f>
        <v>0</v>
      </c>
      <c r="G67" s="57" cm="1">
        <f t="array" aca="1" ref="G67" ca="1">IF(CELL("format",PSPOINTS[[#This Row],[RateDateFrom]])="D1",0,1)+IF(CELL("format",PSPOINTS[[#This Row],[RateDateTo]])="D1",0,1)</f>
        <v>0</v>
      </c>
      <c r="H67" s="57">
        <f>IF(OR(PSPOINTS[[#This Row],[Hourly]]=TRUE,PSPOINTS[[#This Row],[Hourly]]=FALSE),IF(OR(PSPOINTS[[#This Row],[PayScalePointEnabled]]=TRUE,PSPOINTS[[#This Row],[PayScalePointEnabled]]=FALSE),0,1),1)</f>
        <v>0</v>
      </c>
      <c r="I67" s="57">
        <f>IF(LEN(PSPOINTS[[#This Row],[PayScalePointCode]])&lt;100,0,1)</f>
        <v>0</v>
      </c>
      <c r="J67" s="57">
        <f>IF(LEN(PSPOINTS[[#This Row],[PayScalePointTitle]])&lt;100,0,1)</f>
        <v>0</v>
      </c>
      <c r="K67" s="57">
        <f>(COUNTBLANK(PSPOINTS[[#This Row],[PayScalePointCode]:[RateDateFrom]])+COUNTBLANK(PSPOINTS[[#This Row],[PayScaleRate]]))</f>
        <v>0</v>
      </c>
      <c r="L67" s="120">
        <f>IF(SUBSTITUTE(TEXT(PSPOINTS[[#This Row],[PayScaleCode]],10)," ","")=TEXT(PSPOINTS[[#This Row],[PayScaleCode]],10),0,1)+IF(SUBSTITUTE(TEXT(PSPOINTS[[#This Row],[PayScalePointCode]],10)," ","")=TEXT(PSPOINTS[[#This Row],[PayScalePointCode]],10),0,1)</f>
        <v>0</v>
      </c>
      <c r="M67" s="57">
        <f ca="1">SUM(PSPOINTS[[#This Row],[Scale Point Issue]:[Space in Code]])</f>
        <v>0</v>
      </c>
      <c r="N67" s="57" t="s">
        <v>1137</v>
      </c>
      <c r="P67" s="12" t="s">
        <v>1388</v>
      </c>
      <c r="Q67" s="57" t="str">
        <f>_xlfn.XLOOKUP(PSPOINTS[[#This Row],[PayScaleCode]],'19_PayScales'!N:N,'19_PayScales'!O:O)</f>
        <v>Leadership Group EW</v>
      </c>
      <c r="R67" s="12" t="s">
        <v>1573</v>
      </c>
      <c r="S67" s="12" t="s">
        <v>1573</v>
      </c>
      <c r="T67" s="12">
        <v>31</v>
      </c>
      <c r="U67" s="12" t="b">
        <v>0</v>
      </c>
      <c r="V67" s="12" t="b">
        <v>1</v>
      </c>
      <c r="W67" s="86">
        <v>45901</v>
      </c>
      <c r="Y67" s="14">
        <v>108201</v>
      </c>
    </row>
    <row r="68" spans="1:25" hidden="1" x14ac:dyDescent="0.25">
      <c r="A68" s="158" t="str">
        <f>PSPOINTS[[#This Row],[PayScaleCode]]&amp;PSPOINTS[[#This Row],[RateDateFrom]]</f>
        <v>LS_EW45901</v>
      </c>
      <c r="B68" s="57">
        <f t="shared" si="1"/>
        <v>0</v>
      </c>
      <c r="C68" s="57" t="str">
        <f>PSPOINTS[[#This Row],[PayScaleCode]]&amp;PSPOINTS[[#This Row],[PayScalePointCode]]&amp;PSPOINTS[[#This Row],[RateDateFrom]]</f>
        <v>LS_EWL3245901</v>
      </c>
      <c r="D68" s="57">
        <f>COUNTIF(PSPOINTS[Pay Scale String Duplicates],PSPOINTS[[#This Row],[Pay Scale String Duplicates]])-1</f>
        <v>0</v>
      </c>
      <c r="E68" s="57">
        <f>IF((MONTH(_xlfn.XLOOKUP(PSPOINTS[[#This Row],[PayScaleCode]],'19_PayScales'!N:N,'19_PayScales'!R:R)))=MONTH(PSPOINTS[[#This Row],[RateDateFrom]]),0,1)</f>
        <v>0</v>
      </c>
      <c r="F68" s="57">
        <f>IF(ISBLANK(PSPOINTS[[#This Row],[RateDateTo]]),0,IF(PSPOINTS[[#This Row],[RateDateFrom]]&lt;PSPOINTS[[#This Row],[RateDateTo]],0,1))</f>
        <v>0</v>
      </c>
      <c r="G68" s="57" cm="1">
        <f t="array" aca="1" ref="G68" ca="1">IF(CELL("format",PSPOINTS[[#This Row],[RateDateFrom]])="D1",0,1)+IF(CELL("format",PSPOINTS[[#This Row],[RateDateTo]])="D1",0,1)</f>
        <v>0</v>
      </c>
      <c r="H68" s="57">
        <f>IF(OR(PSPOINTS[[#This Row],[Hourly]]=TRUE,PSPOINTS[[#This Row],[Hourly]]=FALSE),IF(OR(PSPOINTS[[#This Row],[PayScalePointEnabled]]=TRUE,PSPOINTS[[#This Row],[PayScalePointEnabled]]=FALSE),0,1),1)</f>
        <v>0</v>
      </c>
      <c r="I68" s="57">
        <f>IF(LEN(PSPOINTS[[#This Row],[PayScalePointCode]])&lt;100,0,1)</f>
        <v>0</v>
      </c>
      <c r="J68" s="57">
        <f>IF(LEN(PSPOINTS[[#This Row],[PayScalePointTitle]])&lt;100,0,1)</f>
        <v>0</v>
      </c>
      <c r="K68" s="57">
        <f>(COUNTBLANK(PSPOINTS[[#This Row],[PayScalePointCode]:[RateDateFrom]])+COUNTBLANK(PSPOINTS[[#This Row],[PayScaleRate]]))</f>
        <v>0</v>
      </c>
      <c r="L68" s="120">
        <f>IF(SUBSTITUTE(TEXT(PSPOINTS[[#This Row],[PayScaleCode]],10)," ","")=TEXT(PSPOINTS[[#This Row],[PayScaleCode]],10),0,1)+IF(SUBSTITUTE(TEXT(PSPOINTS[[#This Row],[PayScalePointCode]],10)," ","")=TEXT(PSPOINTS[[#This Row],[PayScalePointCode]],10),0,1)</f>
        <v>0</v>
      </c>
      <c r="M68" s="57">
        <f ca="1">SUM(PSPOINTS[[#This Row],[Scale Point Issue]:[Space in Code]])</f>
        <v>0</v>
      </c>
      <c r="N68" s="57" t="s">
        <v>1137</v>
      </c>
      <c r="P68" s="12" t="s">
        <v>1388</v>
      </c>
      <c r="Q68" s="57" t="str">
        <f>_xlfn.XLOOKUP(PSPOINTS[[#This Row],[PayScaleCode]],'19_PayScales'!N:N,'19_PayScales'!O:O)</f>
        <v>Leadership Group EW</v>
      </c>
      <c r="R68" s="12" t="s">
        <v>1574</v>
      </c>
      <c r="S68" s="12" t="s">
        <v>1574</v>
      </c>
      <c r="T68" s="12">
        <v>32</v>
      </c>
      <c r="U68" s="12" t="b">
        <v>0</v>
      </c>
      <c r="V68" s="12" t="b">
        <v>1</v>
      </c>
      <c r="W68" s="86">
        <v>45901</v>
      </c>
      <c r="Y68" s="14">
        <v>110892</v>
      </c>
    </row>
    <row r="69" spans="1:25" hidden="1" x14ac:dyDescent="0.25">
      <c r="A69" s="158" t="str">
        <f>PSPOINTS[[#This Row],[PayScaleCode]]&amp;PSPOINTS[[#This Row],[RateDateFrom]]</f>
        <v>LS_EW45901</v>
      </c>
      <c r="B69" s="57">
        <f t="shared" si="1"/>
        <v>0</v>
      </c>
      <c r="C69" s="57" t="str">
        <f>PSPOINTS[[#This Row],[PayScaleCode]]&amp;PSPOINTS[[#This Row],[PayScalePointCode]]&amp;PSPOINTS[[#This Row],[RateDateFrom]]</f>
        <v>LS_EWL3345901</v>
      </c>
      <c r="D69" s="57">
        <f>COUNTIF(PSPOINTS[Pay Scale String Duplicates],PSPOINTS[[#This Row],[Pay Scale String Duplicates]])-1</f>
        <v>0</v>
      </c>
      <c r="E69" s="57">
        <f>IF((MONTH(_xlfn.XLOOKUP(PSPOINTS[[#This Row],[PayScaleCode]],'19_PayScales'!N:N,'19_PayScales'!R:R)))=MONTH(PSPOINTS[[#This Row],[RateDateFrom]]),0,1)</f>
        <v>0</v>
      </c>
      <c r="F69" s="57">
        <f>IF(ISBLANK(PSPOINTS[[#This Row],[RateDateTo]]),0,IF(PSPOINTS[[#This Row],[RateDateFrom]]&lt;PSPOINTS[[#This Row],[RateDateTo]],0,1))</f>
        <v>0</v>
      </c>
      <c r="G69" s="57" cm="1">
        <f t="array" aca="1" ref="G69" ca="1">IF(CELL("format",PSPOINTS[[#This Row],[RateDateFrom]])="D1",0,1)+IF(CELL("format",PSPOINTS[[#This Row],[RateDateTo]])="D1",0,1)</f>
        <v>0</v>
      </c>
      <c r="H69" s="57">
        <f>IF(OR(PSPOINTS[[#This Row],[Hourly]]=TRUE,PSPOINTS[[#This Row],[Hourly]]=FALSE),IF(OR(PSPOINTS[[#This Row],[PayScalePointEnabled]]=TRUE,PSPOINTS[[#This Row],[PayScalePointEnabled]]=FALSE),0,1),1)</f>
        <v>0</v>
      </c>
      <c r="I69" s="57">
        <f>IF(LEN(PSPOINTS[[#This Row],[PayScalePointCode]])&lt;100,0,1)</f>
        <v>0</v>
      </c>
      <c r="J69" s="57">
        <f>IF(LEN(PSPOINTS[[#This Row],[PayScalePointTitle]])&lt;100,0,1)</f>
        <v>0</v>
      </c>
      <c r="K69" s="57">
        <f>(COUNTBLANK(PSPOINTS[[#This Row],[PayScalePointCode]:[RateDateFrom]])+COUNTBLANK(PSPOINTS[[#This Row],[PayScaleRate]]))</f>
        <v>0</v>
      </c>
      <c r="L69" s="120">
        <f>IF(SUBSTITUTE(TEXT(PSPOINTS[[#This Row],[PayScaleCode]],10)," ","")=TEXT(PSPOINTS[[#This Row],[PayScaleCode]],10),0,1)+IF(SUBSTITUTE(TEXT(PSPOINTS[[#This Row],[PayScalePointCode]],10)," ","")=TEXT(PSPOINTS[[#This Row],[PayScalePointCode]],10),0,1)</f>
        <v>0</v>
      </c>
      <c r="M69" s="57">
        <f ca="1">SUM(PSPOINTS[[#This Row],[Scale Point Issue]:[Space in Code]])</f>
        <v>0</v>
      </c>
      <c r="N69" s="57" t="s">
        <v>1137</v>
      </c>
      <c r="P69" s="12" t="s">
        <v>1388</v>
      </c>
      <c r="Q69" s="57" t="str">
        <f>_xlfn.XLOOKUP(PSPOINTS[[#This Row],[PayScaleCode]],'19_PayScales'!N:N,'19_PayScales'!O:O)</f>
        <v>Leadership Group EW</v>
      </c>
      <c r="R69" s="12" t="s">
        <v>1575</v>
      </c>
      <c r="S69" s="12" t="s">
        <v>1575</v>
      </c>
      <c r="T69" s="12">
        <v>33</v>
      </c>
      <c r="U69" s="12" t="b">
        <v>0</v>
      </c>
      <c r="V69" s="12" t="b">
        <v>1</v>
      </c>
      <c r="W69" s="86">
        <v>45901</v>
      </c>
      <c r="Y69" s="14">
        <v>113646</v>
      </c>
    </row>
    <row r="70" spans="1:25" hidden="1" x14ac:dyDescent="0.25">
      <c r="A70" s="158" t="str">
        <f>PSPOINTS[[#This Row],[PayScaleCode]]&amp;PSPOINTS[[#This Row],[RateDateFrom]]</f>
        <v>LS_EW45901</v>
      </c>
      <c r="B70" s="57">
        <f t="shared" si="1"/>
        <v>0</v>
      </c>
      <c r="C70" s="57" t="str">
        <f>PSPOINTS[[#This Row],[PayScaleCode]]&amp;PSPOINTS[[#This Row],[PayScalePointCode]]&amp;PSPOINTS[[#This Row],[RateDateFrom]]</f>
        <v>LS_EWL3445901</v>
      </c>
      <c r="D70" s="57">
        <f>COUNTIF(PSPOINTS[Pay Scale String Duplicates],PSPOINTS[[#This Row],[Pay Scale String Duplicates]])-1</f>
        <v>0</v>
      </c>
      <c r="E70" s="57">
        <f>IF((MONTH(_xlfn.XLOOKUP(PSPOINTS[[#This Row],[PayScaleCode]],'19_PayScales'!N:N,'19_PayScales'!R:R)))=MONTH(PSPOINTS[[#This Row],[RateDateFrom]]),0,1)</f>
        <v>0</v>
      </c>
      <c r="F70" s="57">
        <f>IF(ISBLANK(PSPOINTS[[#This Row],[RateDateTo]]),0,IF(PSPOINTS[[#This Row],[RateDateFrom]]&lt;PSPOINTS[[#This Row],[RateDateTo]],0,1))</f>
        <v>0</v>
      </c>
      <c r="G70" s="57" cm="1">
        <f t="array" aca="1" ref="G70" ca="1">IF(CELL("format",PSPOINTS[[#This Row],[RateDateFrom]])="D1",0,1)+IF(CELL("format",PSPOINTS[[#This Row],[RateDateTo]])="D1",0,1)</f>
        <v>0</v>
      </c>
      <c r="H70" s="57">
        <f>IF(OR(PSPOINTS[[#This Row],[Hourly]]=TRUE,PSPOINTS[[#This Row],[Hourly]]=FALSE),IF(OR(PSPOINTS[[#This Row],[PayScalePointEnabled]]=TRUE,PSPOINTS[[#This Row],[PayScalePointEnabled]]=FALSE),0,1),1)</f>
        <v>0</v>
      </c>
      <c r="I70" s="57">
        <f>IF(LEN(PSPOINTS[[#This Row],[PayScalePointCode]])&lt;100,0,1)</f>
        <v>0</v>
      </c>
      <c r="J70" s="57">
        <f>IF(LEN(PSPOINTS[[#This Row],[PayScalePointTitle]])&lt;100,0,1)</f>
        <v>0</v>
      </c>
      <c r="K70" s="57">
        <f>(COUNTBLANK(PSPOINTS[[#This Row],[PayScalePointCode]:[RateDateFrom]])+COUNTBLANK(PSPOINTS[[#This Row],[PayScaleRate]]))</f>
        <v>0</v>
      </c>
      <c r="L70" s="120">
        <f>IF(SUBSTITUTE(TEXT(PSPOINTS[[#This Row],[PayScaleCode]],10)," ","")=TEXT(PSPOINTS[[#This Row],[PayScaleCode]],10),0,1)+IF(SUBSTITUTE(TEXT(PSPOINTS[[#This Row],[PayScalePointCode]],10)," ","")=TEXT(PSPOINTS[[#This Row],[PayScalePointCode]],10),0,1)</f>
        <v>0</v>
      </c>
      <c r="M70" s="57">
        <f ca="1">SUM(PSPOINTS[[#This Row],[Scale Point Issue]:[Space in Code]])</f>
        <v>0</v>
      </c>
      <c r="N70" s="57" t="s">
        <v>1137</v>
      </c>
      <c r="P70" s="12" t="s">
        <v>1388</v>
      </c>
      <c r="Q70" s="57" t="str">
        <f>_xlfn.XLOOKUP(PSPOINTS[[#This Row],[PayScaleCode]],'19_PayScales'!N:N,'19_PayScales'!O:O)</f>
        <v>Leadership Group EW</v>
      </c>
      <c r="R70" s="12" t="s">
        <v>1576</v>
      </c>
      <c r="S70" s="12" t="s">
        <v>1576</v>
      </c>
      <c r="T70" s="12">
        <v>34</v>
      </c>
      <c r="U70" s="12" t="b">
        <v>0</v>
      </c>
      <c r="V70" s="12" t="b">
        <v>1</v>
      </c>
      <c r="W70" s="86">
        <v>45901</v>
      </c>
      <c r="Y70" s="14">
        <v>116456</v>
      </c>
    </row>
    <row r="71" spans="1:25" hidden="1" x14ac:dyDescent="0.25">
      <c r="A71" s="158" t="str">
        <f>PSPOINTS[[#This Row],[PayScaleCode]]&amp;PSPOINTS[[#This Row],[RateDateFrom]]</f>
        <v>LS_EW45901</v>
      </c>
      <c r="B71" s="57">
        <f t="shared" si="1"/>
        <v>0</v>
      </c>
      <c r="C71" s="57" t="str">
        <f>PSPOINTS[[#This Row],[PayScaleCode]]&amp;PSPOINTS[[#This Row],[PayScalePointCode]]&amp;PSPOINTS[[#This Row],[RateDateFrom]]</f>
        <v>LS_EWL3545901</v>
      </c>
      <c r="D71" s="57">
        <f>COUNTIF(PSPOINTS[Pay Scale String Duplicates],PSPOINTS[[#This Row],[Pay Scale String Duplicates]])-1</f>
        <v>0</v>
      </c>
      <c r="E71" s="57">
        <f>IF((MONTH(_xlfn.XLOOKUP(PSPOINTS[[#This Row],[PayScaleCode]],'19_PayScales'!N:N,'19_PayScales'!R:R)))=MONTH(PSPOINTS[[#This Row],[RateDateFrom]]),0,1)</f>
        <v>0</v>
      </c>
      <c r="F71" s="57">
        <f>IF(ISBLANK(PSPOINTS[[#This Row],[RateDateTo]]),0,IF(PSPOINTS[[#This Row],[RateDateFrom]]&lt;PSPOINTS[[#This Row],[RateDateTo]],0,1))</f>
        <v>0</v>
      </c>
      <c r="G71" s="57" cm="1">
        <f t="array" aca="1" ref="G71" ca="1">IF(CELL("format",PSPOINTS[[#This Row],[RateDateFrom]])="D1",0,1)+IF(CELL("format",PSPOINTS[[#This Row],[RateDateTo]])="D1",0,1)</f>
        <v>0</v>
      </c>
      <c r="H71" s="57">
        <f>IF(OR(PSPOINTS[[#This Row],[Hourly]]=TRUE,PSPOINTS[[#This Row],[Hourly]]=FALSE),IF(OR(PSPOINTS[[#This Row],[PayScalePointEnabled]]=TRUE,PSPOINTS[[#This Row],[PayScalePointEnabled]]=FALSE),0,1),1)</f>
        <v>0</v>
      </c>
      <c r="I71" s="57">
        <f>IF(LEN(PSPOINTS[[#This Row],[PayScalePointCode]])&lt;100,0,1)</f>
        <v>0</v>
      </c>
      <c r="J71" s="57">
        <f>IF(LEN(PSPOINTS[[#This Row],[PayScalePointTitle]])&lt;100,0,1)</f>
        <v>0</v>
      </c>
      <c r="K71" s="57">
        <f>(COUNTBLANK(PSPOINTS[[#This Row],[PayScalePointCode]:[RateDateFrom]])+COUNTBLANK(PSPOINTS[[#This Row],[PayScaleRate]]))</f>
        <v>0</v>
      </c>
      <c r="L71" s="120">
        <f>IF(SUBSTITUTE(TEXT(PSPOINTS[[#This Row],[PayScaleCode]],10)," ","")=TEXT(PSPOINTS[[#This Row],[PayScaleCode]],10),0,1)+IF(SUBSTITUTE(TEXT(PSPOINTS[[#This Row],[PayScalePointCode]],10)," ","")=TEXT(PSPOINTS[[#This Row],[PayScalePointCode]],10),0,1)</f>
        <v>0</v>
      </c>
      <c r="M71" s="57">
        <f ca="1">SUM(PSPOINTS[[#This Row],[Scale Point Issue]:[Space in Code]])</f>
        <v>0</v>
      </c>
      <c r="N71" s="57" t="s">
        <v>1137</v>
      </c>
      <c r="P71" s="12" t="s">
        <v>1388</v>
      </c>
      <c r="Q71" s="57" t="str">
        <f>_xlfn.XLOOKUP(PSPOINTS[[#This Row],[PayScaleCode]],'19_PayScales'!N:N,'19_PayScales'!O:O)</f>
        <v>Leadership Group EW</v>
      </c>
      <c r="R71" s="12" t="s">
        <v>1577</v>
      </c>
      <c r="S71" s="12" t="s">
        <v>1577</v>
      </c>
      <c r="T71" s="12">
        <v>35</v>
      </c>
      <c r="U71" s="12" t="b">
        <v>0</v>
      </c>
      <c r="V71" s="12" t="b">
        <v>1</v>
      </c>
      <c r="W71" s="86">
        <v>45901</v>
      </c>
      <c r="Y71" s="14">
        <v>119350</v>
      </c>
    </row>
    <row r="72" spans="1:25" hidden="1" x14ac:dyDescent="0.25">
      <c r="A72" s="158" t="str">
        <f>PSPOINTS[[#This Row],[PayScaleCode]]&amp;PSPOINTS[[#This Row],[RateDateFrom]]</f>
        <v>LS_EW45901</v>
      </c>
      <c r="B72" s="57">
        <f t="shared" si="1"/>
        <v>0</v>
      </c>
      <c r="C72" s="57" t="str">
        <f>PSPOINTS[[#This Row],[PayScaleCode]]&amp;PSPOINTS[[#This Row],[PayScalePointCode]]&amp;PSPOINTS[[#This Row],[RateDateFrom]]</f>
        <v>LS_EWL3645901</v>
      </c>
      <c r="D72" s="57">
        <f>COUNTIF(PSPOINTS[Pay Scale String Duplicates],PSPOINTS[[#This Row],[Pay Scale String Duplicates]])-1</f>
        <v>0</v>
      </c>
      <c r="E72" s="57">
        <f>IF((MONTH(_xlfn.XLOOKUP(PSPOINTS[[#This Row],[PayScaleCode]],'19_PayScales'!N:N,'19_PayScales'!R:R)))=MONTH(PSPOINTS[[#This Row],[RateDateFrom]]),0,1)</f>
        <v>0</v>
      </c>
      <c r="F72" s="57">
        <f>IF(ISBLANK(PSPOINTS[[#This Row],[RateDateTo]]),0,IF(PSPOINTS[[#This Row],[RateDateFrom]]&lt;PSPOINTS[[#This Row],[RateDateTo]],0,1))</f>
        <v>0</v>
      </c>
      <c r="G72" s="57" cm="1">
        <f t="array" aca="1" ref="G72" ca="1">IF(CELL("format",PSPOINTS[[#This Row],[RateDateFrom]])="D1",0,1)+IF(CELL("format",PSPOINTS[[#This Row],[RateDateTo]])="D1",0,1)</f>
        <v>0</v>
      </c>
      <c r="H72" s="57">
        <f>IF(OR(PSPOINTS[[#This Row],[Hourly]]=TRUE,PSPOINTS[[#This Row],[Hourly]]=FALSE),IF(OR(PSPOINTS[[#This Row],[PayScalePointEnabled]]=TRUE,PSPOINTS[[#This Row],[PayScalePointEnabled]]=FALSE),0,1),1)</f>
        <v>0</v>
      </c>
      <c r="I72" s="57">
        <f>IF(LEN(PSPOINTS[[#This Row],[PayScalePointCode]])&lt;100,0,1)</f>
        <v>0</v>
      </c>
      <c r="J72" s="57">
        <f>IF(LEN(PSPOINTS[[#This Row],[PayScalePointTitle]])&lt;100,0,1)</f>
        <v>0</v>
      </c>
      <c r="K72" s="57">
        <f>(COUNTBLANK(PSPOINTS[[#This Row],[PayScalePointCode]:[RateDateFrom]])+COUNTBLANK(PSPOINTS[[#This Row],[PayScaleRate]]))</f>
        <v>0</v>
      </c>
      <c r="L72" s="120">
        <f>IF(SUBSTITUTE(TEXT(PSPOINTS[[#This Row],[PayScaleCode]],10)," ","")=TEXT(PSPOINTS[[#This Row],[PayScaleCode]],10),0,1)+IF(SUBSTITUTE(TEXT(PSPOINTS[[#This Row],[PayScalePointCode]],10)," ","")=TEXT(PSPOINTS[[#This Row],[PayScalePointCode]],10),0,1)</f>
        <v>0</v>
      </c>
      <c r="M72" s="57">
        <f ca="1">SUM(PSPOINTS[[#This Row],[Scale Point Issue]:[Space in Code]])</f>
        <v>0</v>
      </c>
      <c r="N72" s="57" t="s">
        <v>1137</v>
      </c>
      <c r="P72" s="12" t="s">
        <v>1388</v>
      </c>
      <c r="Q72" s="57" t="str">
        <f>_xlfn.XLOOKUP(PSPOINTS[[#This Row],[PayScaleCode]],'19_PayScales'!N:N,'19_PayScales'!O:O)</f>
        <v>Leadership Group EW</v>
      </c>
      <c r="R72" s="12" t="s">
        <v>1578</v>
      </c>
      <c r="S72" s="12" t="s">
        <v>1578</v>
      </c>
      <c r="T72" s="12">
        <v>36</v>
      </c>
      <c r="U72" s="12" t="b">
        <v>0</v>
      </c>
      <c r="V72" s="12" t="b">
        <v>1</v>
      </c>
      <c r="W72" s="86">
        <v>45901</v>
      </c>
      <c r="Y72" s="14">
        <v>122306</v>
      </c>
    </row>
    <row r="73" spans="1:25" hidden="1" x14ac:dyDescent="0.25">
      <c r="A73" s="158" t="str">
        <f>PSPOINTS[[#This Row],[PayScaleCode]]&amp;PSPOINTS[[#This Row],[RateDateFrom]]</f>
        <v>LS_EW45901</v>
      </c>
      <c r="B73" s="57">
        <f t="shared" si="1"/>
        <v>0</v>
      </c>
      <c r="C73" s="57" t="str">
        <f>PSPOINTS[[#This Row],[PayScaleCode]]&amp;PSPOINTS[[#This Row],[PayScalePointCode]]&amp;PSPOINTS[[#This Row],[RateDateFrom]]</f>
        <v>LS_EWL3745901</v>
      </c>
      <c r="D73" s="57">
        <f>COUNTIF(PSPOINTS[Pay Scale String Duplicates],PSPOINTS[[#This Row],[Pay Scale String Duplicates]])-1</f>
        <v>0</v>
      </c>
      <c r="E73" s="57">
        <f>IF((MONTH(_xlfn.XLOOKUP(PSPOINTS[[#This Row],[PayScaleCode]],'19_PayScales'!N:N,'19_PayScales'!R:R)))=MONTH(PSPOINTS[[#This Row],[RateDateFrom]]),0,1)</f>
        <v>0</v>
      </c>
      <c r="F73" s="57">
        <f>IF(ISBLANK(PSPOINTS[[#This Row],[RateDateTo]]),0,IF(PSPOINTS[[#This Row],[RateDateFrom]]&lt;PSPOINTS[[#This Row],[RateDateTo]],0,1))</f>
        <v>0</v>
      </c>
      <c r="G73" s="57" cm="1">
        <f t="array" aca="1" ref="G73" ca="1">IF(CELL("format",PSPOINTS[[#This Row],[RateDateFrom]])="D1",0,1)+IF(CELL("format",PSPOINTS[[#This Row],[RateDateTo]])="D1",0,1)</f>
        <v>0</v>
      </c>
      <c r="H73" s="57">
        <f>IF(OR(PSPOINTS[[#This Row],[Hourly]]=TRUE,PSPOINTS[[#This Row],[Hourly]]=FALSE),IF(OR(PSPOINTS[[#This Row],[PayScalePointEnabled]]=TRUE,PSPOINTS[[#This Row],[PayScalePointEnabled]]=FALSE),0,1),1)</f>
        <v>0</v>
      </c>
      <c r="I73" s="57">
        <f>IF(LEN(PSPOINTS[[#This Row],[PayScalePointCode]])&lt;100,0,1)</f>
        <v>0</v>
      </c>
      <c r="J73" s="57">
        <f>IF(LEN(PSPOINTS[[#This Row],[PayScalePointTitle]])&lt;100,0,1)</f>
        <v>0</v>
      </c>
      <c r="K73" s="57">
        <f>(COUNTBLANK(PSPOINTS[[#This Row],[PayScalePointCode]:[RateDateFrom]])+COUNTBLANK(PSPOINTS[[#This Row],[PayScaleRate]]))</f>
        <v>0</v>
      </c>
      <c r="L73" s="120">
        <f>IF(SUBSTITUTE(TEXT(PSPOINTS[[#This Row],[PayScaleCode]],10)," ","")=TEXT(PSPOINTS[[#This Row],[PayScaleCode]],10),0,1)+IF(SUBSTITUTE(TEXT(PSPOINTS[[#This Row],[PayScalePointCode]],10)," ","")=TEXT(PSPOINTS[[#This Row],[PayScalePointCode]],10),0,1)</f>
        <v>0</v>
      </c>
      <c r="M73" s="57">
        <f ca="1">SUM(PSPOINTS[[#This Row],[Scale Point Issue]:[Space in Code]])</f>
        <v>0</v>
      </c>
      <c r="N73" s="57" t="s">
        <v>1137</v>
      </c>
      <c r="P73" s="12" t="s">
        <v>1388</v>
      </c>
      <c r="Q73" s="57" t="str">
        <f>_xlfn.XLOOKUP(PSPOINTS[[#This Row],[PayScaleCode]],'19_PayScales'!N:N,'19_PayScales'!O:O)</f>
        <v>Leadership Group EW</v>
      </c>
      <c r="R73" s="12" t="s">
        <v>1579</v>
      </c>
      <c r="S73" s="12" t="s">
        <v>1579</v>
      </c>
      <c r="T73" s="12">
        <v>37</v>
      </c>
      <c r="U73" s="12" t="b">
        <v>0</v>
      </c>
      <c r="V73" s="12" t="b">
        <v>1</v>
      </c>
      <c r="W73" s="86">
        <v>45901</v>
      </c>
      <c r="Y73" s="14">
        <v>125345</v>
      </c>
    </row>
    <row r="74" spans="1:25" hidden="1" x14ac:dyDescent="0.25">
      <c r="A74" s="158" t="str">
        <f>PSPOINTS[[#This Row],[PayScaleCode]]&amp;PSPOINTS[[#This Row],[RateDateFrom]]</f>
        <v>LS_EW45901</v>
      </c>
      <c r="B74" s="57">
        <f t="shared" si="1"/>
        <v>0</v>
      </c>
      <c r="C74" s="57" t="str">
        <f>PSPOINTS[[#This Row],[PayScaleCode]]&amp;PSPOINTS[[#This Row],[PayScalePointCode]]&amp;PSPOINTS[[#This Row],[RateDateFrom]]</f>
        <v>LS_EWL3845901</v>
      </c>
      <c r="D74" s="57">
        <f>COUNTIF(PSPOINTS[Pay Scale String Duplicates],PSPOINTS[[#This Row],[Pay Scale String Duplicates]])-1</f>
        <v>0</v>
      </c>
      <c r="E74" s="57">
        <f>IF((MONTH(_xlfn.XLOOKUP(PSPOINTS[[#This Row],[PayScaleCode]],'19_PayScales'!N:N,'19_PayScales'!R:R)))=MONTH(PSPOINTS[[#This Row],[RateDateFrom]]),0,1)</f>
        <v>0</v>
      </c>
      <c r="F74" s="57">
        <f>IF(ISBLANK(PSPOINTS[[#This Row],[RateDateTo]]),0,IF(PSPOINTS[[#This Row],[RateDateFrom]]&lt;PSPOINTS[[#This Row],[RateDateTo]],0,1))</f>
        <v>0</v>
      </c>
      <c r="G74" s="57" cm="1">
        <f t="array" aca="1" ref="G74" ca="1">IF(CELL("format",PSPOINTS[[#This Row],[RateDateFrom]])="D1",0,1)+IF(CELL("format",PSPOINTS[[#This Row],[RateDateTo]])="D1",0,1)</f>
        <v>0</v>
      </c>
      <c r="H74" s="57">
        <f>IF(OR(PSPOINTS[[#This Row],[Hourly]]=TRUE,PSPOINTS[[#This Row],[Hourly]]=FALSE),IF(OR(PSPOINTS[[#This Row],[PayScalePointEnabled]]=TRUE,PSPOINTS[[#This Row],[PayScalePointEnabled]]=FALSE),0,1),1)</f>
        <v>0</v>
      </c>
      <c r="I74" s="57">
        <f>IF(LEN(PSPOINTS[[#This Row],[PayScalePointCode]])&lt;100,0,1)</f>
        <v>0</v>
      </c>
      <c r="J74" s="57">
        <f>IF(LEN(PSPOINTS[[#This Row],[PayScalePointTitle]])&lt;100,0,1)</f>
        <v>0</v>
      </c>
      <c r="K74" s="57">
        <f>(COUNTBLANK(PSPOINTS[[#This Row],[PayScalePointCode]:[RateDateFrom]])+COUNTBLANK(PSPOINTS[[#This Row],[PayScaleRate]]))</f>
        <v>0</v>
      </c>
      <c r="L74" s="120">
        <f>IF(SUBSTITUTE(TEXT(PSPOINTS[[#This Row],[PayScaleCode]],10)," ","")=TEXT(PSPOINTS[[#This Row],[PayScaleCode]],10),0,1)+IF(SUBSTITUTE(TEXT(PSPOINTS[[#This Row],[PayScalePointCode]],10)," ","")=TEXT(PSPOINTS[[#This Row],[PayScalePointCode]],10),0,1)</f>
        <v>0</v>
      </c>
      <c r="M74" s="57">
        <f ca="1">SUM(PSPOINTS[[#This Row],[Scale Point Issue]:[Space in Code]])</f>
        <v>0</v>
      </c>
      <c r="N74" s="57" t="s">
        <v>1137</v>
      </c>
      <c r="P74" s="12" t="s">
        <v>1388</v>
      </c>
      <c r="Q74" s="57" t="str">
        <f>_xlfn.XLOOKUP(PSPOINTS[[#This Row],[PayScaleCode]],'19_PayScales'!N:N,'19_PayScales'!O:O)</f>
        <v>Leadership Group EW</v>
      </c>
      <c r="R74" s="12" t="s">
        <v>1580</v>
      </c>
      <c r="S74" s="12" t="s">
        <v>1580</v>
      </c>
      <c r="T74" s="12">
        <v>38</v>
      </c>
      <c r="U74" s="12" t="b">
        <v>0</v>
      </c>
      <c r="V74" s="12" t="b">
        <v>1</v>
      </c>
      <c r="W74" s="86">
        <v>45901</v>
      </c>
      <c r="Y74" s="14">
        <v>128447</v>
      </c>
    </row>
    <row r="75" spans="1:25" hidden="1" x14ac:dyDescent="0.25">
      <c r="A75" s="158" t="str">
        <f>PSPOINTS[[#This Row],[PayScaleCode]]&amp;PSPOINTS[[#This Row],[RateDateFrom]]</f>
        <v>LS_EW45901</v>
      </c>
      <c r="B75" s="57">
        <f t="shared" si="1"/>
        <v>0</v>
      </c>
      <c r="C75" s="57" t="str">
        <f>PSPOINTS[[#This Row],[PayScaleCode]]&amp;PSPOINTS[[#This Row],[PayScalePointCode]]&amp;PSPOINTS[[#This Row],[RateDateFrom]]</f>
        <v>LS_EWL3945901</v>
      </c>
      <c r="D75" s="57">
        <f>COUNTIF(PSPOINTS[Pay Scale String Duplicates],PSPOINTS[[#This Row],[Pay Scale String Duplicates]])-1</f>
        <v>0</v>
      </c>
      <c r="E75" s="57">
        <f>IF((MONTH(_xlfn.XLOOKUP(PSPOINTS[[#This Row],[PayScaleCode]],'19_PayScales'!N:N,'19_PayScales'!R:R)))=MONTH(PSPOINTS[[#This Row],[RateDateFrom]]),0,1)</f>
        <v>0</v>
      </c>
      <c r="F75" s="57">
        <f>IF(ISBLANK(PSPOINTS[[#This Row],[RateDateTo]]),0,IF(PSPOINTS[[#This Row],[RateDateFrom]]&lt;PSPOINTS[[#This Row],[RateDateTo]],0,1))</f>
        <v>0</v>
      </c>
      <c r="G75" s="57" cm="1">
        <f t="array" aca="1" ref="G75" ca="1">IF(CELL("format",PSPOINTS[[#This Row],[RateDateFrom]])="D1",0,1)+IF(CELL("format",PSPOINTS[[#This Row],[RateDateTo]])="D1",0,1)</f>
        <v>0</v>
      </c>
      <c r="H75" s="57">
        <f>IF(OR(PSPOINTS[[#This Row],[Hourly]]=TRUE,PSPOINTS[[#This Row],[Hourly]]=FALSE),IF(OR(PSPOINTS[[#This Row],[PayScalePointEnabled]]=TRUE,PSPOINTS[[#This Row],[PayScalePointEnabled]]=FALSE),0,1),1)</f>
        <v>0</v>
      </c>
      <c r="I75" s="57">
        <f>IF(LEN(PSPOINTS[[#This Row],[PayScalePointCode]])&lt;100,0,1)</f>
        <v>0</v>
      </c>
      <c r="J75" s="57">
        <f>IF(LEN(PSPOINTS[[#This Row],[PayScalePointTitle]])&lt;100,0,1)</f>
        <v>0</v>
      </c>
      <c r="K75" s="57">
        <f>(COUNTBLANK(PSPOINTS[[#This Row],[PayScalePointCode]:[RateDateFrom]])+COUNTBLANK(PSPOINTS[[#This Row],[PayScaleRate]]))</f>
        <v>0</v>
      </c>
      <c r="L75" s="120">
        <f>IF(SUBSTITUTE(TEXT(PSPOINTS[[#This Row],[PayScaleCode]],10)," ","")=TEXT(PSPOINTS[[#This Row],[PayScaleCode]],10),0,1)+IF(SUBSTITUTE(TEXT(PSPOINTS[[#This Row],[PayScalePointCode]],10)," ","")=TEXT(PSPOINTS[[#This Row],[PayScalePointCode]],10),0,1)</f>
        <v>0</v>
      </c>
      <c r="M75" s="57">
        <f ca="1">SUM(PSPOINTS[[#This Row],[Scale Point Issue]:[Space in Code]])</f>
        <v>0</v>
      </c>
      <c r="N75" s="57" t="s">
        <v>1137</v>
      </c>
      <c r="P75" s="12" t="s">
        <v>1388</v>
      </c>
      <c r="Q75" s="57" t="str">
        <f>_xlfn.XLOOKUP(PSPOINTS[[#This Row],[PayScaleCode]],'19_PayScales'!N:N,'19_PayScales'!O:O)</f>
        <v>Leadership Group EW</v>
      </c>
      <c r="R75" s="12" t="s">
        <v>1581</v>
      </c>
      <c r="S75" s="12" t="s">
        <v>1581</v>
      </c>
      <c r="T75" s="12">
        <v>39</v>
      </c>
      <c r="U75" s="12" t="b">
        <v>0</v>
      </c>
      <c r="V75" s="12" t="b">
        <v>1</v>
      </c>
      <c r="W75" s="86">
        <v>45901</v>
      </c>
      <c r="Y75" s="14">
        <v>131578</v>
      </c>
    </row>
    <row r="76" spans="1:25" hidden="1" x14ac:dyDescent="0.25">
      <c r="A76" s="158" t="str">
        <f>PSPOINTS[[#This Row],[PayScaleCode]]&amp;PSPOINTS[[#This Row],[RateDateFrom]]</f>
        <v>LS_EW45901</v>
      </c>
      <c r="B76" s="57">
        <f t="shared" si="1"/>
        <v>0</v>
      </c>
      <c r="C76" s="57" t="str">
        <f>PSPOINTS[[#This Row],[PayScaleCode]]&amp;PSPOINTS[[#This Row],[PayScalePointCode]]&amp;PSPOINTS[[#This Row],[RateDateFrom]]</f>
        <v>LS_EWL4045901</v>
      </c>
      <c r="D76" s="57">
        <f>COUNTIF(PSPOINTS[Pay Scale String Duplicates],PSPOINTS[[#This Row],[Pay Scale String Duplicates]])-1</f>
        <v>0</v>
      </c>
      <c r="E76" s="57">
        <f>IF((MONTH(_xlfn.XLOOKUP(PSPOINTS[[#This Row],[PayScaleCode]],'19_PayScales'!N:N,'19_PayScales'!R:R)))=MONTH(PSPOINTS[[#This Row],[RateDateFrom]]),0,1)</f>
        <v>0</v>
      </c>
      <c r="F76" s="57">
        <f>IF(ISBLANK(PSPOINTS[[#This Row],[RateDateTo]]),0,IF(PSPOINTS[[#This Row],[RateDateFrom]]&lt;PSPOINTS[[#This Row],[RateDateTo]],0,1))</f>
        <v>0</v>
      </c>
      <c r="G76" s="57" cm="1">
        <f t="array" aca="1" ref="G76" ca="1">IF(CELL("format",PSPOINTS[[#This Row],[RateDateFrom]])="D1",0,1)+IF(CELL("format",PSPOINTS[[#This Row],[RateDateTo]])="D1",0,1)</f>
        <v>0</v>
      </c>
      <c r="H76" s="57">
        <f>IF(OR(PSPOINTS[[#This Row],[Hourly]]=TRUE,PSPOINTS[[#This Row],[Hourly]]=FALSE),IF(OR(PSPOINTS[[#This Row],[PayScalePointEnabled]]=TRUE,PSPOINTS[[#This Row],[PayScalePointEnabled]]=FALSE),0,1),1)</f>
        <v>0</v>
      </c>
      <c r="I76" s="57">
        <f>IF(LEN(PSPOINTS[[#This Row],[PayScalePointCode]])&lt;100,0,1)</f>
        <v>0</v>
      </c>
      <c r="J76" s="57">
        <f>IF(LEN(PSPOINTS[[#This Row],[PayScalePointTitle]])&lt;100,0,1)</f>
        <v>0</v>
      </c>
      <c r="K76" s="57">
        <f>(COUNTBLANK(PSPOINTS[[#This Row],[PayScalePointCode]:[RateDateFrom]])+COUNTBLANK(PSPOINTS[[#This Row],[PayScaleRate]]))</f>
        <v>0</v>
      </c>
      <c r="L76" s="120">
        <f>IF(SUBSTITUTE(TEXT(PSPOINTS[[#This Row],[PayScaleCode]],10)," ","")=TEXT(PSPOINTS[[#This Row],[PayScaleCode]],10),0,1)+IF(SUBSTITUTE(TEXT(PSPOINTS[[#This Row],[PayScalePointCode]],10)," ","")=TEXT(PSPOINTS[[#This Row],[PayScalePointCode]],10),0,1)</f>
        <v>0</v>
      </c>
      <c r="M76" s="57">
        <f ca="1">SUM(PSPOINTS[[#This Row],[Scale Point Issue]:[Space in Code]])</f>
        <v>0</v>
      </c>
      <c r="N76" s="57" t="s">
        <v>1137</v>
      </c>
      <c r="P76" s="12" t="s">
        <v>1388</v>
      </c>
      <c r="Q76" s="57" t="str">
        <f>_xlfn.XLOOKUP(PSPOINTS[[#This Row],[PayScaleCode]],'19_PayScales'!N:N,'19_PayScales'!O:O)</f>
        <v>Leadership Group EW</v>
      </c>
      <c r="R76" s="12" t="s">
        <v>1582</v>
      </c>
      <c r="S76" s="12" t="s">
        <v>1582</v>
      </c>
      <c r="T76" s="12">
        <v>40</v>
      </c>
      <c r="U76" s="12" t="b">
        <v>0</v>
      </c>
      <c r="V76" s="12" t="b">
        <v>1</v>
      </c>
      <c r="W76" s="86">
        <v>45901</v>
      </c>
      <c r="Y76" s="14">
        <v>134860</v>
      </c>
    </row>
    <row r="77" spans="1:25" hidden="1" x14ac:dyDescent="0.25">
      <c r="A77" s="158" t="str">
        <f>PSPOINTS[[#This Row],[PayScaleCode]]&amp;PSPOINTS[[#This Row],[RateDateFrom]]</f>
        <v>LS_EW45901</v>
      </c>
      <c r="B77" s="57">
        <f t="shared" si="1"/>
        <v>0</v>
      </c>
      <c r="C77" s="57" t="str">
        <f>PSPOINTS[[#This Row],[PayScaleCode]]&amp;PSPOINTS[[#This Row],[PayScalePointCode]]&amp;PSPOINTS[[#This Row],[RateDateFrom]]</f>
        <v>LS_EWL4145901</v>
      </c>
      <c r="D77" s="57">
        <f>COUNTIF(PSPOINTS[Pay Scale String Duplicates],PSPOINTS[[#This Row],[Pay Scale String Duplicates]])-1</f>
        <v>0</v>
      </c>
      <c r="E77" s="57">
        <f>IF((MONTH(_xlfn.XLOOKUP(PSPOINTS[[#This Row],[PayScaleCode]],'19_PayScales'!N:N,'19_PayScales'!R:R)))=MONTH(PSPOINTS[[#This Row],[RateDateFrom]]),0,1)</f>
        <v>0</v>
      </c>
      <c r="F77" s="57">
        <f>IF(ISBLANK(PSPOINTS[[#This Row],[RateDateTo]]),0,IF(PSPOINTS[[#This Row],[RateDateFrom]]&lt;PSPOINTS[[#This Row],[RateDateTo]],0,1))</f>
        <v>0</v>
      </c>
      <c r="G77" s="57" cm="1">
        <f t="array" aca="1" ref="G77" ca="1">IF(CELL("format",PSPOINTS[[#This Row],[RateDateFrom]])="D1",0,1)+IF(CELL("format",PSPOINTS[[#This Row],[RateDateTo]])="D1",0,1)</f>
        <v>0</v>
      </c>
      <c r="H77" s="57">
        <f>IF(OR(PSPOINTS[[#This Row],[Hourly]]=TRUE,PSPOINTS[[#This Row],[Hourly]]=FALSE),IF(OR(PSPOINTS[[#This Row],[PayScalePointEnabled]]=TRUE,PSPOINTS[[#This Row],[PayScalePointEnabled]]=FALSE),0,1),1)</f>
        <v>0</v>
      </c>
      <c r="I77" s="57">
        <f>IF(LEN(PSPOINTS[[#This Row],[PayScalePointCode]])&lt;100,0,1)</f>
        <v>0</v>
      </c>
      <c r="J77" s="57">
        <f>IF(LEN(PSPOINTS[[#This Row],[PayScalePointTitle]])&lt;100,0,1)</f>
        <v>0</v>
      </c>
      <c r="K77" s="57">
        <f>(COUNTBLANK(PSPOINTS[[#This Row],[PayScalePointCode]:[RateDateFrom]])+COUNTBLANK(PSPOINTS[[#This Row],[PayScaleRate]]))</f>
        <v>0</v>
      </c>
      <c r="L77" s="120">
        <f>IF(SUBSTITUTE(TEXT(PSPOINTS[[#This Row],[PayScaleCode]],10)," ","")=TEXT(PSPOINTS[[#This Row],[PayScaleCode]],10),0,1)+IF(SUBSTITUTE(TEXT(PSPOINTS[[#This Row],[PayScalePointCode]],10)," ","")=TEXT(PSPOINTS[[#This Row],[PayScalePointCode]],10),0,1)</f>
        <v>0</v>
      </c>
      <c r="M77" s="57">
        <f ca="1">SUM(PSPOINTS[[#This Row],[Scale Point Issue]:[Space in Code]])</f>
        <v>0</v>
      </c>
      <c r="N77" s="57" t="s">
        <v>1137</v>
      </c>
      <c r="P77" s="12" t="s">
        <v>1388</v>
      </c>
      <c r="Q77" s="57" t="str">
        <f>_xlfn.XLOOKUP(PSPOINTS[[#This Row],[PayScaleCode]],'19_PayScales'!N:N,'19_PayScales'!O:O)</f>
        <v>Leadership Group EW</v>
      </c>
      <c r="R77" s="12" t="s">
        <v>1583</v>
      </c>
      <c r="S77" s="12" t="s">
        <v>1583</v>
      </c>
      <c r="T77" s="12">
        <v>41</v>
      </c>
      <c r="U77" s="12" t="b">
        <v>0</v>
      </c>
      <c r="V77" s="12" t="b">
        <v>1</v>
      </c>
      <c r="W77" s="86">
        <v>45901</v>
      </c>
      <c r="Y77" s="14">
        <v>138230</v>
      </c>
    </row>
    <row r="78" spans="1:25" hidden="1" x14ac:dyDescent="0.25">
      <c r="A78" s="158" t="str">
        <f>PSPOINTS[[#This Row],[PayScaleCode]]&amp;PSPOINTS[[#This Row],[RateDateFrom]]</f>
        <v>LS_EW45901</v>
      </c>
      <c r="B78" s="57">
        <f t="shared" si="1"/>
        <v>0</v>
      </c>
      <c r="C78" s="57" t="str">
        <f>PSPOINTS[[#This Row],[PayScaleCode]]&amp;PSPOINTS[[#This Row],[PayScalePointCode]]&amp;PSPOINTS[[#This Row],[RateDateFrom]]</f>
        <v>LS_EWL4245901</v>
      </c>
      <c r="D78" s="57">
        <f>COUNTIF(PSPOINTS[Pay Scale String Duplicates],PSPOINTS[[#This Row],[Pay Scale String Duplicates]])-1</f>
        <v>0</v>
      </c>
      <c r="E78" s="57">
        <f>IF((MONTH(_xlfn.XLOOKUP(PSPOINTS[[#This Row],[PayScaleCode]],'19_PayScales'!N:N,'19_PayScales'!R:R)))=MONTH(PSPOINTS[[#This Row],[RateDateFrom]]),0,1)</f>
        <v>0</v>
      </c>
      <c r="F78" s="57">
        <f>IF(ISBLANK(PSPOINTS[[#This Row],[RateDateTo]]),0,IF(PSPOINTS[[#This Row],[RateDateFrom]]&lt;PSPOINTS[[#This Row],[RateDateTo]],0,1))</f>
        <v>0</v>
      </c>
      <c r="G78" s="57" cm="1">
        <f t="array" aca="1" ref="G78" ca="1">IF(CELL("format",PSPOINTS[[#This Row],[RateDateFrom]])="D1",0,1)+IF(CELL("format",PSPOINTS[[#This Row],[RateDateTo]])="D1",0,1)</f>
        <v>0</v>
      </c>
      <c r="H78" s="57">
        <f>IF(OR(PSPOINTS[[#This Row],[Hourly]]=TRUE,PSPOINTS[[#This Row],[Hourly]]=FALSE),IF(OR(PSPOINTS[[#This Row],[PayScalePointEnabled]]=TRUE,PSPOINTS[[#This Row],[PayScalePointEnabled]]=FALSE),0,1),1)</f>
        <v>0</v>
      </c>
      <c r="I78" s="57">
        <f>IF(LEN(PSPOINTS[[#This Row],[PayScalePointCode]])&lt;100,0,1)</f>
        <v>0</v>
      </c>
      <c r="J78" s="57">
        <f>IF(LEN(PSPOINTS[[#This Row],[PayScalePointTitle]])&lt;100,0,1)</f>
        <v>0</v>
      </c>
      <c r="K78" s="57">
        <f>(COUNTBLANK(PSPOINTS[[#This Row],[PayScalePointCode]:[RateDateFrom]])+COUNTBLANK(PSPOINTS[[#This Row],[PayScaleRate]]))</f>
        <v>0</v>
      </c>
      <c r="L78" s="120">
        <f>IF(SUBSTITUTE(TEXT(PSPOINTS[[#This Row],[PayScaleCode]],10)," ","")=TEXT(PSPOINTS[[#This Row],[PayScaleCode]],10),0,1)+IF(SUBSTITUTE(TEXT(PSPOINTS[[#This Row],[PayScalePointCode]],10)," ","")=TEXT(PSPOINTS[[#This Row],[PayScalePointCode]],10),0,1)</f>
        <v>0</v>
      </c>
      <c r="M78" s="57">
        <f ca="1">SUM(PSPOINTS[[#This Row],[Scale Point Issue]:[Space in Code]])</f>
        <v>0</v>
      </c>
      <c r="N78" s="57" t="s">
        <v>1137</v>
      </c>
      <c r="P78" s="12" t="s">
        <v>1388</v>
      </c>
      <c r="Q78" s="57" t="str">
        <f>_xlfn.XLOOKUP(PSPOINTS[[#This Row],[PayScaleCode]],'19_PayScales'!N:N,'19_PayScales'!O:O)</f>
        <v>Leadership Group EW</v>
      </c>
      <c r="R78" s="12" t="s">
        <v>1584</v>
      </c>
      <c r="S78" s="12" t="s">
        <v>1584</v>
      </c>
      <c r="T78" s="12">
        <v>42</v>
      </c>
      <c r="U78" s="12" t="b">
        <v>0</v>
      </c>
      <c r="V78" s="12" t="b">
        <v>1</v>
      </c>
      <c r="W78" s="86">
        <v>45901</v>
      </c>
      <c r="Y78" s="14">
        <v>141693</v>
      </c>
    </row>
    <row r="79" spans="1:25" hidden="1" x14ac:dyDescent="0.25">
      <c r="A79" s="158" t="str">
        <f>PSPOINTS[[#This Row],[PayScaleCode]]&amp;PSPOINTS[[#This Row],[RateDateFrom]]</f>
        <v>LS_EW45901</v>
      </c>
      <c r="B79" s="57">
        <f t="shared" si="1"/>
        <v>0</v>
      </c>
      <c r="C79" s="57" t="str">
        <f>PSPOINTS[[#This Row],[PayScaleCode]]&amp;PSPOINTS[[#This Row],[PayScalePointCode]]&amp;PSPOINTS[[#This Row],[RateDateFrom]]</f>
        <v>LS_EWL4345901</v>
      </c>
      <c r="D79" s="57">
        <f>COUNTIF(PSPOINTS[Pay Scale String Duplicates],PSPOINTS[[#This Row],[Pay Scale String Duplicates]])-1</f>
        <v>0</v>
      </c>
      <c r="E79" s="57">
        <f>IF((MONTH(_xlfn.XLOOKUP(PSPOINTS[[#This Row],[PayScaleCode]],'19_PayScales'!N:N,'19_PayScales'!R:R)))=MONTH(PSPOINTS[[#This Row],[RateDateFrom]]),0,1)</f>
        <v>0</v>
      </c>
      <c r="F79" s="57">
        <f>IF(ISBLANK(PSPOINTS[[#This Row],[RateDateTo]]),0,IF(PSPOINTS[[#This Row],[RateDateFrom]]&lt;PSPOINTS[[#This Row],[RateDateTo]],0,1))</f>
        <v>0</v>
      </c>
      <c r="G79" s="57" cm="1">
        <f t="array" aca="1" ref="G79" ca="1">IF(CELL("format",PSPOINTS[[#This Row],[RateDateFrom]])="D1",0,1)+IF(CELL("format",PSPOINTS[[#This Row],[RateDateTo]])="D1",0,1)</f>
        <v>0</v>
      </c>
      <c r="H79" s="57">
        <f>IF(OR(PSPOINTS[[#This Row],[Hourly]]=TRUE,PSPOINTS[[#This Row],[Hourly]]=FALSE),IF(OR(PSPOINTS[[#This Row],[PayScalePointEnabled]]=TRUE,PSPOINTS[[#This Row],[PayScalePointEnabled]]=FALSE),0,1),1)</f>
        <v>0</v>
      </c>
      <c r="I79" s="57">
        <f>IF(LEN(PSPOINTS[[#This Row],[PayScalePointCode]])&lt;100,0,1)</f>
        <v>0</v>
      </c>
      <c r="J79" s="57">
        <f>IF(LEN(PSPOINTS[[#This Row],[PayScalePointTitle]])&lt;100,0,1)</f>
        <v>0</v>
      </c>
      <c r="K79" s="57">
        <f>(COUNTBLANK(PSPOINTS[[#This Row],[PayScalePointCode]:[RateDateFrom]])+COUNTBLANK(PSPOINTS[[#This Row],[PayScaleRate]]))</f>
        <v>0</v>
      </c>
      <c r="L79" s="120">
        <f>IF(SUBSTITUTE(TEXT(PSPOINTS[[#This Row],[PayScaleCode]],10)," ","")=TEXT(PSPOINTS[[#This Row],[PayScaleCode]],10),0,1)+IF(SUBSTITUTE(TEXT(PSPOINTS[[#This Row],[PayScalePointCode]],10)," ","")=TEXT(PSPOINTS[[#This Row],[PayScalePointCode]],10),0,1)</f>
        <v>0</v>
      </c>
      <c r="M79" s="57">
        <f ca="1">SUM(PSPOINTS[[#This Row],[Scale Point Issue]:[Space in Code]])</f>
        <v>0</v>
      </c>
      <c r="N79" s="57" t="s">
        <v>1137</v>
      </c>
      <c r="P79" s="12" t="s">
        <v>1388</v>
      </c>
      <c r="Q79" s="57" t="str">
        <f>_xlfn.XLOOKUP(PSPOINTS[[#This Row],[PayScaleCode]],'19_PayScales'!N:N,'19_PayScales'!O:O)</f>
        <v>Leadership Group EW</v>
      </c>
      <c r="R79" s="12" t="s">
        <v>1456</v>
      </c>
      <c r="S79" s="12" t="s">
        <v>1456</v>
      </c>
      <c r="T79" s="12">
        <v>43</v>
      </c>
      <c r="U79" s="12" t="b">
        <v>0</v>
      </c>
      <c r="V79" s="12" t="b">
        <v>1</v>
      </c>
      <c r="W79" s="86">
        <v>45901</v>
      </c>
      <c r="Y79" s="14">
        <v>143796</v>
      </c>
    </row>
    <row r="80" spans="1:25" hidden="1" x14ac:dyDescent="0.25">
      <c r="A80" s="158" t="str">
        <f>PSPOINTS[[#This Row],[PayScaleCode]]&amp;PSPOINTS[[#This Row],[RateDateFrom]]</f>
        <v>NJC_EW45748</v>
      </c>
      <c r="B80" s="57">
        <f t="shared" si="1"/>
        <v>0</v>
      </c>
      <c r="C80" s="57" t="str">
        <f>PSPOINTS[[#This Row],[PayScaleCode]]&amp;PSPOINTS[[#This Row],[PayScalePointCode]]&amp;PSPOINTS[[#This Row],[RateDateFrom]]</f>
        <v>NJC_EW145748</v>
      </c>
      <c r="D80" s="57">
        <f>COUNTIF(PSPOINTS[Pay Scale String Duplicates],PSPOINTS[[#This Row],[Pay Scale String Duplicates]])-1</f>
        <v>0</v>
      </c>
      <c r="E80" s="57">
        <f>IF((MONTH(_xlfn.XLOOKUP(PSPOINTS[[#This Row],[PayScaleCode]],'19_PayScales'!N:N,'19_PayScales'!R:R)))=MONTH(PSPOINTS[[#This Row],[RateDateFrom]]),0,1)</f>
        <v>0</v>
      </c>
      <c r="F80" s="57">
        <f>IF(ISBLANK(PSPOINTS[[#This Row],[RateDateTo]]),0,IF(PSPOINTS[[#This Row],[RateDateFrom]]&lt;PSPOINTS[[#This Row],[RateDateTo]],0,1))</f>
        <v>0</v>
      </c>
      <c r="G80" s="57" cm="1">
        <f t="array" aca="1" ref="G80" ca="1">IF(CELL("format",PSPOINTS[[#This Row],[RateDateFrom]])="D1",0,1)+IF(CELL("format",PSPOINTS[[#This Row],[RateDateTo]])="D1",0,1)</f>
        <v>0</v>
      </c>
      <c r="H80" s="57">
        <f>IF(OR(PSPOINTS[[#This Row],[Hourly]]=TRUE,PSPOINTS[[#This Row],[Hourly]]=FALSE),IF(OR(PSPOINTS[[#This Row],[PayScalePointEnabled]]=TRUE,PSPOINTS[[#This Row],[PayScalePointEnabled]]=FALSE),0,1),1)</f>
        <v>0</v>
      </c>
      <c r="I80" s="57">
        <f>IF(LEN(PSPOINTS[[#This Row],[PayScalePointCode]])&lt;100,0,1)</f>
        <v>0</v>
      </c>
      <c r="J80" s="57">
        <f>IF(LEN(PSPOINTS[[#This Row],[PayScalePointTitle]])&lt;100,0,1)</f>
        <v>0</v>
      </c>
      <c r="K80" s="57">
        <f>(COUNTBLANK(PSPOINTS[[#This Row],[PayScalePointCode]:[RateDateFrom]])+COUNTBLANK(PSPOINTS[[#This Row],[PayScaleRate]]))</f>
        <v>0</v>
      </c>
      <c r="L80" s="120">
        <f>IF(SUBSTITUTE(TEXT(PSPOINTS[[#This Row],[PayScaleCode]],10)," ","")=TEXT(PSPOINTS[[#This Row],[PayScaleCode]],10),0,1)+IF(SUBSTITUTE(TEXT(PSPOINTS[[#This Row],[PayScalePointCode]],10)," ","")=TEXT(PSPOINTS[[#This Row],[PayScalePointCode]],10),0,1)</f>
        <v>0</v>
      </c>
      <c r="M80" s="57">
        <f ca="1">SUM(PSPOINTS[[#This Row],[Scale Point Issue]:[Space in Code]])</f>
        <v>0</v>
      </c>
      <c r="N80" s="57" t="s">
        <v>1137</v>
      </c>
      <c r="P80" s="12" t="s">
        <v>1390</v>
      </c>
      <c r="Q80" s="57" t="str">
        <f>_xlfn.XLOOKUP(PSPOINTS[[#This Row],[PayScaleCode]],'19_PayScales'!N:N,'19_PayScales'!O:O)</f>
        <v>NJC EW</v>
      </c>
      <c r="R80" s="12">
        <v>1</v>
      </c>
      <c r="S80" s="12">
        <v>1</v>
      </c>
      <c r="T80" s="12">
        <v>1</v>
      </c>
      <c r="U80" s="12" t="b">
        <v>0</v>
      </c>
      <c r="V80" s="112" t="b">
        <v>0</v>
      </c>
      <c r="W80" s="86">
        <v>45748</v>
      </c>
      <c r="Y80" s="14">
        <v>0</v>
      </c>
    </row>
    <row r="81" spans="1:25" hidden="1" x14ac:dyDescent="0.25">
      <c r="A81" s="158" t="str">
        <f>PSPOINTS[[#This Row],[PayScaleCode]]&amp;PSPOINTS[[#This Row],[RateDateFrom]]</f>
        <v>NJC_EW45748</v>
      </c>
      <c r="B81" s="57">
        <f t="shared" si="1"/>
        <v>0</v>
      </c>
      <c r="C81" s="57" t="str">
        <f>PSPOINTS[[#This Row],[PayScaleCode]]&amp;PSPOINTS[[#This Row],[PayScalePointCode]]&amp;PSPOINTS[[#This Row],[RateDateFrom]]</f>
        <v>NJC_EW245748</v>
      </c>
      <c r="D81" s="57">
        <f>COUNTIF(PSPOINTS[Pay Scale String Duplicates],PSPOINTS[[#This Row],[Pay Scale String Duplicates]])-1</f>
        <v>0</v>
      </c>
      <c r="E81" s="57">
        <f>IF((MONTH(_xlfn.XLOOKUP(PSPOINTS[[#This Row],[PayScaleCode]],'19_PayScales'!N:N,'19_PayScales'!R:R)))=MONTH(PSPOINTS[[#This Row],[RateDateFrom]]),0,1)</f>
        <v>0</v>
      </c>
      <c r="F81" s="57">
        <f>IF(ISBLANK(PSPOINTS[[#This Row],[RateDateTo]]),0,IF(PSPOINTS[[#This Row],[RateDateFrom]]&lt;PSPOINTS[[#This Row],[RateDateTo]],0,1))</f>
        <v>0</v>
      </c>
      <c r="G81" s="57" cm="1">
        <f t="array" aca="1" ref="G81" ca="1">IF(CELL("format",PSPOINTS[[#This Row],[RateDateFrom]])="D1",0,1)+IF(CELL("format",PSPOINTS[[#This Row],[RateDateTo]])="D1",0,1)</f>
        <v>0</v>
      </c>
      <c r="H81" s="57">
        <f>IF(OR(PSPOINTS[[#This Row],[Hourly]]=TRUE,PSPOINTS[[#This Row],[Hourly]]=FALSE),IF(OR(PSPOINTS[[#This Row],[PayScalePointEnabled]]=TRUE,PSPOINTS[[#This Row],[PayScalePointEnabled]]=FALSE),0,1),1)</f>
        <v>0</v>
      </c>
      <c r="I81" s="57">
        <f>IF(LEN(PSPOINTS[[#This Row],[PayScalePointCode]])&lt;100,0,1)</f>
        <v>0</v>
      </c>
      <c r="J81" s="57">
        <f>IF(LEN(PSPOINTS[[#This Row],[PayScalePointTitle]])&lt;100,0,1)</f>
        <v>0</v>
      </c>
      <c r="K81" s="57">
        <f>(COUNTBLANK(PSPOINTS[[#This Row],[PayScalePointCode]:[RateDateFrom]])+COUNTBLANK(PSPOINTS[[#This Row],[PayScaleRate]]))</f>
        <v>0</v>
      </c>
      <c r="L81" s="120">
        <f>IF(SUBSTITUTE(TEXT(PSPOINTS[[#This Row],[PayScaleCode]],10)," ","")=TEXT(PSPOINTS[[#This Row],[PayScaleCode]],10),0,1)+IF(SUBSTITUTE(TEXT(PSPOINTS[[#This Row],[PayScalePointCode]],10)," ","")=TEXT(PSPOINTS[[#This Row],[PayScalePointCode]],10),0,1)</f>
        <v>0</v>
      </c>
      <c r="M81" s="57">
        <f ca="1">SUM(PSPOINTS[[#This Row],[Scale Point Issue]:[Space in Code]])</f>
        <v>0</v>
      </c>
      <c r="N81" s="57" t="s">
        <v>1137</v>
      </c>
      <c r="P81" s="12" t="s">
        <v>1390</v>
      </c>
      <c r="Q81" s="57" t="str">
        <f>_xlfn.XLOOKUP(PSPOINTS[[#This Row],[PayScaleCode]],'19_PayScales'!N:N,'19_PayScales'!O:O)</f>
        <v>NJC EW</v>
      </c>
      <c r="R81" s="12">
        <v>2</v>
      </c>
      <c r="S81" s="12">
        <v>2</v>
      </c>
      <c r="T81" s="12">
        <v>2</v>
      </c>
      <c r="U81" s="12" t="b">
        <v>0</v>
      </c>
      <c r="V81" s="15" t="b">
        <v>1</v>
      </c>
      <c r="W81" s="86">
        <v>45748</v>
      </c>
      <c r="Y81" s="14">
        <v>24413</v>
      </c>
    </row>
    <row r="82" spans="1:25" hidden="1" x14ac:dyDescent="0.25">
      <c r="A82" s="158" t="str">
        <f>PSPOINTS[[#This Row],[PayScaleCode]]&amp;PSPOINTS[[#This Row],[RateDateFrom]]</f>
        <v>NJC_EW45748</v>
      </c>
      <c r="B82" s="57">
        <f t="shared" si="1"/>
        <v>0</v>
      </c>
      <c r="C82" s="57" t="str">
        <f>PSPOINTS[[#This Row],[PayScaleCode]]&amp;PSPOINTS[[#This Row],[PayScalePointCode]]&amp;PSPOINTS[[#This Row],[RateDateFrom]]</f>
        <v>NJC_EW345748</v>
      </c>
      <c r="D82" s="57">
        <f>COUNTIF(PSPOINTS[Pay Scale String Duplicates],PSPOINTS[[#This Row],[Pay Scale String Duplicates]])-1</f>
        <v>0</v>
      </c>
      <c r="E82" s="57">
        <f>IF((MONTH(_xlfn.XLOOKUP(PSPOINTS[[#This Row],[PayScaleCode]],'19_PayScales'!N:N,'19_PayScales'!R:R)))=MONTH(PSPOINTS[[#This Row],[RateDateFrom]]),0,1)</f>
        <v>0</v>
      </c>
      <c r="F82" s="57">
        <f>IF(ISBLANK(PSPOINTS[[#This Row],[RateDateTo]]),0,IF(PSPOINTS[[#This Row],[RateDateFrom]]&lt;PSPOINTS[[#This Row],[RateDateTo]],0,1))</f>
        <v>0</v>
      </c>
      <c r="G82" s="57" cm="1">
        <f t="array" aca="1" ref="G82" ca="1">IF(CELL("format",PSPOINTS[[#This Row],[RateDateFrom]])="D1",0,1)+IF(CELL("format",PSPOINTS[[#This Row],[RateDateTo]])="D1",0,1)</f>
        <v>0</v>
      </c>
      <c r="H82" s="57">
        <f>IF(OR(PSPOINTS[[#This Row],[Hourly]]=TRUE,PSPOINTS[[#This Row],[Hourly]]=FALSE),IF(OR(PSPOINTS[[#This Row],[PayScalePointEnabled]]=TRUE,PSPOINTS[[#This Row],[PayScalePointEnabled]]=FALSE),0,1),1)</f>
        <v>0</v>
      </c>
      <c r="I82" s="57">
        <f>IF(LEN(PSPOINTS[[#This Row],[PayScalePointCode]])&lt;100,0,1)</f>
        <v>0</v>
      </c>
      <c r="J82" s="57">
        <f>IF(LEN(PSPOINTS[[#This Row],[PayScalePointTitle]])&lt;100,0,1)</f>
        <v>0</v>
      </c>
      <c r="K82" s="57">
        <f>(COUNTBLANK(PSPOINTS[[#This Row],[PayScalePointCode]:[RateDateFrom]])+COUNTBLANK(PSPOINTS[[#This Row],[PayScaleRate]]))</f>
        <v>0</v>
      </c>
      <c r="L82" s="120">
        <f>IF(SUBSTITUTE(TEXT(PSPOINTS[[#This Row],[PayScaleCode]],10)," ","")=TEXT(PSPOINTS[[#This Row],[PayScaleCode]],10),0,1)+IF(SUBSTITUTE(TEXT(PSPOINTS[[#This Row],[PayScalePointCode]],10)," ","")=TEXT(PSPOINTS[[#This Row],[PayScalePointCode]],10),0,1)</f>
        <v>0</v>
      </c>
      <c r="M82" s="57">
        <f ca="1">SUM(PSPOINTS[[#This Row],[Scale Point Issue]:[Space in Code]])</f>
        <v>0</v>
      </c>
      <c r="N82" s="57" t="s">
        <v>1137</v>
      </c>
      <c r="P82" s="12" t="s">
        <v>1390</v>
      </c>
      <c r="Q82" s="57" t="str">
        <f>_xlfn.XLOOKUP(PSPOINTS[[#This Row],[PayScaleCode]],'19_PayScales'!N:N,'19_PayScales'!O:O)</f>
        <v>NJC EW</v>
      </c>
      <c r="R82" s="12">
        <v>3</v>
      </c>
      <c r="S82" s="12">
        <v>3</v>
      </c>
      <c r="T82" s="12">
        <v>3</v>
      </c>
      <c r="U82" s="12" t="b">
        <v>0</v>
      </c>
      <c r="V82" s="15" t="b">
        <v>1</v>
      </c>
      <c r="W82" s="86">
        <v>45748</v>
      </c>
      <c r="Y82" s="14">
        <v>24796</v>
      </c>
    </row>
    <row r="83" spans="1:25" hidden="1" x14ac:dyDescent="0.25">
      <c r="A83" s="158" t="str">
        <f>PSPOINTS[[#This Row],[PayScaleCode]]&amp;PSPOINTS[[#This Row],[RateDateFrom]]</f>
        <v>NJC_EW45748</v>
      </c>
      <c r="B83" s="57">
        <f t="shared" si="1"/>
        <v>0</v>
      </c>
      <c r="C83" s="57" t="str">
        <f>PSPOINTS[[#This Row],[PayScaleCode]]&amp;PSPOINTS[[#This Row],[PayScalePointCode]]&amp;PSPOINTS[[#This Row],[RateDateFrom]]</f>
        <v>NJC_EW445748</v>
      </c>
      <c r="D83" s="57">
        <f>COUNTIF(PSPOINTS[Pay Scale String Duplicates],PSPOINTS[[#This Row],[Pay Scale String Duplicates]])-1</f>
        <v>0</v>
      </c>
      <c r="E83" s="57">
        <f>IF((MONTH(_xlfn.XLOOKUP(PSPOINTS[[#This Row],[PayScaleCode]],'19_PayScales'!N:N,'19_PayScales'!R:R)))=MONTH(PSPOINTS[[#This Row],[RateDateFrom]]),0,1)</f>
        <v>0</v>
      </c>
      <c r="F83" s="57">
        <f>IF(ISBLANK(PSPOINTS[[#This Row],[RateDateTo]]),0,IF(PSPOINTS[[#This Row],[RateDateFrom]]&lt;PSPOINTS[[#This Row],[RateDateTo]],0,1))</f>
        <v>0</v>
      </c>
      <c r="G83" s="57" cm="1">
        <f t="array" aca="1" ref="G83" ca="1">IF(CELL("format",PSPOINTS[[#This Row],[RateDateFrom]])="D1",0,1)+IF(CELL("format",PSPOINTS[[#This Row],[RateDateTo]])="D1",0,1)</f>
        <v>0</v>
      </c>
      <c r="H83" s="57">
        <f>IF(OR(PSPOINTS[[#This Row],[Hourly]]=TRUE,PSPOINTS[[#This Row],[Hourly]]=FALSE),IF(OR(PSPOINTS[[#This Row],[PayScalePointEnabled]]=TRUE,PSPOINTS[[#This Row],[PayScalePointEnabled]]=FALSE),0,1),1)</f>
        <v>0</v>
      </c>
      <c r="I83" s="57">
        <f>IF(LEN(PSPOINTS[[#This Row],[PayScalePointCode]])&lt;100,0,1)</f>
        <v>0</v>
      </c>
      <c r="J83" s="57">
        <f>IF(LEN(PSPOINTS[[#This Row],[PayScalePointTitle]])&lt;100,0,1)</f>
        <v>0</v>
      </c>
      <c r="K83" s="57">
        <f>(COUNTBLANK(PSPOINTS[[#This Row],[PayScalePointCode]:[RateDateFrom]])+COUNTBLANK(PSPOINTS[[#This Row],[PayScaleRate]]))</f>
        <v>0</v>
      </c>
      <c r="L83" s="120">
        <f>IF(SUBSTITUTE(TEXT(PSPOINTS[[#This Row],[PayScaleCode]],10)," ","")=TEXT(PSPOINTS[[#This Row],[PayScaleCode]],10),0,1)+IF(SUBSTITUTE(TEXT(PSPOINTS[[#This Row],[PayScalePointCode]],10)," ","")=TEXT(PSPOINTS[[#This Row],[PayScalePointCode]],10),0,1)</f>
        <v>0</v>
      </c>
      <c r="M83" s="57">
        <f ca="1">SUM(PSPOINTS[[#This Row],[Scale Point Issue]:[Space in Code]])</f>
        <v>0</v>
      </c>
      <c r="N83" s="57" t="s">
        <v>1137</v>
      </c>
      <c r="P83" s="12" t="s">
        <v>1390</v>
      </c>
      <c r="Q83" s="57" t="str">
        <f>_xlfn.XLOOKUP(PSPOINTS[[#This Row],[PayScaleCode]],'19_PayScales'!N:N,'19_PayScales'!O:O)</f>
        <v>NJC EW</v>
      </c>
      <c r="R83" s="12">
        <v>4</v>
      </c>
      <c r="S83" s="12">
        <v>4</v>
      </c>
      <c r="T83" s="12">
        <v>4</v>
      </c>
      <c r="U83" s="12" t="b">
        <v>0</v>
      </c>
      <c r="V83" s="15" t="b">
        <v>1</v>
      </c>
      <c r="W83" s="86">
        <v>45748</v>
      </c>
      <c r="Y83" s="14">
        <v>25185</v>
      </c>
    </row>
    <row r="84" spans="1:25" hidden="1" x14ac:dyDescent="0.25">
      <c r="A84" s="158" t="str">
        <f>PSPOINTS[[#This Row],[PayScaleCode]]&amp;PSPOINTS[[#This Row],[RateDateFrom]]</f>
        <v>NJC_EW45748</v>
      </c>
      <c r="B84" s="57">
        <f t="shared" si="1"/>
        <v>0</v>
      </c>
      <c r="C84" s="57" t="str">
        <f>PSPOINTS[[#This Row],[PayScaleCode]]&amp;PSPOINTS[[#This Row],[PayScalePointCode]]&amp;PSPOINTS[[#This Row],[RateDateFrom]]</f>
        <v>NJC_EW545748</v>
      </c>
      <c r="D84" s="57">
        <f>COUNTIF(PSPOINTS[Pay Scale String Duplicates],PSPOINTS[[#This Row],[Pay Scale String Duplicates]])-1</f>
        <v>0</v>
      </c>
      <c r="E84" s="57">
        <f>IF((MONTH(_xlfn.XLOOKUP(PSPOINTS[[#This Row],[PayScaleCode]],'19_PayScales'!N:N,'19_PayScales'!R:R)))=MONTH(PSPOINTS[[#This Row],[RateDateFrom]]),0,1)</f>
        <v>0</v>
      </c>
      <c r="F84" s="57">
        <f>IF(ISBLANK(PSPOINTS[[#This Row],[RateDateTo]]),0,IF(PSPOINTS[[#This Row],[RateDateFrom]]&lt;PSPOINTS[[#This Row],[RateDateTo]],0,1))</f>
        <v>0</v>
      </c>
      <c r="G84" s="57" cm="1">
        <f t="array" aca="1" ref="G84" ca="1">IF(CELL("format",PSPOINTS[[#This Row],[RateDateFrom]])="D1",0,1)+IF(CELL("format",PSPOINTS[[#This Row],[RateDateTo]])="D1",0,1)</f>
        <v>0</v>
      </c>
      <c r="H84" s="57">
        <f>IF(OR(PSPOINTS[[#This Row],[Hourly]]=TRUE,PSPOINTS[[#This Row],[Hourly]]=FALSE),IF(OR(PSPOINTS[[#This Row],[PayScalePointEnabled]]=TRUE,PSPOINTS[[#This Row],[PayScalePointEnabled]]=FALSE),0,1),1)</f>
        <v>0</v>
      </c>
      <c r="I84" s="57">
        <f>IF(LEN(PSPOINTS[[#This Row],[PayScalePointCode]])&lt;100,0,1)</f>
        <v>0</v>
      </c>
      <c r="J84" s="57">
        <f>IF(LEN(PSPOINTS[[#This Row],[PayScalePointTitle]])&lt;100,0,1)</f>
        <v>0</v>
      </c>
      <c r="K84" s="57">
        <f>(COUNTBLANK(PSPOINTS[[#This Row],[PayScalePointCode]:[RateDateFrom]])+COUNTBLANK(PSPOINTS[[#This Row],[PayScaleRate]]))</f>
        <v>0</v>
      </c>
      <c r="L84" s="120">
        <f>IF(SUBSTITUTE(TEXT(PSPOINTS[[#This Row],[PayScaleCode]],10)," ","")=TEXT(PSPOINTS[[#This Row],[PayScaleCode]],10),0,1)+IF(SUBSTITUTE(TEXT(PSPOINTS[[#This Row],[PayScalePointCode]],10)," ","")=TEXT(PSPOINTS[[#This Row],[PayScalePointCode]],10),0,1)</f>
        <v>0</v>
      </c>
      <c r="M84" s="57">
        <f ca="1">SUM(PSPOINTS[[#This Row],[Scale Point Issue]:[Space in Code]])</f>
        <v>0</v>
      </c>
      <c r="N84" s="57" t="s">
        <v>1137</v>
      </c>
      <c r="P84" s="12" t="s">
        <v>1390</v>
      </c>
      <c r="Q84" s="57" t="str">
        <f>_xlfn.XLOOKUP(PSPOINTS[[#This Row],[PayScaleCode]],'19_PayScales'!N:N,'19_PayScales'!O:O)</f>
        <v>NJC EW</v>
      </c>
      <c r="R84" s="12">
        <v>5</v>
      </c>
      <c r="S84" s="12">
        <v>5</v>
      </c>
      <c r="T84" s="12">
        <v>5</v>
      </c>
      <c r="U84" s="12" t="b">
        <v>0</v>
      </c>
      <c r="V84" s="15" t="b">
        <v>1</v>
      </c>
      <c r="W84" s="86">
        <v>45748</v>
      </c>
      <c r="Y84" s="14">
        <v>25583</v>
      </c>
    </row>
    <row r="85" spans="1:25" hidden="1" x14ac:dyDescent="0.25">
      <c r="A85" s="158" t="str">
        <f>PSPOINTS[[#This Row],[PayScaleCode]]&amp;PSPOINTS[[#This Row],[RateDateFrom]]</f>
        <v>NJC_EW45748</v>
      </c>
      <c r="B85" s="57">
        <f t="shared" si="1"/>
        <v>0</v>
      </c>
      <c r="C85" s="57" t="str">
        <f>PSPOINTS[[#This Row],[PayScaleCode]]&amp;PSPOINTS[[#This Row],[PayScalePointCode]]&amp;PSPOINTS[[#This Row],[RateDateFrom]]</f>
        <v>NJC_EW645748</v>
      </c>
      <c r="D85" s="57">
        <f>COUNTIF(PSPOINTS[Pay Scale String Duplicates],PSPOINTS[[#This Row],[Pay Scale String Duplicates]])-1</f>
        <v>0</v>
      </c>
      <c r="E85" s="57">
        <f>IF((MONTH(_xlfn.XLOOKUP(PSPOINTS[[#This Row],[PayScaleCode]],'19_PayScales'!N:N,'19_PayScales'!R:R)))=MONTH(PSPOINTS[[#This Row],[RateDateFrom]]),0,1)</f>
        <v>0</v>
      </c>
      <c r="F85" s="57">
        <f>IF(ISBLANK(PSPOINTS[[#This Row],[RateDateTo]]),0,IF(PSPOINTS[[#This Row],[RateDateFrom]]&lt;PSPOINTS[[#This Row],[RateDateTo]],0,1))</f>
        <v>0</v>
      </c>
      <c r="G85" s="57" cm="1">
        <f t="array" aca="1" ref="G85" ca="1">IF(CELL("format",PSPOINTS[[#This Row],[RateDateFrom]])="D1",0,1)+IF(CELL("format",PSPOINTS[[#This Row],[RateDateTo]])="D1",0,1)</f>
        <v>0</v>
      </c>
      <c r="H85" s="57">
        <f>IF(OR(PSPOINTS[[#This Row],[Hourly]]=TRUE,PSPOINTS[[#This Row],[Hourly]]=FALSE),IF(OR(PSPOINTS[[#This Row],[PayScalePointEnabled]]=TRUE,PSPOINTS[[#This Row],[PayScalePointEnabled]]=FALSE),0,1),1)</f>
        <v>0</v>
      </c>
      <c r="I85" s="57">
        <f>IF(LEN(PSPOINTS[[#This Row],[PayScalePointCode]])&lt;100,0,1)</f>
        <v>0</v>
      </c>
      <c r="J85" s="57">
        <f>IF(LEN(PSPOINTS[[#This Row],[PayScalePointTitle]])&lt;100,0,1)</f>
        <v>0</v>
      </c>
      <c r="K85" s="57">
        <f>(COUNTBLANK(PSPOINTS[[#This Row],[PayScalePointCode]:[RateDateFrom]])+COUNTBLANK(PSPOINTS[[#This Row],[PayScaleRate]]))</f>
        <v>0</v>
      </c>
      <c r="L85" s="120">
        <f>IF(SUBSTITUTE(TEXT(PSPOINTS[[#This Row],[PayScaleCode]],10)," ","")=TEXT(PSPOINTS[[#This Row],[PayScaleCode]],10),0,1)+IF(SUBSTITUTE(TEXT(PSPOINTS[[#This Row],[PayScalePointCode]],10)," ","")=TEXT(PSPOINTS[[#This Row],[PayScalePointCode]],10),0,1)</f>
        <v>0</v>
      </c>
      <c r="M85" s="57">
        <f ca="1">SUM(PSPOINTS[[#This Row],[Scale Point Issue]:[Space in Code]])</f>
        <v>0</v>
      </c>
      <c r="N85" s="57" t="s">
        <v>1137</v>
      </c>
      <c r="P85" s="12" t="s">
        <v>1390</v>
      </c>
      <c r="Q85" s="57" t="str">
        <f>_xlfn.XLOOKUP(PSPOINTS[[#This Row],[PayScaleCode]],'19_PayScales'!N:N,'19_PayScales'!O:O)</f>
        <v>NJC EW</v>
      </c>
      <c r="R85" s="12">
        <v>6</v>
      </c>
      <c r="S85" s="12">
        <v>6</v>
      </c>
      <c r="T85" s="12">
        <v>6</v>
      </c>
      <c r="U85" s="12" t="b">
        <v>0</v>
      </c>
      <c r="V85" s="15" t="b">
        <v>1</v>
      </c>
      <c r="W85" s="86">
        <v>45748</v>
      </c>
      <c r="Y85" s="14">
        <v>25989</v>
      </c>
    </row>
    <row r="86" spans="1:25" hidden="1" x14ac:dyDescent="0.25">
      <c r="A86" s="158" t="str">
        <f>PSPOINTS[[#This Row],[PayScaleCode]]&amp;PSPOINTS[[#This Row],[RateDateFrom]]</f>
        <v>NJC_EW45748</v>
      </c>
      <c r="B86" s="57">
        <f t="shared" si="1"/>
        <v>0</v>
      </c>
      <c r="C86" s="57" t="str">
        <f>PSPOINTS[[#This Row],[PayScaleCode]]&amp;PSPOINTS[[#This Row],[PayScalePointCode]]&amp;PSPOINTS[[#This Row],[RateDateFrom]]</f>
        <v>NJC_EW745748</v>
      </c>
      <c r="D86" s="57">
        <f>COUNTIF(PSPOINTS[Pay Scale String Duplicates],PSPOINTS[[#This Row],[Pay Scale String Duplicates]])-1</f>
        <v>0</v>
      </c>
      <c r="E86" s="57">
        <f>IF((MONTH(_xlfn.XLOOKUP(PSPOINTS[[#This Row],[PayScaleCode]],'19_PayScales'!N:N,'19_PayScales'!R:R)))=MONTH(PSPOINTS[[#This Row],[RateDateFrom]]),0,1)</f>
        <v>0</v>
      </c>
      <c r="F86" s="57">
        <f>IF(ISBLANK(PSPOINTS[[#This Row],[RateDateTo]]),0,IF(PSPOINTS[[#This Row],[RateDateFrom]]&lt;PSPOINTS[[#This Row],[RateDateTo]],0,1))</f>
        <v>0</v>
      </c>
      <c r="G86" s="57" cm="1">
        <f t="array" aca="1" ref="G86" ca="1">IF(CELL("format",PSPOINTS[[#This Row],[RateDateFrom]])="D1",0,1)+IF(CELL("format",PSPOINTS[[#This Row],[RateDateTo]])="D1",0,1)</f>
        <v>0</v>
      </c>
      <c r="H86" s="57">
        <f>IF(OR(PSPOINTS[[#This Row],[Hourly]]=TRUE,PSPOINTS[[#This Row],[Hourly]]=FALSE),IF(OR(PSPOINTS[[#This Row],[PayScalePointEnabled]]=TRUE,PSPOINTS[[#This Row],[PayScalePointEnabled]]=FALSE),0,1),1)</f>
        <v>0</v>
      </c>
      <c r="I86" s="57">
        <f>IF(LEN(PSPOINTS[[#This Row],[PayScalePointCode]])&lt;100,0,1)</f>
        <v>0</v>
      </c>
      <c r="J86" s="57">
        <f>IF(LEN(PSPOINTS[[#This Row],[PayScalePointTitle]])&lt;100,0,1)</f>
        <v>0</v>
      </c>
      <c r="K86" s="57">
        <f>(COUNTBLANK(PSPOINTS[[#This Row],[PayScalePointCode]:[RateDateFrom]])+COUNTBLANK(PSPOINTS[[#This Row],[PayScaleRate]]))</f>
        <v>0</v>
      </c>
      <c r="L86" s="120">
        <f>IF(SUBSTITUTE(TEXT(PSPOINTS[[#This Row],[PayScaleCode]],10)," ","")=TEXT(PSPOINTS[[#This Row],[PayScaleCode]],10),0,1)+IF(SUBSTITUTE(TEXT(PSPOINTS[[#This Row],[PayScalePointCode]],10)," ","")=TEXT(PSPOINTS[[#This Row],[PayScalePointCode]],10),0,1)</f>
        <v>0</v>
      </c>
      <c r="M86" s="57">
        <f ca="1">SUM(PSPOINTS[[#This Row],[Scale Point Issue]:[Space in Code]])</f>
        <v>0</v>
      </c>
      <c r="N86" s="57" t="s">
        <v>1137</v>
      </c>
      <c r="P86" s="12" t="s">
        <v>1390</v>
      </c>
      <c r="Q86" s="57" t="str">
        <f>_xlfn.XLOOKUP(PSPOINTS[[#This Row],[PayScaleCode]],'19_PayScales'!N:N,'19_PayScales'!O:O)</f>
        <v>NJC EW</v>
      </c>
      <c r="R86" s="12">
        <v>7</v>
      </c>
      <c r="S86" s="12">
        <v>7</v>
      </c>
      <c r="T86" s="12">
        <v>7</v>
      </c>
      <c r="U86" s="12" t="b">
        <v>0</v>
      </c>
      <c r="V86" s="15" t="b">
        <v>1</v>
      </c>
      <c r="W86" s="86">
        <v>45748</v>
      </c>
      <c r="Y86" s="14">
        <v>26403</v>
      </c>
    </row>
    <row r="87" spans="1:25" hidden="1" x14ac:dyDescent="0.25">
      <c r="A87" s="158" t="str">
        <f>PSPOINTS[[#This Row],[PayScaleCode]]&amp;PSPOINTS[[#This Row],[RateDateFrom]]</f>
        <v>NJC_EW45748</v>
      </c>
      <c r="B87" s="57">
        <f t="shared" si="1"/>
        <v>0</v>
      </c>
      <c r="C87" s="57" t="str">
        <f>PSPOINTS[[#This Row],[PayScaleCode]]&amp;PSPOINTS[[#This Row],[PayScalePointCode]]&amp;PSPOINTS[[#This Row],[RateDateFrom]]</f>
        <v>NJC_EW845748</v>
      </c>
      <c r="D87" s="57">
        <f>COUNTIF(PSPOINTS[Pay Scale String Duplicates],PSPOINTS[[#This Row],[Pay Scale String Duplicates]])-1</f>
        <v>0</v>
      </c>
      <c r="E87" s="57">
        <f>IF((MONTH(_xlfn.XLOOKUP(PSPOINTS[[#This Row],[PayScaleCode]],'19_PayScales'!N:N,'19_PayScales'!R:R)))=MONTH(PSPOINTS[[#This Row],[RateDateFrom]]),0,1)</f>
        <v>0</v>
      </c>
      <c r="F87" s="57">
        <f>IF(ISBLANK(PSPOINTS[[#This Row],[RateDateTo]]),0,IF(PSPOINTS[[#This Row],[RateDateFrom]]&lt;PSPOINTS[[#This Row],[RateDateTo]],0,1))</f>
        <v>0</v>
      </c>
      <c r="G87" s="57" cm="1">
        <f t="array" aca="1" ref="G87" ca="1">IF(CELL("format",PSPOINTS[[#This Row],[RateDateFrom]])="D1",0,1)+IF(CELL("format",PSPOINTS[[#This Row],[RateDateTo]])="D1",0,1)</f>
        <v>0</v>
      </c>
      <c r="H87" s="57">
        <f>IF(OR(PSPOINTS[[#This Row],[Hourly]]=TRUE,PSPOINTS[[#This Row],[Hourly]]=FALSE),IF(OR(PSPOINTS[[#This Row],[PayScalePointEnabled]]=TRUE,PSPOINTS[[#This Row],[PayScalePointEnabled]]=FALSE),0,1),1)</f>
        <v>0</v>
      </c>
      <c r="I87" s="57">
        <f>IF(LEN(PSPOINTS[[#This Row],[PayScalePointCode]])&lt;100,0,1)</f>
        <v>0</v>
      </c>
      <c r="J87" s="57">
        <f>IF(LEN(PSPOINTS[[#This Row],[PayScalePointTitle]])&lt;100,0,1)</f>
        <v>0</v>
      </c>
      <c r="K87" s="57">
        <f>(COUNTBLANK(PSPOINTS[[#This Row],[PayScalePointCode]:[RateDateFrom]])+COUNTBLANK(PSPOINTS[[#This Row],[PayScaleRate]]))</f>
        <v>0</v>
      </c>
      <c r="L87" s="120">
        <f>IF(SUBSTITUTE(TEXT(PSPOINTS[[#This Row],[PayScaleCode]],10)," ","")=TEXT(PSPOINTS[[#This Row],[PayScaleCode]],10),0,1)+IF(SUBSTITUTE(TEXT(PSPOINTS[[#This Row],[PayScalePointCode]],10)," ","")=TEXT(PSPOINTS[[#This Row],[PayScalePointCode]],10),0,1)</f>
        <v>0</v>
      </c>
      <c r="M87" s="57">
        <f ca="1">SUM(PSPOINTS[[#This Row],[Scale Point Issue]:[Space in Code]])</f>
        <v>0</v>
      </c>
      <c r="N87" s="57" t="s">
        <v>1137</v>
      </c>
      <c r="P87" s="12" t="s">
        <v>1390</v>
      </c>
      <c r="Q87" s="57" t="str">
        <f>_xlfn.XLOOKUP(PSPOINTS[[#This Row],[PayScaleCode]],'19_PayScales'!N:N,'19_PayScales'!O:O)</f>
        <v>NJC EW</v>
      </c>
      <c r="R87" s="12">
        <v>8</v>
      </c>
      <c r="S87" s="12">
        <v>8</v>
      </c>
      <c r="T87" s="12">
        <v>8</v>
      </c>
      <c r="U87" s="12" t="b">
        <v>0</v>
      </c>
      <c r="V87" s="15" t="b">
        <v>1</v>
      </c>
      <c r="W87" s="86">
        <v>45748</v>
      </c>
      <c r="Y87" s="14">
        <v>26824</v>
      </c>
    </row>
    <row r="88" spans="1:25" hidden="1" x14ac:dyDescent="0.25">
      <c r="A88" s="158" t="str">
        <f>PSPOINTS[[#This Row],[PayScaleCode]]&amp;PSPOINTS[[#This Row],[RateDateFrom]]</f>
        <v>NJC_EW45748</v>
      </c>
      <c r="B88" s="57">
        <f t="shared" si="1"/>
        <v>0</v>
      </c>
      <c r="C88" s="57" t="str">
        <f>PSPOINTS[[#This Row],[PayScaleCode]]&amp;PSPOINTS[[#This Row],[PayScalePointCode]]&amp;PSPOINTS[[#This Row],[RateDateFrom]]</f>
        <v>NJC_EW945748</v>
      </c>
      <c r="D88" s="57">
        <f>COUNTIF(PSPOINTS[Pay Scale String Duplicates],PSPOINTS[[#This Row],[Pay Scale String Duplicates]])-1</f>
        <v>0</v>
      </c>
      <c r="E88" s="57">
        <f>IF((MONTH(_xlfn.XLOOKUP(PSPOINTS[[#This Row],[PayScaleCode]],'19_PayScales'!N:N,'19_PayScales'!R:R)))=MONTH(PSPOINTS[[#This Row],[RateDateFrom]]),0,1)</f>
        <v>0</v>
      </c>
      <c r="F88" s="57">
        <f>IF(ISBLANK(PSPOINTS[[#This Row],[RateDateTo]]),0,IF(PSPOINTS[[#This Row],[RateDateFrom]]&lt;PSPOINTS[[#This Row],[RateDateTo]],0,1))</f>
        <v>0</v>
      </c>
      <c r="G88" s="57" cm="1">
        <f t="array" aca="1" ref="G88" ca="1">IF(CELL("format",PSPOINTS[[#This Row],[RateDateFrom]])="D1",0,1)+IF(CELL("format",PSPOINTS[[#This Row],[RateDateTo]])="D1",0,1)</f>
        <v>0</v>
      </c>
      <c r="H88" s="57">
        <f>IF(OR(PSPOINTS[[#This Row],[Hourly]]=TRUE,PSPOINTS[[#This Row],[Hourly]]=FALSE),IF(OR(PSPOINTS[[#This Row],[PayScalePointEnabled]]=TRUE,PSPOINTS[[#This Row],[PayScalePointEnabled]]=FALSE),0,1),1)</f>
        <v>0</v>
      </c>
      <c r="I88" s="57">
        <f>IF(LEN(PSPOINTS[[#This Row],[PayScalePointCode]])&lt;100,0,1)</f>
        <v>0</v>
      </c>
      <c r="J88" s="57">
        <f>IF(LEN(PSPOINTS[[#This Row],[PayScalePointTitle]])&lt;100,0,1)</f>
        <v>0</v>
      </c>
      <c r="K88" s="57">
        <f>(COUNTBLANK(PSPOINTS[[#This Row],[PayScalePointCode]:[RateDateFrom]])+COUNTBLANK(PSPOINTS[[#This Row],[PayScaleRate]]))</f>
        <v>0</v>
      </c>
      <c r="L88" s="120">
        <f>IF(SUBSTITUTE(TEXT(PSPOINTS[[#This Row],[PayScaleCode]],10)," ","")=TEXT(PSPOINTS[[#This Row],[PayScaleCode]],10),0,1)+IF(SUBSTITUTE(TEXT(PSPOINTS[[#This Row],[PayScalePointCode]],10)," ","")=TEXT(PSPOINTS[[#This Row],[PayScalePointCode]],10),0,1)</f>
        <v>0</v>
      </c>
      <c r="M88" s="57">
        <f ca="1">SUM(PSPOINTS[[#This Row],[Scale Point Issue]:[Space in Code]])</f>
        <v>0</v>
      </c>
      <c r="N88" s="57" t="s">
        <v>1137</v>
      </c>
      <c r="P88" s="12" t="s">
        <v>1390</v>
      </c>
      <c r="Q88" s="57" t="str">
        <f>_xlfn.XLOOKUP(PSPOINTS[[#This Row],[PayScaleCode]],'19_PayScales'!N:N,'19_PayScales'!O:O)</f>
        <v>NJC EW</v>
      </c>
      <c r="R88" s="12">
        <v>9</v>
      </c>
      <c r="S88" s="12">
        <v>9</v>
      </c>
      <c r="T88" s="12">
        <v>9</v>
      </c>
      <c r="U88" s="12" t="b">
        <v>0</v>
      </c>
      <c r="V88" s="15" t="b">
        <v>1</v>
      </c>
      <c r="W88" s="86">
        <v>45748</v>
      </c>
      <c r="Y88" s="14">
        <v>27254</v>
      </c>
    </row>
    <row r="89" spans="1:25" hidden="1" x14ac:dyDescent="0.25">
      <c r="A89" s="158" t="str">
        <f>PSPOINTS[[#This Row],[PayScaleCode]]&amp;PSPOINTS[[#This Row],[RateDateFrom]]</f>
        <v>NJC_EW45748</v>
      </c>
      <c r="B89" s="57">
        <f t="shared" si="1"/>
        <v>0</v>
      </c>
      <c r="C89" s="57" t="str">
        <f>PSPOINTS[[#This Row],[PayScaleCode]]&amp;PSPOINTS[[#This Row],[PayScalePointCode]]&amp;PSPOINTS[[#This Row],[RateDateFrom]]</f>
        <v>NJC_EW1045748</v>
      </c>
      <c r="D89" s="57">
        <f>COUNTIF(PSPOINTS[Pay Scale String Duplicates],PSPOINTS[[#This Row],[Pay Scale String Duplicates]])-1</f>
        <v>0</v>
      </c>
      <c r="E89" s="57">
        <f>IF((MONTH(_xlfn.XLOOKUP(PSPOINTS[[#This Row],[PayScaleCode]],'19_PayScales'!N:N,'19_PayScales'!R:R)))=MONTH(PSPOINTS[[#This Row],[RateDateFrom]]),0,1)</f>
        <v>0</v>
      </c>
      <c r="F89" s="57">
        <f>IF(ISBLANK(PSPOINTS[[#This Row],[RateDateTo]]),0,IF(PSPOINTS[[#This Row],[RateDateFrom]]&lt;PSPOINTS[[#This Row],[RateDateTo]],0,1))</f>
        <v>0</v>
      </c>
      <c r="G89" s="57" cm="1">
        <f t="array" aca="1" ref="G89" ca="1">IF(CELL("format",PSPOINTS[[#This Row],[RateDateFrom]])="D1",0,1)+IF(CELL("format",PSPOINTS[[#This Row],[RateDateTo]])="D1",0,1)</f>
        <v>0</v>
      </c>
      <c r="H89" s="57">
        <f>IF(OR(PSPOINTS[[#This Row],[Hourly]]=TRUE,PSPOINTS[[#This Row],[Hourly]]=FALSE),IF(OR(PSPOINTS[[#This Row],[PayScalePointEnabled]]=TRUE,PSPOINTS[[#This Row],[PayScalePointEnabled]]=FALSE),0,1),1)</f>
        <v>0</v>
      </c>
      <c r="I89" s="57">
        <f>IF(LEN(PSPOINTS[[#This Row],[PayScalePointCode]])&lt;100,0,1)</f>
        <v>0</v>
      </c>
      <c r="J89" s="57">
        <f>IF(LEN(PSPOINTS[[#This Row],[PayScalePointTitle]])&lt;100,0,1)</f>
        <v>0</v>
      </c>
      <c r="K89" s="57">
        <f>(COUNTBLANK(PSPOINTS[[#This Row],[PayScalePointCode]:[RateDateFrom]])+COUNTBLANK(PSPOINTS[[#This Row],[PayScaleRate]]))</f>
        <v>0</v>
      </c>
      <c r="L89" s="120">
        <f>IF(SUBSTITUTE(TEXT(PSPOINTS[[#This Row],[PayScaleCode]],10)," ","")=TEXT(PSPOINTS[[#This Row],[PayScaleCode]],10),0,1)+IF(SUBSTITUTE(TEXT(PSPOINTS[[#This Row],[PayScalePointCode]],10)," ","")=TEXT(PSPOINTS[[#This Row],[PayScalePointCode]],10),0,1)</f>
        <v>0</v>
      </c>
      <c r="M89" s="57">
        <f ca="1">SUM(PSPOINTS[[#This Row],[Scale Point Issue]:[Space in Code]])</f>
        <v>0</v>
      </c>
      <c r="N89" s="57" t="s">
        <v>1137</v>
      </c>
      <c r="P89" s="12" t="s">
        <v>1390</v>
      </c>
      <c r="Q89" s="57" t="str">
        <f>_xlfn.XLOOKUP(PSPOINTS[[#This Row],[PayScaleCode]],'19_PayScales'!N:N,'19_PayScales'!O:O)</f>
        <v>NJC EW</v>
      </c>
      <c r="R89" s="12">
        <v>10</v>
      </c>
      <c r="S89" s="12">
        <v>10</v>
      </c>
      <c r="T89" s="12">
        <v>10</v>
      </c>
      <c r="U89" s="12" t="b">
        <v>0</v>
      </c>
      <c r="V89" s="15" t="b">
        <v>1</v>
      </c>
      <c r="W89" s="86">
        <v>45748</v>
      </c>
      <c r="Y89" s="14">
        <v>27694</v>
      </c>
    </row>
    <row r="90" spans="1:25" hidden="1" x14ac:dyDescent="0.25">
      <c r="A90" s="158" t="str">
        <f>PSPOINTS[[#This Row],[PayScaleCode]]&amp;PSPOINTS[[#This Row],[RateDateFrom]]</f>
        <v>NJC_EW45748</v>
      </c>
      <c r="B90" s="57">
        <f t="shared" si="1"/>
        <v>0</v>
      </c>
      <c r="C90" s="57" t="str">
        <f>PSPOINTS[[#This Row],[PayScaleCode]]&amp;PSPOINTS[[#This Row],[PayScalePointCode]]&amp;PSPOINTS[[#This Row],[RateDateFrom]]</f>
        <v>NJC_EW1145748</v>
      </c>
      <c r="D90" s="57">
        <f>COUNTIF(PSPOINTS[Pay Scale String Duplicates],PSPOINTS[[#This Row],[Pay Scale String Duplicates]])-1</f>
        <v>0</v>
      </c>
      <c r="E90" s="57">
        <f>IF((MONTH(_xlfn.XLOOKUP(PSPOINTS[[#This Row],[PayScaleCode]],'19_PayScales'!N:N,'19_PayScales'!R:R)))=MONTH(PSPOINTS[[#This Row],[RateDateFrom]]),0,1)</f>
        <v>0</v>
      </c>
      <c r="F90" s="57">
        <f>IF(ISBLANK(PSPOINTS[[#This Row],[RateDateTo]]),0,IF(PSPOINTS[[#This Row],[RateDateFrom]]&lt;PSPOINTS[[#This Row],[RateDateTo]],0,1))</f>
        <v>0</v>
      </c>
      <c r="G90" s="57" cm="1">
        <f t="array" aca="1" ref="G90" ca="1">IF(CELL("format",PSPOINTS[[#This Row],[RateDateFrom]])="D1",0,1)+IF(CELL("format",PSPOINTS[[#This Row],[RateDateTo]])="D1",0,1)</f>
        <v>0</v>
      </c>
      <c r="H90" s="57">
        <f>IF(OR(PSPOINTS[[#This Row],[Hourly]]=TRUE,PSPOINTS[[#This Row],[Hourly]]=FALSE),IF(OR(PSPOINTS[[#This Row],[PayScalePointEnabled]]=TRUE,PSPOINTS[[#This Row],[PayScalePointEnabled]]=FALSE),0,1),1)</f>
        <v>0</v>
      </c>
      <c r="I90" s="57">
        <f>IF(LEN(PSPOINTS[[#This Row],[PayScalePointCode]])&lt;100,0,1)</f>
        <v>0</v>
      </c>
      <c r="J90" s="57">
        <f>IF(LEN(PSPOINTS[[#This Row],[PayScalePointTitle]])&lt;100,0,1)</f>
        <v>0</v>
      </c>
      <c r="K90" s="57">
        <f>(COUNTBLANK(PSPOINTS[[#This Row],[PayScalePointCode]:[RateDateFrom]])+COUNTBLANK(PSPOINTS[[#This Row],[PayScaleRate]]))</f>
        <v>0</v>
      </c>
      <c r="L90" s="120">
        <f>IF(SUBSTITUTE(TEXT(PSPOINTS[[#This Row],[PayScaleCode]],10)," ","")=TEXT(PSPOINTS[[#This Row],[PayScaleCode]],10),0,1)+IF(SUBSTITUTE(TEXT(PSPOINTS[[#This Row],[PayScalePointCode]],10)," ","")=TEXT(PSPOINTS[[#This Row],[PayScalePointCode]],10),0,1)</f>
        <v>0</v>
      </c>
      <c r="M90" s="57">
        <f ca="1">SUM(PSPOINTS[[#This Row],[Scale Point Issue]:[Space in Code]])</f>
        <v>0</v>
      </c>
      <c r="N90" s="57" t="s">
        <v>1137</v>
      </c>
      <c r="P90" s="12" t="s">
        <v>1390</v>
      </c>
      <c r="Q90" s="57" t="str">
        <f>_xlfn.XLOOKUP(PSPOINTS[[#This Row],[PayScaleCode]],'19_PayScales'!N:N,'19_PayScales'!O:O)</f>
        <v>NJC EW</v>
      </c>
      <c r="R90" s="12">
        <v>11</v>
      </c>
      <c r="S90" s="12">
        <v>11</v>
      </c>
      <c r="T90" s="12">
        <v>11</v>
      </c>
      <c r="U90" s="12" t="b">
        <v>0</v>
      </c>
      <c r="V90" s="15" t="b">
        <v>1</v>
      </c>
      <c r="W90" s="86">
        <v>45748</v>
      </c>
      <c r="Y90" s="14">
        <v>28142</v>
      </c>
    </row>
    <row r="91" spans="1:25" hidden="1" x14ac:dyDescent="0.25">
      <c r="A91" s="158" t="str">
        <f>PSPOINTS[[#This Row],[PayScaleCode]]&amp;PSPOINTS[[#This Row],[RateDateFrom]]</f>
        <v>NJC_EW45748</v>
      </c>
      <c r="B91" s="57">
        <f t="shared" si="1"/>
        <v>0</v>
      </c>
      <c r="C91" s="57" t="str">
        <f>PSPOINTS[[#This Row],[PayScaleCode]]&amp;PSPOINTS[[#This Row],[PayScalePointCode]]&amp;PSPOINTS[[#This Row],[RateDateFrom]]</f>
        <v>NJC_EW1245748</v>
      </c>
      <c r="D91" s="57">
        <f>COUNTIF(PSPOINTS[Pay Scale String Duplicates],PSPOINTS[[#This Row],[Pay Scale String Duplicates]])-1</f>
        <v>0</v>
      </c>
      <c r="E91" s="57">
        <f>IF((MONTH(_xlfn.XLOOKUP(PSPOINTS[[#This Row],[PayScaleCode]],'19_PayScales'!N:N,'19_PayScales'!R:R)))=MONTH(PSPOINTS[[#This Row],[RateDateFrom]]),0,1)</f>
        <v>0</v>
      </c>
      <c r="F91" s="57">
        <f>IF(ISBLANK(PSPOINTS[[#This Row],[RateDateTo]]),0,IF(PSPOINTS[[#This Row],[RateDateFrom]]&lt;PSPOINTS[[#This Row],[RateDateTo]],0,1))</f>
        <v>0</v>
      </c>
      <c r="G91" s="57" cm="1">
        <f t="array" aca="1" ref="G91" ca="1">IF(CELL("format",PSPOINTS[[#This Row],[RateDateFrom]])="D1",0,1)+IF(CELL("format",PSPOINTS[[#This Row],[RateDateTo]])="D1",0,1)</f>
        <v>0</v>
      </c>
      <c r="H91" s="57">
        <f>IF(OR(PSPOINTS[[#This Row],[Hourly]]=TRUE,PSPOINTS[[#This Row],[Hourly]]=FALSE),IF(OR(PSPOINTS[[#This Row],[PayScalePointEnabled]]=TRUE,PSPOINTS[[#This Row],[PayScalePointEnabled]]=FALSE),0,1),1)</f>
        <v>0</v>
      </c>
      <c r="I91" s="57">
        <f>IF(LEN(PSPOINTS[[#This Row],[PayScalePointCode]])&lt;100,0,1)</f>
        <v>0</v>
      </c>
      <c r="J91" s="57">
        <f>IF(LEN(PSPOINTS[[#This Row],[PayScalePointTitle]])&lt;100,0,1)</f>
        <v>0</v>
      </c>
      <c r="K91" s="57">
        <f>(COUNTBLANK(PSPOINTS[[#This Row],[PayScalePointCode]:[RateDateFrom]])+COUNTBLANK(PSPOINTS[[#This Row],[PayScaleRate]]))</f>
        <v>0</v>
      </c>
      <c r="L91" s="120">
        <f>IF(SUBSTITUTE(TEXT(PSPOINTS[[#This Row],[PayScaleCode]],10)," ","")=TEXT(PSPOINTS[[#This Row],[PayScaleCode]],10),0,1)+IF(SUBSTITUTE(TEXT(PSPOINTS[[#This Row],[PayScalePointCode]],10)," ","")=TEXT(PSPOINTS[[#This Row],[PayScalePointCode]],10),0,1)</f>
        <v>0</v>
      </c>
      <c r="M91" s="57">
        <f ca="1">SUM(PSPOINTS[[#This Row],[Scale Point Issue]:[Space in Code]])</f>
        <v>0</v>
      </c>
      <c r="N91" s="57" t="s">
        <v>1137</v>
      </c>
      <c r="P91" s="12" t="s">
        <v>1390</v>
      </c>
      <c r="Q91" s="57" t="str">
        <f>_xlfn.XLOOKUP(PSPOINTS[[#This Row],[PayScaleCode]],'19_PayScales'!N:N,'19_PayScales'!O:O)</f>
        <v>NJC EW</v>
      </c>
      <c r="R91" s="12">
        <v>12</v>
      </c>
      <c r="S91" s="12">
        <v>12</v>
      </c>
      <c r="T91" s="12">
        <v>12</v>
      </c>
      <c r="U91" s="12" t="b">
        <v>0</v>
      </c>
      <c r="V91" s="15" t="b">
        <v>1</v>
      </c>
      <c r="W91" s="86">
        <v>45748</v>
      </c>
      <c r="Y91" s="14">
        <v>28598</v>
      </c>
    </row>
    <row r="92" spans="1:25" hidden="1" x14ac:dyDescent="0.25">
      <c r="A92" s="158" t="str">
        <f>PSPOINTS[[#This Row],[PayScaleCode]]&amp;PSPOINTS[[#This Row],[RateDateFrom]]</f>
        <v>NJC_EW45748</v>
      </c>
      <c r="B92" s="57">
        <f t="shared" si="1"/>
        <v>0</v>
      </c>
      <c r="C92" s="57" t="str">
        <f>PSPOINTS[[#This Row],[PayScaleCode]]&amp;PSPOINTS[[#This Row],[PayScalePointCode]]&amp;PSPOINTS[[#This Row],[RateDateFrom]]</f>
        <v>NJC_EW1345748</v>
      </c>
      <c r="D92" s="57">
        <f>COUNTIF(PSPOINTS[Pay Scale String Duplicates],PSPOINTS[[#This Row],[Pay Scale String Duplicates]])-1</f>
        <v>0</v>
      </c>
      <c r="E92" s="57">
        <f>IF((MONTH(_xlfn.XLOOKUP(PSPOINTS[[#This Row],[PayScaleCode]],'19_PayScales'!N:N,'19_PayScales'!R:R)))=MONTH(PSPOINTS[[#This Row],[RateDateFrom]]),0,1)</f>
        <v>0</v>
      </c>
      <c r="F92" s="57">
        <f>IF(ISBLANK(PSPOINTS[[#This Row],[RateDateTo]]),0,IF(PSPOINTS[[#This Row],[RateDateFrom]]&lt;PSPOINTS[[#This Row],[RateDateTo]],0,1))</f>
        <v>0</v>
      </c>
      <c r="G92" s="57" cm="1">
        <f t="array" aca="1" ref="G92" ca="1">IF(CELL("format",PSPOINTS[[#This Row],[RateDateFrom]])="D1",0,1)+IF(CELL("format",PSPOINTS[[#This Row],[RateDateTo]])="D1",0,1)</f>
        <v>0</v>
      </c>
      <c r="H92" s="57">
        <f>IF(OR(PSPOINTS[[#This Row],[Hourly]]=TRUE,PSPOINTS[[#This Row],[Hourly]]=FALSE),IF(OR(PSPOINTS[[#This Row],[PayScalePointEnabled]]=TRUE,PSPOINTS[[#This Row],[PayScalePointEnabled]]=FALSE),0,1),1)</f>
        <v>0</v>
      </c>
      <c r="I92" s="57">
        <f>IF(LEN(PSPOINTS[[#This Row],[PayScalePointCode]])&lt;100,0,1)</f>
        <v>0</v>
      </c>
      <c r="J92" s="57">
        <f>IF(LEN(PSPOINTS[[#This Row],[PayScalePointTitle]])&lt;100,0,1)</f>
        <v>0</v>
      </c>
      <c r="K92" s="57">
        <f>(COUNTBLANK(PSPOINTS[[#This Row],[PayScalePointCode]:[RateDateFrom]])+COUNTBLANK(PSPOINTS[[#This Row],[PayScaleRate]]))</f>
        <v>0</v>
      </c>
      <c r="L92" s="120">
        <f>IF(SUBSTITUTE(TEXT(PSPOINTS[[#This Row],[PayScaleCode]],10)," ","")=TEXT(PSPOINTS[[#This Row],[PayScaleCode]],10),0,1)+IF(SUBSTITUTE(TEXT(PSPOINTS[[#This Row],[PayScalePointCode]],10)," ","")=TEXT(PSPOINTS[[#This Row],[PayScalePointCode]],10),0,1)</f>
        <v>0</v>
      </c>
      <c r="M92" s="57">
        <f ca="1">SUM(PSPOINTS[[#This Row],[Scale Point Issue]:[Space in Code]])</f>
        <v>0</v>
      </c>
      <c r="N92" s="57" t="s">
        <v>1137</v>
      </c>
      <c r="P92" s="12" t="s">
        <v>1390</v>
      </c>
      <c r="Q92" s="57" t="str">
        <f>_xlfn.XLOOKUP(PSPOINTS[[#This Row],[PayScaleCode]],'19_PayScales'!N:N,'19_PayScales'!O:O)</f>
        <v>NJC EW</v>
      </c>
      <c r="R92" s="12">
        <v>13</v>
      </c>
      <c r="S92" s="12">
        <v>13</v>
      </c>
      <c r="T92" s="12">
        <v>13</v>
      </c>
      <c r="U92" s="12" t="b">
        <v>0</v>
      </c>
      <c r="V92" s="15" t="b">
        <v>1</v>
      </c>
      <c r="W92" s="86">
        <v>45748</v>
      </c>
      <c r="Y92" s="14">
        <v>29064</v>
      </c>
    </row>
    <row r="93" spans="1:25" hidden="1" x14ac:dyDescent="0.25">
      <c r="A93" s="158" t="str">
        <f>PSPOINTS[[#This Row],[PayScaleCode]]&amp;PSPOINTS[[#This Row],[RateDateFrom]]</f>
        <v>NJC_EW45748</v>
      </c>
      <c r="B93" s="57">
        <f t="shared" si="1"/>
        <v>0</v>
      </c>
      <c r="C93" s="57" t="str">
        <f>PSPOINTS[[#This Row],[PayScaleCode]]&amp;PSPOINTS[[#This Row],[PayScalePointCode]]&amp;PSPOINTS[[#This Row],[RateDateFrom]]</f>
        <v>NJC_EW1445748</v>
      </c>
      <c r="D93" s="57">
        <f>COUNTIF(PSPOINTS[Pay Scale String Duplicates],PSPOINTS[[#This Row],[Pay Scale String Duplicates]])-1</f>
        <v>0</v>
      </c>
      <c r="E93" s="57">
        <f>IF((MONTH(_xlfn.XLOOKUP(PSPOINTS[[#This Row],[PayScaleCode]],'19_PayScales'!N:N,'19_PayScales'!R:R)))=MONTH(PSPOINTS[[#This Row],[RateDateFrom]]),0,1)</f>
        <v>0</v>
      </c>
      <c r="F93" s="57">
        <f>IF(ISBLANK(PSPOINTS[[#This Row],[RateDateTo]]),0,IF(PSPOINTS[[#This Row],[RateDateFrom]]&lt;PSPOINTS[[#This Row],[RateDateTo]],0,1))</f>
        <v>0</v>
      </c>
      <c r="G93" s="57" cm="1">
        <f t="array" aca="1" ref="G93" ca="1">IF(CELL("format",PSPOINTS[[#This Row],[RateDateFrom]])="D1",0,1)+IF(CELL("format",PSPOINTS[[#This Row],[RateDateTo]])="D1",0,1)</f>
        <v>0</v>
      </c>
      <c r="H93" s="57">
        <f>IF(OR(PSPOINTS[[#This Row],[Hourly]]=TRUE,PSPOINTS[[#This Row],[Hourly]]=FALSE),IF(OR(PSPOINTS[[#This Row],[PayScalePointEnabled]]=TRUE,PSPOINTS[[#This Row],[PayScalePointEnabled]]=FALSE),0,1),1)</f>
        <v>0</v>
      </c>
      <c r="I93" s="57">
        <f>IF(LEN(PSPOINTS[[#This Row],[PayScalePointCode]])&lt;100,0,1)</f>
        <v>0</v>
      </c>
      <c r="J93" s="57">
        <f>IF(LEN(PSPOINTS[[#This Row],[PayScalePointTitle]])&lt;100,0,1)</f>
        <v>0</v>
      </c>
      <c r="K93" s="57">
        <f>(COUNTBLANK(PSPOINTS[[#This Row],[PayScalePointCode]:[RateDateFrom]])+COUNTBLANK(PSPOINTS[[#This Row],[PayScaleRate]]))</f>
        <v>0</v>
      </c>
      <c r="L93" s="120">
        <f>IF(SUBSTITUTE(TEXT(PSPOINTS[[#This Row],[PayScaleCode]],10)," ","")=TEXT(PSPOINTS[[#This Row],[PayScaleCode]],10),0,1)+IF(SUBSTITUTE(TEXT(PSPOINTS[[#This Row],[PayScalePointCode]],10)," ","")=TEXT(PSPOINTS[[#This Row],[PayScalePointCode]],10),0,1)</f>
        <v>0</v>
      </c>
      <c r="M93" s="57">
        <f ca="1">SUM(PSPOINTS[[#This Row],[Scale Point Issue]:[Space in Code]])</f>
        <v>0</v>
      </c>
      <c r="N93" s="57" t="s">
        <v>1137</v>
      </c>
      <c r="P93" s="12" t="s">
        <v>1390</v>
      </c>
      <c r="Q93" s="57" t="str">
        <f>_xlfn.XLOOKUP(PSPOINTS[[#This Row],[PayScaleCode]],'19_PayScales'!N:N,'19_PayScales'!O:O)</f>
        <v>NJC EW</v>
      </c>
      <c r="R93" s="12">
        <v>14</v>
      </c>
      <c r="S93" s="12">
        <v>14</v>
      </c>
      <c r="T93" s="12">
        <v>14</v>
      </c>
      <c r="U93" s="12" t="b">
        <v>0</v>
      </c>
      <c r="V93" s="15" t="b">
        <v>1</v>
      </c>
      <c r="W93" s="86">
        <v>45748</v>
      </c>
      <c r="Y93" s="14">
        <v>29540</v>
      </c>
    </row>
    <row r="94" spans="1:25" hidden="1" x14ac:dyDescent="0.25">
      <c r="A94" s="158" t="str">
        <f>PSPOINTS[[#This Row],[PayScaleCode]]&amp;PSPOINTS[[#This Row],[RateDateFrom]]</f>
        <v>NJC_EW45748</v>
      </c>
      <c r="B94" s="57">
        <f t="shared" si="1"/>
        <v>0</v>
      </c>
      <c r="C94" s="57" t="str">
        <f>PSPOINTS[[#This Row],[PayScaleCode]]&amp;PSPOINTS[[#This Row],[PayScalePointCode]]&amp;PSPOINTS[[#This Row],[RateDateFrom]]</f>
        <v>NJC_EW1545748</v>
      </c>
      <c r="D94" s="57">
        <f>COUNTIF(PSPOINTS[Pay Scale String Duplicates],PSPOINTS[[#This Row],[Pay Scale String Duplicates]])-1</f>
        <v>0</v>
      </c>
      <c r="E94" s="57">
        <f>IF((MONTH(_xlfn.XLOOKUP(PSPOINTS[[#This Row],[PayScaleCode]],'19_PayScales'!N:N,'19_PayScales'!R:R)))=MONTH(PSPOINTS[[#This Row],[RateDateFrom]]),0,1)</f>
        <v>0</v>
      </c>
      <c r="F94" s="57">
        <f>IF(ISBLANK(PSPOINTS[[#This Row],[RateDateTo]]),0,IF(PSPOINTS[[#This Row],[RateDateFrom]]&lt;PSPOINTS[[#This Row],[RateDateTo]],0,1))</f>
        <v>0</v>
      </c>
      <c r="G94" s="57" cm="1">
        <f t="array" aca="1" ref="G94" ca="1">IF(CELL("format",PSPOINTS[[#This Row],[RateDateFrom]])="D1",0,1)+IF(CELL("format",PSPOINTS[[#This Row],[RateDateTo]])="D1",0,1)</f>
        <v>0</v>
      </c>
      <c r="H94" s="57">
        <f>IF(OR(PSPOINTS[[#This Row],[Hourly]]=TRUE,PSPOINTS[[#This Row],[Hourly]]=FALSE),IF(OR(PSPOINTS[[#This Row],[PayScalePointEnabled]]=TRUE,PSPOINTS[[#This Row],[PayScalePointEnabled]]=FALSE),0,1),1)</f>
        <v>0</v>
      </c>
      <c r="I94" s="57">
        <f>IF(LEN(PSPOINTS[[#This Row],[PayScalePointCode]])&lt;100,0,1)</f>
        <v>0</v>
      </c>
      <c r="J94" s="57">
        <f>IF(LEN(PSPOINTS[[#This Row],[PayScalePointTitle]])&lt;100,0,1)</f>
        <v>0</v>
      </c>
      <c r="K94" s="57">
        <f>(COUNTBLANK(PSPOINTS[[#This Row],[PayScalePointCode]:[RateDateFrom]])+COUNTBLANK(PSPOINTS[[#This Row],[PayScaleRate]]))</f>
        <v>0</v>
      </c>
      <c r="L94" s="120">
        <f>IF(SUBSTITUTE(TEXT(PSPOINTS[[#This Row],[PayScaleCode]],10)," ","")=TEXT(PSPOINTS[[#This Row],[PayScaleCode]],10),0,1)+IF(SUBSTITUTE(TEXT(PSPOINTS[[#This Row],[PayScalePointCode]],10)," ","")=TEXT(PSPOINTS[[#This Row],[PayScalePointCode]],10),0,1)</f>
        <v>0</v>
      </c>
      <c r="M94" s="57">
        <f ca="1">SUM(PSPOINTS[[#This Row],[Scale Point Issue]:[Space in Code]])</f>
        <v>0</v>
      </c>
      <c r="N94" s="57" t="s">
        <v>1137</v>
      </c>
      <c r="P94" s="12" t="s">
        <v>1390</v>
      </c>
      <c r="Q94" s="57" t="str">
        <f>_xlfn.XLOOKUP(PSPOINTS[[#This Row],[PayScaleCode]],'19_PayScales'!N:N,'19_PayScales'!O:O)</f>
        <v>NJC EW</v>
      </c>
      <c r="R94" s="12">
        <v>15</v>
      </c>
      <c r="S94" s="12">
        <v>15</v>
      </c>
      <c r="T94" s="12">
        <v>15</v>
      </c>
      <c r="U94" s="12" t="b">
        <v>0</v>
      </c>
      <c r="V94" s="15" t="b">
        <v>1</v>
      </c>
      <c r="W94" s="86">
        <v>45748</v>
      </c>
      <c r="Y94" s="14">
        <v>30024</v>
      </c>
    </row>
    <row r="95" spans="1:25" hidden="1" x14ac:dyDescent="0.25">
      <c r="A95" s="158" t="str">
        <f>PSPOINTS[[#This Row],[PayScaleCode]]&amp;PSPOINTS[[#This Row],[RateDateFrom]]</f>
        <v>NJC_EW45748</v>
      </c>
      <c r="B95" s="57">
        <f t="shared" si="1"/>
        <v>0</v>
      </c>
      <c r="C95" s="57" t="str">
        <f>PSPOINTS[[#This Row],[PayScaleCode]]&amp;PSPOINTS[[#This Row],[PayScalePointCode]]&amp;PSPOINTS[[#This Row],[RateDateFrom]]</f>
        <v>NJC_EW1645748</v>
      </c>
      <c r="D95" s="57">
        <f>COUNTIF(PSPOINTS[Pay Scale String Duplicates],PSPOINTS[[#This Row],[Pay Scale String Duplicates]])-1</f>
        <v>0</v>
      </c>
      <c r="E95" s="57">
        <f>IF((MONTH(_xlfn.XLOOKUP(PSPOINTS[[#This Row],[PayScaleCode]],'19_PayScales'!N:N,'19_PayScales'!R:R)))=MONTH(PSPOINTS[[#This Row],[RateDateFrom]]),0,1)</f>
        <v>0</v>
      </c>
      <c r="F95" s="57">
        <f>IF(ISBLANK(PSPOINTS[[#This Row],[RateDateTo]]),0,IF(PSPOINTS[[#This Row],[RateDateFrom]]&lt;PSPOINTS[[#This Row],[RateDateTo]],0,1))</f>
        <v>0</v>
      </c>
      <c r="G95" s="57" cm="1">
        <f t="array" aca="1" ref="G95" ca="1">IF(CELL("format",PSPOINTS[[#This Row],[RateDateFrom]])="D1",0,1)+IF(CELL("format",PSPOINTS[[#This Row],[RateDateTo]])="D1",0,1)</f>
        <v>0</v>
      </c>
      <c r="H95" s="57">
        <f>IF(OR(PSPOINTS[[#This Row],[Hourly]]=TRUE,PSPOINTS[[#This Row],[Hourly]]=FALSE),IF(OR(PSPOINTS[[#This Row],[PayScalePointEnabled]]=TRUE,PSPOINTS[[#This Row],[PayScalePointEnabled]]=FALSE),0,1),1)</f>
        <v>0</v>
      </c>
      <c r="I95" s="57">
        <f>IF(LEN(PSPOINTS[[#This Row],[PayScalePointCode]])&lt;100,0,1)</f>
        <v>0</v>
      </c>
      <c r="J95" s="57">
        <f>IF(LEN(PSPOINTS[[#This Row],[PayScalePointTitle]])&lt;100,0,1)</f>
        <v>0</v>
      </c>
      <c r="K95" s="57">
        <f>(COUNTBLANK(PSPOINTS[[#This Row],[PayScalePointCode]:[RateDateFrom]])+COUNTBLANK(PSPOINTS[[#This Row],[PayScaleRate]]))</f>
        <v>0</v>
      </c>
      <c r="L95" s="120">
        <f>IF(SUBSTITUTE(TEXT(PSPOINTS[[#This Row],[PayScaleCode]],10)," ","")=TEXT(PSPOINTS[[#This Row],[PayScaleCode]],10),0,1)+IF(SUBSTITUTE(TEXT(PSPOINTS[[#This Row],[PayScalePointCode]],10)," ","")=TEXT(PSPOINTS[[#This Row],[PayScalePointCode]],10),0,1)</f>
        <v>0</v>
      </c>
      <c r="M95" s="57">
        <f ca="1">SUM(PSPOINTS[[#This Row],[Scale Point Issue]:[Space in Code]])</f>
        <v>0</v>
      </c>
      <c r="N95" s="57" t="s">
        <v>1137</v>
      </c>
      <c r="P95" s="12" t="s">
        <v>1390</v>
      </c>
      <c r="Q95" s="57" t="str">
        <f>_xlfn.XLOOKUP(PSPOINTS[[#This Row],[PayScaleCode]],'19_PayScales'!N:N,'19_PayScales'!O:O)</f>
        <v>NJC EW</v>
      </c>
      <c r="R95" s="12">
        <v>16</v>
      </c>
      <c r="S95" s="12">
        <v>16</v>
      </c>
      <c r="T95" s="12">
        <v>16</v>
      </c>
      <c r="U95" s="12" t="b">
        <v>0</v>
      </c>
      <c r="V95" s="15" t="b">
        <v>1</v>
      </c>
      <c r="W95" s="86">
        <v>45748</v>
      </c>
      <c r="Y95" s="14">
        <v>30518</v>
      </c>
    </row>
    <row r="96" spans="1:25" hidden="1" x14ac:dyDescent="0.25">
      <c r="A96" s="158" t="str">
        <f>PSPOINTS[[#This Row],[PayScaleCode]]&amp;PSPOINTS[[#This Row],[RateDateFrom]]</f>
        <v>NJC_EW45748</v>
      </c>
      <c r="B96" s="57">
        <f t="shared" si="1"/>
        <v>0</v>
      </c>
      <c r="C96" s="57" t="str">
        <f>PSPOINTS[[#This Row],[PayScaleCode]]&amp;PSPOINTS[[#This Row],[PayScalePointCode]]&amp;PSPOINTS[[#This Row],[RateDateFrom]]</f>
        <v>NJC_EW1745748</v>
      </c>
      <c r="D96" s="57">
        <f>COUNTIF(PSPOINTS[Pay Scale String Duplicates],PSPOINTS[[#This Row],[Pay Scale String Duplicates]])-1</f>
        <v>0</v>
      </c>
      <c r="E96" s="57">
        <f>IF((MONTH(_xlfn.XLOOKUP(PSPOINTS[[#This Row],[PayScaleCode]],'19_PayScales'!N:N,'19_PayScales'!R:R)))=MONTH(PSPOINTS[[#This Row],[RateDateFrom]]),0,1)</f>
        <v>0</v>
      </c>
      <c r="F96" s="57">
        <f>IF(ISBLANK(PSPOINTS[[#This Row],[RateDateTo]]),0,IF(PSPOINTS[[#This Row],[RateDateFrom]]&lt;PSPOINTS[[#This Row],[RateDateTo]],0,1))</f>
        <v>0</v>
      </c>
      <c r="G96" s="57" cm="1">
        <f t="array" aca="1" ref="G96" ca="1">IF(CELL("format",PSPOINTS[[#This Row],[RateDateFrom]])="D1",0,1)+IF(CELL("format",PSPOINTS[[#This Row],[RateDateTo]])="D1",0,1)</f>
        <v>0</v>
      </c>
      <c r="H96" s="57">
        <f>IF(OR(PSPOINTS[[#This Row],[Hourly]]=TRUE,PSPOINTS[[#This Row],[Hourly]]=FALSE),IF(OR(PSPOINTS[[#This Row],[PayScalePointEnabled]]=TRUE,PSPOINTS[[#This Row],[PayScalePointEnabled]]=FALSE),0,1),1)</f>
        <v>0</v>
      </c>
      <c r="I96" s="57">
        <f>IF(LEN(PSPOINTS[[#This Row],[PayScalePointCode]])&lt;100,0,1)</f>
        <v>0</v>
      </c>
      <c r="J96" s="57">
        <f>IF(LEN(PSPOINTS[[#This Row],[PayScalePointTitle]])&lt;100,0,1)</f>
        <v>0</v>
      </c>
      <c r="K96" s="57">
        <f>(COUNTBLANK(PSPOINTS[[#This Row],[PayScalePointCode]:[RateDateFrom]])+COUNTBLANK(PSPOINTS[[#This Row],[PayScaleRate]]))</f>
        <v>0</v>
      </c>
      <c r="L96" s="120">
        <f>IF(SUBSTITUTE(TEXT(PSPOINTS[[#This Row],[PayScaleCode]],10)," ","")=TEXT(PSPOINTS[[#This Row],[PayScaleCode]],10),0,1)+IF(SUBSTITUTE(TEXT(PSPOINTS[[#This Row],[PayScalePointCode]],10)," ","")=TEXT(PSPOINTS[[#This Row],[PayScalePointCode]],10),0,1)</f>
        <v>0</v>
      </c>
      <c r="M96" s="57">
        <f ca="1">SUM(PSPOINTS[[#This Row],[Scale Point Issue]:[Space in Code]])</f>
        <v>0</v>
      </c>
      <c r="N96" s="57" t="s">
        <v>1137</v>
      </c>
      <c r="P96" s="12" t="s">
        <v>1390</v>
      </c>
      <c r="Q96" s="57" t="str">
        <f>_xlfn.XLOOKUP(PSPOINTS[[#This Row],[PayScaleCode]],'19_PayScales'!N:N,'19_PayScales'!O:O)</f>
        <v>NJC EW</v>
      </c>
      <c r="R96" s="12">
        <v>17</v>
      </c>
      <c r="S96" s="12">
        <v>17</v>
      </c>
      <c r="T96" s="12">
        <v>17</v>
      </c>
      <c r="U96" s="12" t="b">
        <v>0</v>
      </c>
      <c r="V96" s="15" t="b">
        <v>1</v>
      </c>
      <c r="W96" s="86">
        <v>45748</v>
      </c>
      <c r="Y96" s="14">
        <v>31022</v>
      </c>
    </row>
    <row r="97" spans="1:25" hidden="1" x14ac:dyDescent="0.25">
      <c r="A97" s="158" t="str">
        <f>PSPOINTS[[#This Row],[PayScaleCode]]&amp;PSPOINTS[[#This Row],[RateDateFrom]]</f>
        <v>NJC_EW45748</v>
      </c>
      <c r="B97" s="57">
        <f t="shared" si="1"/>
        <v>0</v>
      </c>
      <c r="C97" s="57" t="str">
        <f>PSPOINTS[[#This Row],[PayScaleCode]]&amp;PSPOINTS[[#This Row],[PayScalePointCode]]&amp;PSPOINTS[[#This Row],[RateDateFrom]]</f>
        <v>NJC_EW1845748</v>
      </c>
      <c r="D97" s="57">
        <f>COUNTIF(PSPOINTS[Pay Scale String Duplicates],PSPOINTS[[#This Row],[Pay Scale String Duplicates]])-1</f>
        <v>0</v>
      </c>
      <c r="E97" s="57">
        <f>IF((MONTH(_xlfn.XLOOKUP(PSPOINTS[[#This Row],[PayScaleCode]],'19_PayScales'!N:N,'19_PayScales'!R:R)))=MONTH(PSPOINTS[[#This Row],[RateDateFrom]]),0,1)</f>
        <v>0</v>
      </c>
      <c r="F97" s="57">
        <f>IF(ISBLANK(PSPOINTS[[#This Row],[RateDateTo]]),0,IF(PSPOINTS[[#This Row],[RateDateFrom]]&lt;PSPOINTS[[#This Row],[RateDateTo]],0,1))</f>
        <v>0</v>
      </c>
      <c r="G97" s="57" cm="1">
        <f t="array" aca="1" ref="G97" ca="1">IF(CELL("format",PSPOINTS[[#This Row],[RateDateFrom]])="D1",0,1)+IF(CELL("format",PSPOINTS[[#This Row],[RateDateTo]])="D1",0,1)</f>
        <v>0</v>
      </c>
      <c r="H97" s="57">
        <f>IF(OR(PSPOINTS[[#This Row],[Hourly]]=TRUE,PSPOINTS[[#This Row],[Hourly]]=FALSE),IF(OR(PSPOINTS[[#This Row],[PayScalePointEnabled]]=TRUE,PSPOINTS[[#This Row],[PayScalePointEnabled]]=FALSE),0,1),1)</f>
        <v>0</v>
      </c>
      <c r="I97" s="57">
        <f>IF(LEN(PSPOINTS[[#This Row],[PayScalePointCode]])&lt;100,0,1)</f>
        <v>0</v>
      </c>
      <c r="J97" s="57">
        <f>IF(LEN(PSPOINTS[[#This Row],[PayScalePointTitle]])&lt;100,0,1)</f>
        <v>0</v>
      </c>
      <c r="K97" s="57">
        <f>(COUNTBLANK(PSPOINTS[[#This Row],[PayScalePointCode]:[RateDateFrom]])+COUNTBLANK(PSPOINTS[[#This Row],[PayScaleRate]]))</f>
        <v>0</v>
      </c>
      <c r="L97" s="120">
        <f>IF(SUBSTITUTE(TEXT(PSPOINTS[[#This Row],[PayScaleCode]],10)," ","")=TEXT(PSPOINTS[[#This Row],[PayScaleCode]],10),0,1)+IF(SUBSTITUTE(TEXT(PSPOINTS[[#This Row],[PayScalePointCode]],10)," ","")=TEXT(PSPOINTS[[#This Row],[PayScalePointCode]],10),0,1)</f>
        <v>0</v>
      </c>
      <c r="M97" s="57">
        <f ca="1">SUM(PSPOINTS[[#This Row],[Scale Point Issue]:[Space in Code]])</f>
        <v>0</v>
      </c>
      <c r="N97" s="57" t="s">
        <v>1137</v>
      </c>
      <c r="P97" s="12" t="s">
        <v>1390</v>
      </c>
      <c r="Q97" s="57" t="str">
        <f>_xlfn.XLOOKUP(PSPOINTS[[#This Row],[PayScaleCode]],'19_PayScales'!N:N,'19_PayScales'!O:O)</f>
        <v>NJC EW</v>
      </c>
      <c r="R97" s="12">
        <v>18</v>
      </c>
      <c r="S97" s="12">
        <v>18</v>
      </c>
      <c r="T97" s="12">
        <v>18</v>
      </c>
      <c r="U97" s="12" t="b">
        <v>0</v>
      </c>
      <c r="V97" s="15" t="b">
        <v>1</v>
      </c>
      <c r="W97" s="86">
        <v>45748</v>
      </c>
      <c r="Y97" s="14">
        <v>31537</v>
      </c>
    </row>
    <row r="98" spans="1:25" hidden="1" x14ac:dyDescent="0.25">
      <c r="A98" s="158" t="str">
        <f>PSPOINTS[[#This Row],[PayScaleCode]]&amp;PSPOINTS[[#This Row],[RateDateFrom]]</f>
        <v>NJC_EW45748</v>
      </c>
      <c r="B98" s="57">
        <f t="shared" si="1"/>
        <v>0</v>
      </c>
      <c r="C98" s="57" t="str">
        <f>PSPOINTS[[#This Row],[PayScaleCode]]&amp;PSPOINTS[[#This Row],[PayScalePointCode]]&amp;PSPOINTS[[#This Row],[RateDateFrom]]</f>
        <v>NJC_EW1945748</v>
      </c>
      <c r="D98" s="57">
        <f>COUNTIF(PSPOINTS[Pay Scale String Duplicates],PSPOINTS[[#This Row],[Pay Scale String Duplicates]])-1</f>
        <v>0</v>
      </c>
      <c r="E98" s="57">
        <f>IF((MONTH(_xlfn.XLOOKUP(PSPOINTS[[#This Row],[PayScaleCode]],'19_PayScales'!N:N,'19_PayScales'!R:R)))=MONTH(PSPOINTS[[#This Row],[RateDateFrom]]),0,1)</f>
        <v>0</v>
      </c>
      <c r="F98" s="57">
        <f>IF(ISBLANK(PSPOINTS[[#This Row],[RateDateTo]]),0,IF(PSPOINTS[[#This Row],[RateDateFrom]]&lt;PSPOINTS[[#This Row],[RateDateTo]],0,1))</f>
        <v>0</v>
      </c>
      <c r="G98" s="57" cm="1">
        <f t="array" aca="1" ref="G98" ca="1">IF(CELL("format",PSPOINTS[[#This Row],[RateDateFrom]])="D1",0,1)+IF(CELL("format",PSPOINTS[[#This Row],[RateDateTo]])="D1",0,1)</f>
        <v>0</v>
      </c>
      <c r="H98" s="57">
        <f>IF(OR(PSPOINTS[[#This Row],[Hourly]]=TRUE,PSPOINTS[[#This Row],[Hourly]]=FALSE),IF(OR(PSPOINTS[[#This Row],[PayScalePointEnabled]]=TRUE,PSPOINTS[[#This Row],[PayScalePointEnabled]]=FALSE),0,1),1)</f>
        <v>0</v>
      </c>
      <c r="I98" s="57">
        <f>IF(LEN(PSPOINTS[[#This Row],[PayScalePointCode]])&lt;100,0,1)</f>
        <v>0</v>
      </c>
      <c r="J98" s="57">
        <f>IF(LEN(PSPOINTS[[#This Row],[PayScalePointTitle]])&lt;100,0,1)</f>
        <v>0</v>
      </c>
      <c r="K98" s="57">
        <f>(COUNTBLANK(PSPOINTS[[#This Row],[PayScalePointCode]:[RateDateFrom]])+COUNTBLANK(PSPOINTS[[#This Row],[PayScaleRate]]))</f>
        <v>0</v>
      </c>
      <c r="L98" s="120">
        <f>IF(SUBSTITUTE(TEXT(PSPOINTS[[#This Row],[PayScaleCode]],10)," ","")=TEXT(PSPOINTS[[#This Row],[PayScaleCode]],10),0,1)+IF(SUBSTITUTE(TEXT(PSPOINTS[[#This Row],[PayScalePointCode]],10)," ","")=TEXT(PSPOINTS[[#This Row],[PayScalePointCode]],10),0,1)</f>
        <v>0</v>
      </c>
      <c r="M98" s="57">
        <f ca="1">SUM(PSPOINTS[[#This Row],[Scale Point Issue]:[Space in Code]])</f>
        <v>0</v>
      </c>
      <c r="N98" s="57" t="s">
        <v>1137</v>
      </c>
      <c r="P98" s="12" t="s">
        <v>1390</v>
      </c>
      <c r="Q98" s="57" t="str">
        <f>_xlfn.XLOOKUP(PSPOINTS[[#This Row],[PayScaleCode]],'19_PayScales'!N:N,'19_PayScales'!O:O)</f>
        <v>NJC EW</v>
      </c>
      <c r="R98" s="12">
        <v>19</v>
      </c>
      <c r="S98" s="12">
        <v>19</v>
      </c>
      <c r="T98" s="12">
        <v>19</v>
      </c>
      <c r="U98" s="12" t="b">
        <v>0</v>
      </c>
      <c r="V98" s="15" t="b">
        <v>1</v>
      </c>
      <c r="W98" s="86">
        <v>45748</v>
      </c>
      <c r="Y98" s="14">
        <v>32061</v>
      </c>
    </row>
    <row r="99" spans="1:25" hidden="1" x14ac:dyDescent="0.25">
      <c r="A99" s="158" t="str">
        <f>PSPOINTS[[#This Row],[PayScaleCode]]&amp;PSPOINTS[[#This Row],[RateDateFrom]]</f>
        <v>NJC_EW45748</v>
      </c>
      <c r="B99" s="57">
        <f t="shared" si="1"/>
        <v>0</v>
      </c>
      <c r="C99" s="57" t="str">
        <f>PSPOINTS[[#This Row],[PayScaleCode]]&amp;PSPOINTS[[#This Row],[PayScalePointCode]]&amp;PSPOINTS[[#This Row],[RateDateFrom]]</f>
        <v>NJC_EW2045748</v>
      </c>
      <c r="D99" s="57">
        <f>COUNTIF(PSPOINTS[Pay Scale String Duplicates],PSPOINTS[[#This Row],[Pay Scale String Duplicates]])-1</f>
        <v>0</v>
      </c>
      <c r="E99" s="57">
        <f>IF((MONTH(_xlfn.XLOOKUP(PSPOINTS[[#This Row],[PayScaleCode]],'19_PayScales'!N:N,'19_PayScales'!R:R)))=MONTH(PSPOINTS[[#This Row],[RateDateFrom]]),0,1)</f>
        <v>0</v>
      </c>
      <c r="F99" s="57">
        <f>IF(ISBLANK(PSPOINTS[[#This Row],[RateDateTo]]),0,IF(PSPOINTS[[#This Row],[RateDateFrom]]&lt;PSPOINTS[[#This Row],[RateDateTo]],0,1))</f>
        <v>0</v>
      </c>
      <c r="G99" s="57" cm="1">
        <f t="array" aca="1" ref="G99" ca="1">IF(CELL("format",PSPOINTS[[#This Row],[RateDateFrom]])="D1",0,1)+IF(CELL("format",PSPOINTS[[#This Row],[RateDateTo]])="D1",0,1)</f>
        <v>0</v>
      </c>
      <c r="H99" s="57">
        <f>IF(OR(PSPOINTS[[#This Row],[Hourly]]=TRUE,PSPOINTS[[#This Row],[Hourly]]=FALSE),IF(OR(PSPOINTS[[#This Row],[PayScalePointEnabled]]=TRUE,PSPOINTS[[#This Row],[PayScalePointEnabled]]=FALSE),0,1),1)</f>
        <v>0</v>
      </c>
      <c r="I99" s="57">
        <f>IF(LEN(PSPOINTS[[#This Row],[PayScalePointCode]])&lt;100,0,1)</f>
        <v>0</v>
      </c>
      <c r="J99" s="57">
        <f>IF(LEN(PSPOINTS[[#This Row],[PayScalePointTitle]])&lt;100,0,1)</f>
        <v>0</v>
      </c>
      <c r="K99" s="57">
        <f>(COUNTBLANK(PSPOINTS[[#This Row],[PayScalePointCode]:[RateDateFrom]])+COUNTBLANK(PSPOINTS[[#This Row],[PayScaleRate]]))</f>
        <v>0</v>
      </c>
      <c r="L99" s="120">
        <f>IF(SUBSTITUTE(TEXT(PSPOINTS[[#This Row],[PayScaleCode]],10)," ","")=TEXT(PSPOINTS[[#This Row],[PayScaleCode]],10),0,1)+IF(SUBSTITUTE(TEXT(PSPOINTS[[#This Row],[PayScalePointCode]],10)," ","")=TEXT(PSPOINTS[[#This Row],[PayScalePointCode]],10),0,1)</f>
        <v>0</v>
      </c>
      <c r="M99" s="57">
        <f ca="1">SUM(PSPOINTS[[#This Row],[Scale Point Issue]:[Space in Code]])</f>
        <v>0</v>
      </c>
      <c r="N99" s="57" t="s">
        <v>1137</v>
      </c>
      <c r="P99" s="12" t="s">
        <v>1390</v>
      </c>
      <c r="Q99" s="57" t="str">
        <f>_xlfn.XLOOKUP(PSPOINTS[[#This Row],[PayScaleCode]],'19_PayScales'!N:N,'19_PayScales'!O:O)</f>
        <v>NJC EW</v>
      </c>
      <c r="R99" s="12">
        <v>20</v>
      </c>
      <c r="S99" s="12">
        <v>20</v>
      </c>
      <c r="T99" s="12">
        <v>20</v>
      </c>
      <c r="U99" s="12" t="b">
        <v>0</v>
      </c>
      <c r="V99" s="15" t="b">
        <v>1</v>
      </c>
      <c r="W99" s="86">
        <v>45748</v>
      </c>
      <c r="Y99" s="14">
        <v>32597</v>
      </c>
    </row>
    <row r="100" spans="1:25" hidden="1" x14ac:dyDescent="0.25">
      <c r="A100" s="158" t="str">
        <f>PSPOINTS[[#This Row],[PayScaleCode]]&amp;PSPOINTS[[#This Row],[RateDateFrom]]</f>
        <v>NJC_EW45748</v>
      </c>
      <c r="B100" s="57">
        <f t="shared" si="1"/>
        <v>0</v>
      </c>
      <c r="C100" s="57" t="str">
        <f>PSPOINTS[[#This Row],[PayScaleCode]]&amp;PSPOINTS[[#This Row],[PayScalePointCode]]&amp;PSPOINTS[[#This Row],[RateDateFrom]]</f>
        <v>NJC_EW2145748</v>
      </c>
      <c r="D100" s="57">
        <f>COUNTIF(PSPOINTS[Pay Scale String Duplicates],PSPOINTS[[#This Row],[Pay Scale String Duplicates]])-1</f>
        <v>0</v>
      </c>
      <c r="E100" s="57">
        <f>IF((MONTH(_xlfn.XLOOKUP(PSPOINTS[[#This Row],[PayScaleCode]],'19_PayScales'!N:N,'19_PayScales'!R:R)))=MONTH(PSPOINTS[[#This Row],[RateDateFrom]]),0,1)</f>
        <v>0</v>
      </c>
      <c r="F100" s="57">
        <f>IF(ISBLANK(PSPOINTS[[#This Row],[RateDateTo]]),0,IF(PSPOINTS[[#This Row],[RateDateFrom]]&lt;PSPOINTS[[#This Row],[RateDateTo]],0,1))</f>
        <v>0</v>
      </c>
      <c r="G100" s="57" cm="1">
        <f t="array" aca="1" ref="G100" ca="1">IF(CELL("format",PSPOINTS[[#This Row],[RateDateFrom]])="D1",0,1)+IF(CELL("format",PSPOINTS[[#This Row],[RateDateTo]])="D1",0,1)</f>
        <v>0</v>
      </c>
      <c r="H100" s="57">
        <f>IF(OR(PSPOINTS[[#This Row],[Hourly]]=TRUE,PSPOINTS[[#This Row],[Hourly]]=FALSE),IF(OR(PSPOINTS[[#This Row],[PayScalePointEnabled]]=TRUE,PSPOINTS[[#This Row],[PayScalePointEnabled]]=FALSE),0,1),1)</f>
        <v>0</v>
      </c>
      <c r="I100" s="57">
        <f>IF(LEN(PSPOINTS[[#This Row],[PayScalePointCode]])&lt;100,0,1)</f>
        <v>0</v>
      </c>
      <c r="J100" s="57">
        <f>IF(LEN(PSPOINTS[[#This Row],[PayScalePointTitle]])&lt;100,0,1)</f>
        <v>0</v>
      </c>
      <c r="K100" s="57">
        <f>(COUNTBLANK(PSPOINTS[[#This Row],[PayScalePointCode]:[RateDateFrom]])+COUNTBLANK(PSPOINTS[[#This Row],[PayScaleRate]]))</f>
        <v>0</v>
      </c>
      <c r="L100" s="120">
        <f>IF(SUBSTITUTE(TEXT(PSPOINTS[[#This Row],[PayScaleCode]],10)," ","")=TEXT(PSPOINTS[[#This Row],[PayScaleCode]],10),0,1)+IF(SUBSTITUTE(TEXT(PSPOINTS[[#This Row],[PayScalePointCode]],10)," ","")=TEXT(PSPOINTS[[#This Row],[PayScalePointCode]],10),0,1)</f>
        <v>0</v>
      </c>
      <c r="M100" s="57">
        <f ca="1">SUM(PSPOINTS[[#This Row],[Scale Point Issue]:[Space in Code]])</f>
        <v>0</v>
      </c>
      <c r="N100" s="57" t="s">
        <v>1137</v>
      </c>
      <c r="P100" s="12" t="s">
        <v>1390</v>
      </c>
      <c r="Q100" s="57" t="str">
        <f>_xlfn.XLOOKUP(PSPOINTS[[#This Row],[PayScaleCode]],'19_PayScales'!N:N,'19_PayScales'!O:O)</f>
        <v>NJC EW</v>
      </c>
      <c r="R100" s="12">
        <v>21</v>
      </c>
      <c r="S100" s="12">
        <v>21</v>
      </c>
      <c r="T100" s="12">
        <v>21</v>
      </c>
      <c r="U100" s="12" t="b">
        <v>0</v>
      </c>
      <c r="V100" s="15" t="b">
        <v>1</v>
      </c>
      <c r="W100" s="86">
        <v>45748</v>
      </c>
      <c r="Y100" s="14">
        <v>33143</v>
      </c>
    </row>
    <row r="101" spans="1:25" hidden="1" x14ac:dyDescent="0.25">
      <c r="A101" s="158" t="str">
        <f>PSPOINTS[[#This Row],[PayScaleCode]]&amp;PSPOINTS[[#This Row],[RateDateFrom]]</f>
        <v>NJC_EW45748</v>
      </c>
      <c r="B101" s="57">
        <f t="shared" si="1"/>
        <v>0</v>
      </c>
      <c r="C101" s="57" t="str">
        <f>PSPOINTS[[#This Row],[PayScaleCode]]&amp;PSPOINTS[[#This Row],[PayScalePointCode]]&amp;PSPOINTS[[#This Row],[RateDateFrom]]</f>
        <v>NJC_EW2245748</v>
      </c>
      <c r="D101" s="57">
        <f>COUNTIF(PSPOINTS[Pay Scale String Duplicates],PSPOINTS[[#This Row],[Pay Scale String Duplicates]])-1</f>
        <v>0</v>
      </c>
      <c r="E101" s="57">
        <f>IF((MONTH(_xlfn.XLOOKUP(PSPOINTS[[#This Row],[PayScaleCode]],'19_PayScales'!N:N,'19_PayScales'!R:R)))=MONTH(PSPOINTS[[#This Row],[RateDateFrom]]),0,1)</f>
        <v>0</v>
      </c>
      <c r="F101" s="57">
        <f>IF(ISBLANK(PSPOINTS[[#This Row],[RateDateTo]]),0,IF(PSPOINTS[[#This Row],[RateDateFrom]]&lt;PSPOINTS[[#This Row],[RateDateTo]],0,1))</f>
        <v>0</v>
      </c>
      <c r="G101" s="57" cm="1">
        <f t="array" aca="1" ref="G101" ca="1">IF(CELL("format",PSPOINTS[[#This Row],[RateDateFrom]])="D1",0,1)+IF(CELL("format",PSPOINTS[[#This Row],[RateDateTo]])="D1",0,1)</f>
        <v>0</v>
      </c>
      <c r="H101" s="57">
        <f>IF(OR(PSPOINTS[[#This Row],[Hourly]]=TRUE,PSPOINTS[[#This Row],[Hourly]]=FALSE),IF(OR(PSPOINTS[[#This Row],[PayScalePointEnabled]]=TRUE,PSPOINTS[[#This Row],[PayScalePointEnabled]]=FALSE),0,1),1)</f>
        <v>0</v>
      </c>
      <c r="I101" s="57">
        <f>IF(LEN(PSPOINTS[[#This Row],[PayScalePointCode]])&lt;100,0,1)</f>
        <v>0</v>
      </c>
      <c r="J101" s="57">
        <f>IF(LEN(PSPOINTS[[#This Row],[PayScalePointTitle]])&lt;100,0,1)</f>
        <v>0</v>
      </c>
      <c r="K101" s="57">
        <f>(COUNTBLANK(PSPOINTS[[#This Row],[PayScalePointCode]:[RateDateFrom]])+COUNTBLANK(PSPOINTS[[#This Row],[PayScaleRate]]))</f>
        <v>0</v>
      </c>
      <c r="L101" s="120">
        <f>IF(SUBSTITUTE(TEXT(PSPOINTS[[#This Row],[PayScaleCode]],10)," ","")=TEXT(PSPOINTS[[#This Row],[PayScaleCode]],10),0,1)+IF(SUBSTITUTE(TEXT(PSPOINTS[[#This Row],[PayScalePointCode]],10)," ","")=TEXT(PSPOINTS[[#This Row],[PayScalePointCode]],10),0,1)</f>
        <v>0</v>
      </c>
      <c r="M101" s="57">
        <f ca="1">SUM(PSPOINTS[[#This Row],[Scale Point Issue]:[Space in Code]])</f>
        <v>0</v>
      </c>
      <c r="N101" s="57" t="s">
        <v>1137</v>
      </c>
      <c r="P101" s="12" t="s">
        <v>1390</v>
      </c>
      <c r="Q101" s="57" t="str">
        <f>_xlfn.XLOOKUP(PSPOINTS[[#This Row],[PayScaleCode]],'19_PayScales'!N:N,'19_PayScales'!O:O)</f>
        <v>NJC EW</v>
      </c>
      <c r="R101" s="12">
        <v>22</v>
      </c>
      <c r="S101" s="12">
        <v>22</v>
      </c>
      <c r="T101" s="12">
        <v>22</v>
      </c>
      <c r="U101" s="12" t="b">
        <v>0</v>
      </c>
      <c r="V101" s="15" t="b">
        <v>1</v>
      </c>
      <c r="W101" s="86">
        <v>45748</v>
      </c>
      <c r="Y101" s="14">
        <v>33699</v>
      </c>
    </row>
    <row r="102" spans="1:25" hidden="1" x14ac:dyDescent="0.25">
      <c r="A102" s="158" t="str">
        <f>PSPOINTS[[#This Row],[PayScaleCode]]&amp;PSPOINTS[[#This Row],[RateDateFrom]]</f>
        <v>NJC_EW45748</v>
      </c>
      <c r="B102" s="57">
        <f t="shared" si="1"/>
        <v>0</v>
      </c>
      <c r="C102" s="57" t="str">
        <f>PSPOINTS[[#This Row],[PayScaleCode]]&amp;PSPOINTS[[#This Row],[PayScalePointCode]]&amp;PSPOINTS[[#This Row],[RateDateFrom]]</f>
        <v>NJC_EW2345748</v>
      </c>
      <c r="D102" s="57">
        <f>COUNTIF(PSPOINTS[Pay Scale String Duplicates],PSPOINTS[[#This Row],[Pay Scale String Duplicates]])-1</f>
        <v>0</v>
      </c>
      <c r="E102" s="57">
        <f>IF((MONTH(_xlfn.XLOOKUP(PSPOINTS[[#This Row],[PayScaleCode]],'19_PayScales'!N:N,'19_PayScales'!R:R)))=MONTH(PSPOINTS[[#This Row],[RateDateFrom]]),0,1)</f>
        <v>0</v>
      </c>
      <c r="F102" s="57">
        <f>IF(ISBLANK(PSPOINTS[[#This Row],[RateDateTo]]),0,IF(PSPOINTS[[#This Row],[RateDateFrom]]&lt;PSPOINTS[[#This Row],[RateDateTo]],0,1))</f>
        <v>0</v>
      </c>
      <c r="G102" s="57" cm="1">
        <f t="array" aca="1" ref="G102" ca="1">IF(CELL("format",PSPOINTS[[#This Row],[RateDateFrom]])="D1",0,1)+IF(CELL("format",PSPOINTS[[#This Row],[RateDateTo]])="D1",0,1)</f>
        <v>0</v>
      </c>
      <c r="H102" s="57">
        <f>IF(OR(PSPOINTS[[#This Row],[Hourly]]=TRUE,PSPOINTS[[#This Row],[Hourly]]=FALSE),IF(OR(PSPOINTS[[#This Row],[PayScalePointEnabled]]=TRUE,PSPOINTS[[#This Row],[PayScalePointEnabled]]=FALSE),0,1),1)</f>
        <v>0</v>
      </c>
      <c r="I102" s="57">
        <f>IF(LEN(PSPOINTS[[#This Row],[PayScalePointCode]])&lt;100,0,1)</f>
        <v>0</v>
      </c>
      <c r="J102" s="57">
        <f>IF(LEN(PSPOINTS[[#This Row],[PayScalePointTitle]])&lt;100,0,1)</f>
        <v>0</v>
      </c>
      <c r="K102" s="57">
        <f>(COUNTBLANK(PSPOINTS[[#This Row],[PayScalePointCode]:[RateDateFrom]])+COUNTBLANK(PSPOINTS[[#This Row],[PayScaleRate]]))</f>
        <v>0</v>
      </c>
      <c r="L102" s="120">
        <f>IF(SUBSTITUTE(TEXT(PSPOINTS[[#This Row],[PayScaleCode]],10)," ","")=TEXT(PSPOINTS[[#This Row],[PayScaleCode]],10),0,1)+IF(SUBSTITUTE(TEXT(PSPOINTS[[#This Row],[PayScalePointCode]],10)," ","")=TEXT(PSPOINTS[[#This Row],[PayScalePointCode]],10),0,1)</f>
        <v>0</v>
      </c>
      <c r="M102" s="57">
        <f ca="1">SUM(PSPOINTS[[#This Row],[Scale Point Issue]:[Space in Code]])</f>
        <v>0</v>
      </c>
      <c r="N102" s="57" t="s">
        <v>1137</v>
      </c>
      <c r="P102" s="12" t="s">
        <v>1390</v>
      </c>
      <c r="Q102" s="57" t="str">
        <f>_xlfn.XLOOKUP(PSPOINTS[[#This Row],[PayScaleCode]],'19_PayScales'!N:N,'19_PayScales'!O:O)</f>
        <v>NJC EW</v>
      </c>
      <c r="R102" s="12">
        <v>23</v>
      </c>
      <c r="S102" s="12">
        <v>23</v>
      </c>
      <c r="T102" s="12">
        <v>23</v>
      </c>
      <c r="U102" s="12" t="b">
        <v>0</v>
      </c>
      <c r="V102" s="15" t="b">
        <v>1</v>
      </c>
      <c r="W102" s="86">
        <v>45748</v>
      </c>
      <c r="Y102" s="14">
        <v>34434</v>
      </c>
    </row>
    <row r="103" spans="1:25" hidden="1" x14ac:dyDescent="0.25">
      <c r="A103" s="158" t="str">
        <f>PSPOINTS[[#This Row],[PayScaleCode]]&amp;PSPOINTS[[#This Row],[RateDateFrom]]</f>
        <v>NJC_EW45748</v>
      </c>
      <c r="B103" s="57">
        <f t="shared" si="1"/>
        <v>0</v>
      </c>
      <c r="C103" s="57" t="str">
        <f>PSPOINTS[[#This Row],[PayScaleCode]]&amp;PSPOINTS[[#This Row],[PayScalePointCode]]&amp;PSPOINTS[[#This Row],[RateDateFrom]]</f>
        <v>NJC_EW2445748</v>
      </c>
      <c r="D103" s="57">
        <f>COUNTIF(PSPOINTS[Pay Scale String Duplicates],PSPOINTS[[#This Row],[Pay Scale String Duplicates]])-1</f>
        <v>0</v>
      </c>
      <c r="E103" s="57">
        <f>IF((MONTH(_xlfn.XLOOKUP(PSPOINTS[[#This Row],[PayScaleCode]],'19_PayScales'!N:N,'19_PayScales'!R:R)))=MONTH(PSPOINTS[[#This Row],[RateDateFrom]]),0,1)</f>
        <v>0</v>
      </c>
      <c r="F103" s="57">
        <f>IF(ISBLANK(PSPOINTS[[#This Row],[RateDateTo]]),0,IF(PSPOINTS[[#This Row],[RateDateFrom]]&lt;PSPOINTS[[#This Row],[RateDateTo]],0,1))</f>
        <v>0</v>
      </c>
      <c r="G103" s="57" cm="1">
        <f t="array" aca="1" ref="G103" ca="1">IF(CELL("format",PSPOINTS[[#This Row],[RateDateFrom]])="D1",0,1)+IF(CELL("format",PSPOINTS[[#This Row],[RateDateTo]])="D1",0,1)</f>
        <v>0</v>
      </c>
      <c r="H103" s="57">
        <f>IF(OR(PSPOINTS[[#This Row],[Hourly]]=TRUE,PSPOINTS[[#This Row],[Hourly]]=FALSE),IF(OR(PSPOINTS[[#This Row],[PayScalePointEnabled]]=TRUE,PSPOINTS[[#This Row],[PayScalePointEnabled]]=FALSE),0,1),1)</f>
        <v>0</v>
      </c>
      <c r="I103" s="57">
        <f>IF(LEN(PSPOINTS[[#This Row],[PayScalePointCode]])&lt;100,0,1)</f>
        <v>0</v>
      </c>
      <c r="J103" s="57">
        <f>IF(LEN(PSPOINTS[[#This Row],[PayScalePointTitle]])&lt;100,0,1)</f>
        <v>0</v>
      </c>
      <c r="K103" s="57">
        <f>(COUNTBLANK(PSPOINTS[[#This Row],[PayScalePointCode]:[RateDateFrom]])+COUNTBLANK(PSPOINTS[[#This Row],[PayScaleRate]]))</f>
        <v>0</v>
      </c>
      <c r="L103" s="120">
        <f>IF(SUBSTITUTE(TEXT(PSPOINTS[[#This Row],[PayScaleCode]],10)," ","")=TEXT(PSPOINTS[[#This Row],[PayScaleCode]],10),0,1)+IF(SUBSTITUTE(TEXT(PSPOINTS[[#This Row],[PayScalePointCode]],10)," ","")=TEXT(PSPOINTS[[#This Row],[PayScalePointCode]],10),0,1)</f>
        <v>0</v>
      </c>
      <c r="M103" s="57">
        <f ca="1">SUM(PSPOINTS[[#This Row],[Scale Point Issue]:[Space in Code]])</f>
        <v>0</v>
      </c>
      <c r="N103" s="57" t="s">
        <v>1137</v>
      </c>
      <c r="P103" s="12" t="s">
        <v>1390</v>
      </c>
      <c r="Q103" s="57" t="str">
        <f>_xlfn.XLOOKUP(PSPOINTS[[#This Row],[PayScaleCode]],'19_PayScales'!N:N,'19_PayScales'!O:O)</f>
        <v>NJC EW</v>
      </c>
      <c r="R103" s="12">
        <v>24</v>
      </c>
      <c r="S103" s="12">
        <v>24</v>
      </c>
      <c r="T103" s="12">
        <v>24</v>
      </c>
      <c r="U103" s="12" t="b">
        <v>0</v>
      </c>
      <c r="V103" s="15" t="b">
        <v>1</v>
      </c>
      <c r="W103" s="86">
        <v>45748</v>
      </c>
      <c r="Y103" s="14">
        <v>35412</v>
      </c>
    </row>
    <row r="104" spans="1:25" hidden="1" x14ac:dyDescent="0.25">
      <c r="A104" s="158" t="str">
        <f>PSPOINTS[[#This Row],[PayScaleCode]]&amp;PSPOINTS[[#This Row],[RateDateFrom]]</f>
        <v>NJC_EW45748</v>
      </c>
      <c r="B104" s="57">
        <f t="shared" si="1"/>
        <v>0</v>
      </c>
      <c r="C104" s="57" t="str">
        <f>PSPOINTS[[#This Row],[PayScaleCode]]&amp;PSPOINTS[[#This Row],[PayScalePointCode]]&amp;PSPOINTS[[#This Row],[RateDateFrom]]</f>
        <v>NJC_EW2545748</v>
      </c>
      <c r="D104" s="57">
        <f>COUNTIF(PSPOINTS[Pay Scale String Duplicates],PSPOINTS[[#This Row],[Pay Scale String Duplicates]])-1</f>
        <v>0</v>
      </c>
      <c r="E104" s="57">
        <f>IF((MONTH(_xlfn.XLOOKUP(PSPOINTS[[#This Row],[PayScaleCode]],'19_PayScales'!N:N,'19_PayScales'!R:R)))=MONTH(PSPOINTS[[#This Row],[RateDateFrom]]),0,1)</f>
        <v>0</v>
      </c>
      <c r="F104" s="57">
        <f>IF(ISBLANK(PSPOINTS[[#This Row],[RateDateTo]]),0,IF(PSPOINTS[[#This Row],[RateDateFrom]]&lt;PSPOINTS[[#This Row],[RateDateTo]],0,1))</f>
        <v>0</v>
      </c>
      <c r="G104" s="57" cm="1">
        <f t="array" aca="1" ref="G104" ca="1">IF(CELL("format",PSPOINTS[[#This Row],[RateDateFrom]])="D1",0,1)+IF(CELL("format",PSPOINTS[[#This Row],[RateDateTo]])="D1",0,1)</f>
        <v>0</v>
      </c>
      <c r="H104" s="57">
        <f>IF(OR(PSPOINTS[[#This Row],[Hourly]]=TRUE,PSPOINTS[[#This Row],[Hourly]]=FALSE),IF(OR(PSPOINTS[[#This Row],[PayScalePointEnabled]]=TRUE,PSPOINTS[[#This Row],[PayScalePointEnabled]]=FALSE),0,1),1)</f>
        <v>0</v>
      </c>
      <c r="I104" s="57">
        <f>IF(LEN(PSPOINTS[[#This Row],[PayScalePointCode]])&lt;100,0,1)</f>
        <v>0</v>
      </c>
      <c r="J104" s="57">
        <f>IF(LEN(PSPOINTS[[#This Row],[PayScalePointTitle]])&lt;100,0,1)</f>
        <v>0</v>
      </c>
      <c r="K104" s="57">
        <f>(COUNTBLANK(PSPOINTS[[#This Row],[PayScalePointCode]:[RateDateFrom]])+COUNTBLANK(PSPOINTS[[#This Row],[PayScaleRate]]))</f>
        <v>0</v>
      </c>
      <c r="L104" s="120">
        <f>IF(SUBSTITUTE(TEXT(PSPOINTS[[#This Row],[PayScaleCode]],10)," ","")=TEXT(PSPOINTS[[#This Row],[PayScaleCode]],10),0,1)+IF(SUBSTITUTE(TEXT(PSPOINTS[[#This Row],[PayScalePointCode]],10)," ","")=TEXT(PSPOINTS[[#This Row],[PayScalePointCode]],10),0,1)</f>
        <v>0</v>
      </c>
      <c r="M104" s="57">
        <f ca="1">SUM(PSPOINTS[[#This Row],[Scale Point Issue]:[Space in Code]])</f>
        <v>0</v>
      </c>
      <c r="N104" s="57" t="s">
        <v>1137</v>
      </c>
      <c r="P104" s="12" t="s">
        <v>1390</v>
      </c>
      <c r="Q104" s="57" t="str">
        <f>_xlfn.XLOOKUP(PSPOINTS[[#This Row],[PayScaleCode]],'19_PayScales'!N:N,'19_PayScales'!O:O)</f>
        <v>NJC EW</v>
      </c>
      <c r="R104" s="12">
        <v>25</v>
      </c>
      <c r="S104" s="12">
        <v>25</v>
      </c>
      <c r="T104" s="12">
        <v>25</v>
      </c>
      <c r="U104" s="12" t="b">
        <v>0</v>
      </c>
      <c r="V104" s="15" t="b">
        <v>1</v>
      </c>
      <c r="W104" s="86">
        <v>45748</v>
      </c>
      <c r="Y104" s="14">
        <v>36363</v>
      </c>
    </row>
    <row r="105" spans="1:25" hidden="1" x14ac:dyDescent="0.25">
      <c r="A105" s="158" t="str">
        <f>PSPOINTS[[#This Row],[PayScaleCode]]&amp;PSPOINTS[[#This Row],[RateDateFrom]]</f>
        <v>NJC_EW45748</v>
      </c>
      <c r="B105" s="57">
        <f t="shared" si="1"/>
        <v>0</v>
      </c>
      <c r="C105" s="57" t="str">
        <f>PSPOINTS[[#This Row],[PayScaleCode]]&amp;PSPOINTS[[#This Row],[PayScalePointCode]]&amp;PSPOINTS[[#This Row],[RateDateFrom]]</f>
        <v>NJC_EW2645748</v>
      </c>
      <c r="D105" s="57">
        <f>COUNTIF(PSPOINTS[Pay Scale String Duplicates],PSPOINTS[[#This Row],[Pay Scale String Duplicates]])-1</f>
        <v>0</v>
      </c>
      <c r="E105" s="57">
        <f>IF((MONTH(_xlfn.XLOOKUP(PSPOINTS[[#This Row],[PayScaleCode]],'19_PayScales'!N:N,'19_PayScales'!R:R)))=MONTH(PSPOINTS[[#This Row],[RateDateFrom]]),0,1)</f>
        <v>0</v>
      </c>
      <c r="F105" s="57">
        <f>IF(ISBLANK(PSPOINTS[[#This Row],[RateDateTo]]),0,IF(PSPOINTS[[#This Row],[RateDateFrom]]&lt;PSPOINTS[[#This Row],[RateDateTo]],0,1))</f>
        <v>0</v>
      </c>
      <c r="G105" s="57" cm="1">
        <f t="array" aca="1" ref="G105" ca="1">IF(CELL("format",PSPOINTS[[#This Row],[RateDateFrom]])="D1",0,1)+IF(CELL("format",PSPOINTS[[#This Row],[RateDateTo]])="D1",0,1)</f>
        <v>0</v>
      </c>
      <c r="H105" s="57">
        <f>IF(OR(PSPOINTS[[#This Row],[Hourly]]=TRUE,PSPOINTS[[#This Row],[Hourly]]=FALSE),IF(OR(PSPOINTS[[#This Row],[PayScalePointEnabled]]=TRUE,PSPOINTS[[#This Row],[PayScalePointEnabled]]=FALSE),0,1),1)</f>
        <v>0</v>
      </c>
      <c r="I105" s="57">
        <f>IF(LEN(PSPOINTS[[#This Row],[PayScalePointCode]])&lt;100,0,1)</f>
        <v>0</v>
      </c>
      <c r="J105" s="57">
        <f>IF(LEN(PSPOINTS[[#This Row],[PayScalePointTitle]])&lt;100,0,1)</f>
        <v>0</v>
      </c>
      <c r="K105" s="57">
        <f>(COUNTBLANK(PSPOINTS[[#This Row],[PayScalePointCode]:[RateDateFrom]])+COUNTBLANK(PSPOINTS[[#This Row],[PayScaleRate]]))</f>
        <v>0</v>
      </c>
      <c r="L105" s="120">
        <f>IF(SUBSTITUTE(TEXT(PSPOINTS[[#This Row],[PayScaleCode]],10)," ","")=TEXT(PSPOINTS[[#This Row],[PayScaleCode]],10),0,1)+IF(SUBSTITUTE(TEXT(PSPOINTS[[#This Row],[PayScalePointCode]],10)," ","")=TEXT(PSPOINTS[[#This Row],[PayScalePointCode]],10),0,1)</f>
        <v>0</v>
      </c>
      <c r="M105" s="57">
        <f ca="1">SUM(PSPOINTS[[#This Row],[Scale Point Issue]:[Space in Code]])</f>
        <v>0</v>
      </c>
      <c r="N105" s="57" t="s">
        <v>1137</v>
      </c>
      <c r="P105" s="12" t="s">
        <v>1390</v>
      </c>
      <c r="Q105" s="57" t="str">
        <f>_xlfn.XLOOKUP(PSPOINTS[[#This Row],[PayScaleCode]],'19_PayScales'!N:N,'19_PayScales'!O:O)</f>
        <v>NJC EW</v>
      </c>
      <c r="R105" s="12">
        <v>26</v>
      </c>
      <c r="S105" s="12">
        <v>26</v>
      </c>
      <c r="T105" s="12">
        <v>26</v>
      </c>
      <c r="U105" s="12" t="b">
        <v>0</v>
      </c>
      <c r="V105" s="15" t="b">
        <v>1</v>
      </c>
      <c r="W105" s="86">
        <v>45748</v>
      </c>
      <c r="Y105" s="14">
        <v>37280</v>
      </c>
    </row>
    <row r="106" spans="1:25" hidden="1" x14ac:dyDescent="0.25">
      <c r="A106" s="158" t="str">
        <f>PSPOINTS[[#This Row],[PayScaleCode]]&amp;PSPOINTS[[#This Row],[RateDateFrom]]</f>
        <v>NJC_EW45748</v>
      </c>
      <c r="B106" s="57">
        <f t="shared" si="1"/>
        <v>0</v>
      </c>
      <c r="C106" s="57" t="str">
        <f>PSPOINTS[[#This Row],[PayScaleCode]]&amp;PSPOINTS[[#This Row],[PayScalePointCode]]&amp;PSPOINTS[[#This Row],[RateDateFrom]]</f>
        <v>NJC_EW2745748</v>
      </c>
      <c r="D106" s="57">
        <f>COUNTIF(PSPOINTS[Pay Scale String Duplicates],PSPOINTS[[#This Row],[Pay Scale String Duplicates]])-1</f>
        <v>0</v>
      </c>
      <c r="E106" s="57">
        <f>IF((MONTH(_xlfn.XLOOKUP(PSPOINTS[[#This Row],[PayScaleCode]],'19_PayScales'!N:N,'19_PayScales'!R:R)))=MONTH(PSPOINTS[[#This Row],[RateDateFrom]]),0,1)</f>
        <v>0</v>
      </c>
      <c r="F106" s="57">
        <f>IF(ISBLANK(PSPOINTS[[#This Row],[RateDateTo]]),0,IF(PSPOINTS[[#This Row],[RateDateFrom]]&lt;PSPOINTS[[#This Row],[RateDateTo]],0,1))</f>
        <v>0</v>
      </c>
      <c r="G106" s="57" cm="1">
        <f t="array" aca="1" ref="G106" ca="1">IF(CELL("format",PSPOINTS[[#This Row],[RateDateFrom]])="D1",0,1)+IF(CELL("format",PSPOINTS[[#This Row],[RateDateTo]])="D1",0,1)</f>
        <v>0</v>
      </c>
      <c r="H106" s="57">
        <f>IF(OR(PSPOINTS[[#This Row],[Hourly]]=TRUE,PSPOINTS[[#This Row],[Hourly]]=FALSE),IF(OR(PSPOINTS[[#This Row],[PayScalePointEnabled]]=TRUE,PSPOINTS[[#This Row],[PayScalePointEnabled]]=FALSE),0,1),1)</f>
        <v>0</v>
      </c>
      <c r="I106" s="57">
        <f>IF(LEN(PSPOINTS[[#This Row],[PayScalePointCode]])&lt;100,0,1)</f>
        <v>0</v>
      </c>
      <c r="J106" s="57">
        <f>IF(LEN(PSPOINTS[[#This Row],[PayScalePointTitle]])&lt;100,0,1)</f>
        <v>0</v>
      </c>
      <c r="K106" s="57">
        <f>(COUNTBLANK(PSPOINTS[[#This Row],[PayScalePointCode]:[RateDateFrom]])+COUNTBLANK(PSPOINTS[[#This Row],[PayScaleRate]]))</f>
        <v>0</v>
      </c>
      <c r="L106" s="120">
        <f>IF(SUBSTITUTE(TEXT(PSPOINTS[[#This Row],[PayScaleCode]],10)," ","")=TEXT(PSPOINTS[[#This Row],[PayScaleCode]],10),0,1)+IF(SUBSTITUTE(TEXT(PSPOINTS[[#This Row],[PayScalePointCode]],10)," ","")=TEXT(PSPOINTS[[#This Row],[PayScalePointCode]],10),0,1)</f>
        <v>0</v>
      </c>
      <c r="M106" s="57">
        <f ca="1">SUM(PSPOINTS[[#This Row],[Scale Point Issue]:[Space in Code]])</f>
        <v>0</v>
      </c>
      <c r="N106" s="57" t="s">
        <v>1137</v>
      </c>
      <c r="P106" s="12" t="s">
        <v>1390</v>
      </c>
      <c r="Q106" s="57" t="str">
        <f>_xlfn.XLOOKUP(PSPOINTS[[#This Row],[PayScaleCode]],'19_PayScales'!N:N,'19_PayScales'!O:O)</f>
        <v>NJC EW</v>
      </c>
      <c r="R106" s="12">
        <v>27</v>
      </c>
      <c r="S106" s="12">
        <v>27</v>
      </c>
      <c r="T106" s="12">
        <v>27</v>
      </c>
      <c r="U106" s="12" t="b">
        <v>0</v>
      </c>
      <c r="V106" s="15" t="b">
        <v>1</v>
      </c>
      <c r="W106" s="86">
        <v>45748</v>
      </c>
      <c r="Y106" s="14">
        <v>38220</v>
      </c>
    </row>
    <row r="107" spans="1:25" hidden="1" x14ac:dyDescent="0.25">
      <c r="A107" s="158" t="str">
        <f>PSPOINTS[[#This Row],[PayScaleCode]]&amp;PSPOINTS[[#This Row],[RateDateFrom]]</f>
        <v>NJC_EW45748</v>
      </c>
      <c r="B107" s="57">
        <f t="shared" si="1"/>
        <v>0</v>
      </c>
      <c r="C107" s="57" t="str">
        <f>PSPOINTS[[#This Row],[PayScaleCode]]&amp;PSPOINTS[[#This Row],[PayScalePointCode]]&amp;PSPOINTS[[#This Row],[RateDateFrom]]</f>
        <v>NJC_EW2845748</v>
      </c>
      <c r="D107" s="57">
        <f>COUNTIF(PSPOINTS[Pay Scale String Duplicates],PSPOINTS[[#This Row],[Pay Scale String Duplicates]])-1</f>
        <v>0</v>
      </c>
      <c r="E107" s="57">
        <f>IF((MONTH(_xlfn.XLOOKUP(PSPOINTS[[#This Row],[PayScaleCode]],'19_PayScales'!N:N,'19_PayScales'!R:R)))=MONTH(PSPOINTS[[#This Row],[RateDateFrom]]),0,1)</f>
        <v>0</v>
      </c>
      <c r="F107" s="57">
        <f>IF(ISBLANK(PSPOINTS[[#This Row],[RateDateTo]]),0,IF(PSPOINTS[[#This Row],[RateDateFrom]]&lt;PSPOINTS[[#This Row],[RateDateTo]],0,1))</f>
        <v>0</v>
      </c>
      <c r="G107" s="57" cm="1">
        <f t="array" aca="1" ref="G107" ca="1">IF(CELL("format",PSPOINTS[[#This Row],[RateDateFrom]])="D1",0,1)+IF(CELL("format",PSPOINTS[[#This Row],[RateDateTo]])="D1",0,1)</f>
        <v>0</v>
      </c>
      <c r="H107" s="57">
        <f>IF(OR(PSPOINTS[[#This Row],[Hourly]]=TRUE,PSPOINTS[[#This Row],[Hourly]]=FALSE),IF(OR(PSPOINTS[[#This Row],[PayScalePointEnabled]]=TRUE,PSPOINTS[[#This Row],[PayScalePointEnabled]]=FALSE),0,1),1)</f>
        <v>0</v>
      </c>
      <c r="I107" s="57">
        <f>IF(LEN(PSPOINTS[[#This Row],[PayScalePointCode]])&lt;100,0,1)</f>
        <v>0</v>
      </c>
      <c r="J107" s="57">
        <f>IF(LEN(PSPOINTS[[#This Row],[PayScalePointTitle]])&lt;100,0,1)</f>
        <v>0</v>
      </c>
      <c r="K107" s="57">
        <f>(COUNTBLANK(PSPOINTS[[#This Row],[PayScalePointCode]:[RateDateFrom]])+COUNTBLANK(PSPOINTS[[#This Row],[PayScaleRate]]))</f>
        <v>0</v>
      </c>
      <c r="L107" s="120">
        <f>IF(SUBSTITUTE(TEXT(PSPOINTS[[#This Row],[PayScaleCode]],10)," ","")=TEXT(PSPOINTS[[#This Row],[PayScaleCode]],10),0,1)+IF(SUBSTITUTE(TEXT(PSPOINTS[[#This Row],[PayScalePointCode]],10)," ","")=TEXT(PSPOINTS[[#This Row],[PayScalePointCode]],10),0,1)</f>
        <v>0</v>
      </c>
      <c r="M107" s="57">
        <f ca="1">SUM(PSPOINTS[[#This Row],[Scale Point Issue]:[Space in Code]])</f>
        <v>0</v>
      </c>
      <c r="N107" s="57" t="s">
        <v>1137</v>
      </c>
      <c r="P107" s="12" t="s">
        <v>1390</v>
      </c>
      <c r="Q107" s="57" t="str">
        <f>_xlfn.XLOOKUP(PSPOINTS[[#This Row],[PayScaleCode]],'19_PayScales'!N:N,'19_PayScales'!O:O)</f>
        <v>NJC EW</v>
      </c>
      <c r="R107" s="12">
        <v>28</v>
      </c>
      <c r="S107" s="12">
        <v>28</v>
      </c>
      <c r="T107" s="12">
        <v>28</v>
      </c>
      <c r="U107" s="12" t="b">
        <v>0</v>
      </c>
      <c r="V107" s="15" t="b">
        <v>1</v>
      </c>
      <c r="W107" s="86">
        <v>45748</v>
      </c>
      <c r="Y107" s="14">
        <v>39152</v>
      </c>
    </row>
    <row r="108" spans="1:25" hidden="1" x14ac:dyDescent="0.25">
      <c r="A108" s="158" t="str">
        <f>PSPOINTS[[#This Row],[PayScaleCode]]&amp;PSPOINTS[[#This Row],[RateDateFrom]]</f>
        <v>NJC_EW45748</v>
      </c>
      <c r="B108" s="57">
        <f t="shared" si="1"/>
        <v>0</v>
      </c>
      <c r="C108" s="57" t="str">
        <f>PSPOINTS[[#This Row],[PayScaleCode]]&amp;PSPOINTS[[#This Row],[PayScalePointCode]]&amp;PSPOINTS[[#This Row],[RateDateFrom]]</f>
        <v>NJC_EW2945748</v>
      </c>
      <c r="D108" s="57">
        <f>COUNTIF(PSPOINTS[Pay Scale String Duplicates],PSPOINTS[[#This Row],[Pay Scale String Duplicates]])-1</f>
        <v>0</v>
      </c>
      <c r="E108" s="57">
        <f>IF((MONTH(_xlfn.XLOOKUP(PSPOINTS[[#This Row],[PayScaleCode]],'19_PayScales'!N:N,'19_PayScales'!R:R)))=MONTH(PSPOINTS[[#This Row],[RateDateFrom]]),0,1)</f>
        <v>0</v>
      </c>
      <c r="F108" s="57">
        <f>IF(ISBLANK(PSPOINTS[[#This Row],[RateDateTo]]),0,IF(PSPOINTS[[#This Row],[RateDateFrom]]&lt;PSPOINTS[[#This Row],[RateDateTo]],0,1))</f>
        <v>0</v>
      </c>
      <c r="G108" s="57" cm="1">
        <f t="array" aca="1" ref="G108" ca="1">IF(CELL("format",PSPOINTS[[#This Row],[RateDateFrom]])="D1",0,1)+IF(CELL("format",PSPOINTS[[#This Row],[RateDateTo]])="D1",0,1)</f>
        <v>0</v>
      </c>
      <c r="H108" s="57">
        <f>IF(OR(PSPOINTS[[#This Row],[Hourly]]=TRUE,PSPOINTS[[#This Row],[Hourly]]=FALSE),IF(OR(PSPOINTS[[#This Row],[PayScalePointEnabled]]=TRUE,PSPOINTS[[#This Row],[PayScalePointEnabled]]=FALSE),0,1),1)</f>
        <v>0</v>
      </c>
      <c r="I108" s="57">
        <f>IF(LEN(PSPOINTS[[#This Row],[PayScalePointCode]])&lt;100,0,1)</f>
        <v>0</v>
      </c>
      <c r="J108" s="57">
        <f>IF(LEN(PSPOINTS[[#This Row],[PayScalePointTitle]])&lt;100,0,1)</f>
        <v>0</v>
      </c>
      <c r="K108" s="57">
        <f>(COUNTBLANK(PSPOINTS[[#This Row],[PayScalePointCode]:[RateDateFrom]])+COUNTBLANK(PSPOINTS[[#This Row],[PayScaleRate]]))</f>
        <v>0</v>
      </c>
      <c r="L108" s="120">
        <f>IF(SUBSTITUTE(TEXT(PSPOINTS[[#This Row],[PayScaleCode]],10)," ","")=TEXT(PSPOINTS[[#This Row],[PayScaleCode]],10),0,1)+IF(SUBSTITUTE(TEXT(PSPOINTS[[#This Row],[PayScalePointCode]],10)," ","")=TEXT(PSPOINTS[[#This Row],[PayScalePointCode]],10),0,1)</f>
        <v>0</v>
      </c>
      <c r="M108" s="57">
        <f ca="1">SUM(PSPOINTS[[#This Row],[Scale Point Issue]:[Space in Code]])</f>
        <v>0</v>
      </c>
      <c r="N108" s="57" t="s">
        <v>1137</v>
      </c>
      <c r="P108" s="12" t="s">
        <v>1390</v>
      </c>
      <c r="Q108" s="57" t="str">
        <f>_xlfn.XLOOKUP(PSPOINTS[[#This Row],[PayScaleCode]],'19_PayScales'!N:N,'19_PayScales'!O:O)</f>
        <v>NJC EW</v>
      </c>
      <c r="R108" s="12">
        <v>29</v>
      </c>
      <c r="S108" s="12">
        <v>29</v>
      </c>
      <c r="T108" s="12">
        <v>29</v>
      </c>
      <c r="U108" s="12" t="b">
        <v>0</v>
      </c>
      <c r="V108" s="15" t="b">
        <v>1</v>
      </c>
      <c r="W108" s="86">
        <v>45748</v>
      </c>
      <c r="Y108" s="14">
        <v>39862</v>
      </c>
    </row>
    <row r="109" spans="1:25" hidden="1" x14ac:dyDescent="0.25">
      <c r="A109" s="158" t="str">
        <f>PSPOINTS[[#This Row],[PayScaleCode]]&amp;PSPOINTS[[#This Row],[RateDateFrom]]</f>
        <v>NJC_EW45748</v>
      </c>
      <c r="B109" s="57">
        <f t="shared" si="1"/>
        <v>0</v>
      </c>
      <c r="C109" s="57" t="str">
        <f>PSPOINTS[[#This Row],[PayScaleCode]]&amp;PSPOINTS[[#This Row],[PayScalePointCode]]&amp;PSPOINTS[[#This Row],[RateDateFrom]]</f>
        <v>NJC_EW3045748</v>
      </c>
      <c r="D109" s="57">
        <f>COUNTIF(PSPOINTS[Pay Scale String Duplicates],PSPOINTS[[#This Row],[Pay Scale String Duplicates]])-1</f>
        <v>0</v>
      </c>
      <c r="E109" s="57">
        <f>IF((MONTH(_xlfn.XLOOKUP(PSPOINTS[[#This Row],[PayScaleCode]],'19_PayScales'!N:N,'19_PayScales'!R:R)))=MONTH(PSPOINTS[[#This Row],[RateDateFrom]]),0,1)</f>
        <v>0</v>
      </c>
      <c r="F109" s="57">
        <f>IF(ISBLANK(PSPOINTS[[#This Row],[RateDateTo]]),0,IF(PSPOINTS[[#This Row],[RateDateFrom]]&lt;PSPOINTS[[#This Row],[RateDateTo]],0,1))</f>
        <v>0</v>
      </c>
      <c r="G109" s="57" cm="1">
        <f t="array" aca="1" ref="G109" ca="1">IF(CELL("format",PSPOINTS[[#This Row],[RateDateFrom]])="D1",0,1)+IF(CELL("format",PSPOINTS[[#This Row],[RateDateTo]])="D1",0,1)</f>
        <v>0</v>
      </c>
      <c r="H109" s="57">
        <f>IF(OR(PSPOINTS[[#This Row],[Hourly]]=TRUE,PSPOINTS[[#This Row],[Hourly]]=FALSE),IF(OR(PSPOINTS[[#This Row],[PayScalePointEnabled]]=TRUE,PSPOINTS[[#This Row],[PayScalePointEnabled]]=FALSE),0,1),1)</f>
        <v>0</v>
      </c>
      <c r="I109" s="57">
        <f>IF(LEN(PSPOINTS[[#This Row],[PayScalePointCode]])&lt;100,0,1)</f>
        <v>0</v>
      </c>
      <c r="J109" s="57">
        <f>IF(LEN(PSPOINTS[[#This Row],[PayScalePointTitle]])&lt;100,0,1)</f>
        <v>0</v>
      </c>
      <c r="K109" s="57">
        <f>(COUNTBLANK(PSPOINTS[[#This Row],[PayScalePointCode]:[RateDateFrom]])+COUNTBLANK(PSPOINTS[[#This Row],[PayScaleRate]]))</f>
        <v>0</v>
      </c>
      <c r="L109" s="120">
        <f>IF(SUBSTITUTE(TEXT(PSPOINTS[[#This Row],[PayScaleCode]],10)," ","")=TEXT(PSPOINTS[[#This Row],[PayScaleCode]],10),0,1)+IF(SUBSTITUTE(TEXT(PSPOINTS[[#This Row],[PayScalePointCode]],10)," ","")=TEXT(PSPOINTS[[#This Row],[PayScalePointCode]],10),0,1)</f>
        <v>0</v>
      </c>
      <c r="M109" s="57">
        <f ca="1">SUM(PSPOINTS[[#This Row],[Scale Point Issue]:[Space in Code]])</f>
        <v>0</v>
      </c>
      <c r="N109" s="57" t="s">
        <v>1137</v>
      </c>
      <c r="P109" s="12" t="s">
        <v>1390</v>
      </c>
      <c r="Q109" s="57" t="str">
        <f>_xlfn.XLOOKUP(PSPOINTS[[#This Row],[PayScaleCode]],'19_PayScales'!N:N,'19_PayScales'!O:O)</f>
        <v>NJC EW</v>
      </c>
      <c r="R109" s="12">
        <v>30</v>
      </c>
      <c r="S109" s="12">
        <v>30</v>
      </c>
      <c r="T109" s="12">
        <v>30</v>
      </c>
      <c r="U109" s="12" t="b">
        <v>0</v>
      </c>
      <c r="V109" s="15" t="b">
        <v>1</v>
      </c>
      <c r="W109" s="86">
        <v>45748</v>
      </c>
      <c r="Y109" s="14">
        <v>40777</v>
      </c>
    </row>
    <row r="110" spans="1:25" hidden="1" x14ac:dyDescent="0.25">
      <c r="A110" s="158" t="str">
        <f>PSPOINTS[[#This Row],[PayScaleCode]]&amp;PSPOINTS[[#This Row],[RateDateFrom]]</f>
        <v>NJC_EW45748</v>
      </c>
      <c r="B110" s="57">
        <f t="shared" si="1"/>
        <v>0</v>
      </c>
      <c r="C110" s="57" t="str">
        <f>PSPOINTS[[#This Row],[PayScaleCode]]&amp;PSPOINTS[[#This Row],[PayScalePointCode]]&amp;PSPOINTS[[#This Row],[RateDateFrom]]</f>
        <v>NJC_EW3145748</v>
      </c>
      <c r="D110" s="57">
        <f>COUNTIF(PSPOINTS[Pay Scale String Duplicates],PSPOINTS[[#This Row],[Pay Scale String Duplicates]])-1</f>
        <v>0</v>
      </c>
      <c r="E110" s="57">
        <f>IF((MONTH(_xlfn.XLOOKUP(PSPOINTS[[#This Row],[PayScaleCode]],'19_PayScales'!N:N,'19_PayScales'!R:R)))=MONTH(PSPOINTS[[#This Row],[RateDateFrom]]),0,1)</f>
        <v>0</v>
      </c>
      <c r="F110" s="57">
        <f>IF(ISBLANK(PSPOINTS[[#This Row],[RateDateTo]]),0,IF(PSPOINTS[[#This Row],[RateDateFrom]]&lt;PSPOINTS[[#This Row],[RateDateTo]],0,1))</f>
        <v>0</v>
      </c>
      <c r="G110" s="57" cm="1">
        <f t="array" aca="1" ref="G110" ca="1">IF(CELL("format",PSPOINTS[[#This Row],[RateDateFrom]])="D1",0,1)+IF(CELL("format",PSPOINTS[[#This Row],[RateDateTo]])="D1",0,1)</f>
        <v>0</v>
      </c>
      <c r="H110" s="57">
        <f>IF(OR(PSPOINTS[[#This Row],[Hourly]]=TRUE,PSPOINTS[[#This Row],[Hourly]]=FALSE),IF(OR(PSPOINTS[[#This Row],[PayScalePointEnabled]]=TRUE,PSPOINTS[[#This Row],[PayScalePointEnabled]]=FALSE),0,1),1)</f>
        <v>0</v>
      </c>
      <c r="I110" s="57">
        <f>IF(LEN(PSPOINTS[[#This Row],[PayScalePointCode]])&lt;100,0,1)</f>
        <v>0</v>
      </c>
      <c r="J110" s="57">
        <f>IF(LEN(PSPOINTS[[#This Row],[PayScalePointTitle]])&lt;100,0,1)</f>
        <v>0</v>
      </c>
      <c r="K110" s="57">
        <f>(COUNTBLANK(PSPOINTS[[#This Row],[PayScalePointCode]:[RateDateFrom]])+COUNTBLANK(PSPOINTS[[#This Row],[PayScaleRate]]))</f>
        <v>0</v>
      </c>
      <c r="L110" s="120">
        <f>IF(SUBSTITUTE(TEXT(PSPOINTS[[#This Row],[PayScaleCode]],10)," ","")=TEXT(PSPOINTS[[#This Row],[PayScaleCode]],10),0,1)+IF(SUBSTITUTE(TEXT(PSPOINTS[[#This Row],[PayScalePointCode]],10)," ","")=TEXT(PSPOINTS[[#This Row],[PayScalePointCode]],10),0,1)</f>
        <v>0</v>
      </c>
      <c r="M110" s="57">
        <f ca="1">SUM(PSPOINTS[[#This Row],[Scale Point Issue]:[Space in Code]])</f>
        <v>0</v>
      </c>
      <c r="N110" s="57" t="s">
        <v>1137</v>
      </c>
      <c r="P110" s="12" t="s">
        <v>1390</v>
      </c>
      <c r="Q110" s="57" t="str">
        <f>_xlfn.XLOOKUP(PSPOINTS[[#This Row],[PayScaleCode]],'19_PayScales'!N:N,'19_PayScales'!O:O)</f>
        <v>NJC EW</v>
      </c>
      <c r="R110" s="12">
        <v>31</v>
      </c>
      <c r="S110" s="12">
        <v>31</v>
      </c>
      <c r="T110" s="12">
        <v>31</v>
      </c>
      <c r="U110" s="12" t="b">
        <v>0</v>
      </c>
      <c r="V110" s="15" t="b">
        <v>1</v>
      </c>
      <c r="W110" s="86">
        <v>45748</v>
      </c>
      <c r="Y110" s="14">
        <v>41771</v>
      </c>
    </row>
    <row r="111" spans="1:25" hidden="1" x14ac:dyDescent="0.25">
      <c r="A111" s="158" t="str">
        <f>PSPOINTS[[#This Row],[PayScaleCode]]&amp;PSPOINTS[[#This Row],[RateDateFrom]]</f>
        <v>NJC_EW45748</v>
      </c>
      <c r="B111" s="57">
        <f t="shared" si="1"/>
        <v>0</v>
      </c>
      <c r="C111" s="57" t="str">
        <f>PSPOINTS[[#This Row],[PayScaleCode]]&amp;PSPOINTS[[#This Row],[PayScalePointCode]]&amp;PSPOINTS[[#This Row],[RateDateFrom]]</f>
        <v>NJC_EW3245748</v>
      </c>
      <c r="D111" s="57">
        <f>COUNTIF(PSPOINTS[Pay Scale String Duplicates],PSPOINTS[[#This Row],[Pay Scale String Duplicates]])-1</f>
        <v>0</v>
      </c>
      <c r="E111" s="57">
        <f>IF((MONTH(_xlfn.XLOOKUP(PSPOINTS[[#This Row],[PayScaleCode]],'19_PayScales'!N:N,'19_PayScales'!R:R)))=MONTH(PSPOINTS[[#This Row],[RateDateFrom]]),0,1)</f>
        <v>0</v>
      </c>
      <c r="F111" s="57">
        <f>IF(ISBLANK(PSPOINTS[[#This Row],[RateDateTo]]),0,IF(PSPOINTS[[#This Row],[RateDateFrom]]&lt;PSPOINTS[[#This Row],[RateDateTo]],0,1))</f>
        <v>0</v>
      </c>
      <c r="G111" s="57" cm="1">
        <f t="array" aca="1" ref="G111" ca="1">IF(CELL("format",PSPOINTS[[#This Row],[RateDateFrom]])="D1",0,1)+IF(CELL("format",PSPOINTS[[#This Row],[RateDateTo]])="D1",0,1)</f>
        <v>0</v>
      </c>
      <c r="H111" s="57">
        <f>IF(OR(PSPOINTS[[#This Row],[Hourly]]=TRUE,PSPOINTS[[#This Row],[Hourly]]=FALSE),IF(OR(PSPOINTS[[#This Row],[PayScalePointEnabled]]=TRUE,PSPOINTS[[#This Row],[PayScalePointEnabled]]=FALSE),0,1),1)</f>
        <v>0</v>
      </c>
      <c r="I111" s="57">
        <f>IF(LEN(PSPOINTS[[#This Row],[PayScalePointCode]])&lt;100,0,1)</f>
        <v>0</v>
      </c>
      <c r="J111" s="57">
        <f>IF(LEN(PSPOINTS[[#This Row],[PayScalePointTitle]])&lt;100,0,1)</f>
        <v>0</v>
      </c>
      <c r="K111" s="57">
        <f>(COUNTBLANK(PSPOINTS[[#This Row],[PayScalePointCode]:[RateDateFrom]])+COUNTBLANK(PSPOINTS[[#This Row],[PayScaleRate]]))</f>
        <v>0</v>
      </c>
      <c r="L111" s="120">
        <f>IF(SUBSTITUTE(TEXT(PSPOINTS[[#This Row],[PayScaleCode]],10)," ","")=TEXT(PSPOINTS[[#This Row],[PayScaleCode]],10),0,1)+IF(SUBSTITUTE(TEXT(PSPOINTS[[#This Row],[PayScalePointCode]],10)," ","")=TEXT(PSPOINTS[[#This Row],[PayScalePointCode]],10),0,1)</f>
        <v>0</v>
      </c>
      <c r="M111" s="57">
        <f ca="1">SUM(PSPOINTS[[#This Row],[Scale Point Issue]:[Space in Code]])</f>
        <v>0</v>
      </c>
      <c r="N111" s="57" t="s">
        <v>1137</v>
      </c>
      <c r="P111" s="12" t="s">
        <v>1390</v>
      </c>
      <c r="Q111" s="57" t="str">
        <f>_xlfn.XLOOKUP(PSPOINTS[[#This Row],[PayScaleCode]],'19_PayScales'!N:N,'19_PayScales'!O:O)</f>
        <v>NJC EW</v>
      </c>
      <c r="R111" s="12">
        <v>32</v>
      </c>
      <c r="S111" s="12">
        <v>32</v>
      </c>
      <c r="T111" s="12">
        <v>32</v>
      </c>
      <c r="U111" s="12" t="b">
        <v>0</v>
      </c>
      <c r="V111" s="15" t="b">
        <v>1</v>
      </c>
      <c r="W111" s="86">
        <v>45748</v>
      </c>
      <c r="Y111" s="14">
        <v>42839</v>
      </c>
    </row>
    <row r="112" spans="1:25" hidden="1" x14ac:dyDescent="0.25">
      <c r="A112" s="158" t="str">
        <f>PSPOINTS[[#This Row],[PayScaleCode]]&amp;PSPOINTS[[#This Row],[RateDateFrom]]</f>
        <v>NJC_EW45748</v>
      </c>
      <c r="B112" s="57">
        <f t="shared" si="1"/>
        <v>0</v>
      </c>
      <c r="C112" s="57" t="str">
        <f>PSPOINTS[[#This Row],[PayScaleCode]]&amp;PSPOINTS[[#This Row],[PayScalePointCode]]&amp;PSPOINTS[[#This Row],[RateDateFrom]]</f>
        <v>NJC_EW3345748</v>
      </c>
      <c r="D112" s="57">
        <f>COUNTIF(PSPOINTS[Pay Scale String Duplicates],PSPOINTS[[#This Row],[Pay Scale String Duplicates]])-1</f>
        <v>0</v>
      </c>
      <c r="E112" s="57">
        <f>IF((MONTH(_xlfn.XLOOKUP(PSPOINTS[[#This Row],[PayScaleCode]],'19_PayScales'!N:N,'19_PayScales'!R:R)))=MONTH(PSPOINTS[[#This Row],[RateDateFrom]]),0,1)</f>
        <v>0</v>
      </c>
      <c r="F112" s="57">
        <f>IF(ISBLANK(PSPOINTS[[#This Row],[RateDateTo]]),0,IF(PSPOINTS[[#This Row],[RateDateFrom]]&lt;PSPOINTS[[#This Row],[RateDateTo]],0,1))</f>
        <v>0</v>
      </c>
      <c r="G112" s="57" cm="1">
        <f t="array" aca="1" ref="G112" ca="1">IF(CELL("format",PSPOINTS[[#This Row],[RateDateFrom]])="D1",0,1)+IF(CELL("format",PSPOINTS[[#This Row],[RateDateTo]])="D1",0,1)</f>
        <v>0</v>
      </c>
      <c r="H112" s="57">
        <f>IF(OR(PSPOINTS[[#This Row],[Hourly]]=TRUE,PSPOINTS[[#This Row],[Hourly]]=FALSE),IF(OR(PSPOINTS[[#This Row],[PayScalePointEnabled]]=TRUE,PSPOINTS[[#This Row],[PayScalePointEnabled]]=FALSE),0,1),1)</f>
        <v>0</v>
      </c>
      <c r="I112" s="57">
        <f>IF(LEN(PSPOINTS[[#This Row],[PayScalePointCode]])&lt;100,0,1)</f>
        <v>0</v>
      </c>
      <c r="J112" s="57">
        <f>IF(LEN(PSPOINTS[[#This Row],[PayScalePointTitle]])&lt;100,0,1)</f>
        <v>0</v>
      </c>
      <c r="K112" s="57">
        <f>(COUNTBLANK(PSPOINTS[[#This Row],[PayScalePointCode]:[RateDateFrom]])+COUNTBLANK(PSPOINTS[[#This Row],[PayScaleRate]]))</f>
        <v>0</v>
      </c>
      <c r="L112" s="120">
        <f>IF(SUBSTITUTE(TEXT(PSPOINTS[[#This Row],[PayScaleCode]],10)," ","")=TEXT(PSPOINTS[[#This Row],[PayScaleCode]],10),0,1)+IF(SUBSTITUTE(TEXT(PSPOINTS[[#This Row],[PayScalePointCode]],10)," ","")=TEXT(PSPOINTS[[#This Row],[PayScalePointCode]],10),0,1)</f>
        <v>0</v>
      </c>
      <c r="M112" s="57">
        <f ca="1">SUM(PSPOINTS[[#This Row],[Scale Point Issue]:[Space in Code]])</f>
        <v>0</v>
      </c>
      <c r="N112" s="57" t="s">
        <v>1137</v>
      </c>
      <c r="P112" s="12" t="s">
        <v>1390</v>
      </c>
      <c r="Q112" s="57" t="str">
        <f>_xlfn.XLOOKUP(PSPOINTS[[#This Row],[PayScaleCode]],'19_PayScales'!N:N,'19_PayScales'!O:O)</f>
        <v>NJC EW</v>
      </c>
      <c r="R112" s="12">
        <v>33</v>
      </c>
      <c r="S112" s="12">
        <v>33</v>
      </c>
      <c r="T112" s="12">
        <v>33</v>
      </c>
      <c r="U112" s="12" t="b">
        <v>0</v>
      </c>
      <c r="V112" s="15" t="b">
        <v>1</v>
      </c>
      <c r="W112" s="86">
        <v>45748</v>
      </c>
      <c r="Y112" s="14">
        <v>44075</v>
      </c>
    </row>
    <row r="113" spans="1:27" hidden="1" x14ac:dyDescent="0.25">
      <c r="A113" s="158" t="str">
        <f>PSPOINTS[[#This Row],[PayScaleCode]]&amp;PSPOINTS[[#This Row],[RateDateFrom]]</f>
        <v>NJC_EW45748</v>
      </c>
      <c r="B113" s="57">
        <f t="shared" si="1"/>
        <v>0</v>
      </c>
      <c r="C113" s="57" t="str">
        <f>PSPOINTS[[#This Row],[PayScaleCode]]&amp;PSPOINTS[[#This Row],[PayScalePointCode]]&amp;PSPOINTS[[#This Row],[RateDateFrom]]</f>
        <v>NJC_EW3445748</v>
      </c>
      <c r="D113" s="57">
        <f>COUNTIF(PSPOINTS[Pay Scale String Duplicates],PSPOINTS[[#This Row],[Pay Scale String Duplicates]])-1</f>
        <v>0</v>
      </c>
      <c r="E113" s="57">
        <f>IF((MONTH(_xlfn.XLOOKUP(PSPOINTS[[#This Row],[PayScaleCode]],'19_PayScales'!N:N,'19_PayScales'!R:R)))=MONTH(PSPOINTS[[#This Row],[RateDateFrom]]),0,1)</f>
        <v>0</v>
      </c>
      <c r="F113" s="57">
        <f>IF(ISBLANK(PSPOINTS[[#This Row],[RateDateTo]]),0,IF(PSPOINTS[[#This Row],[RateDateFrom]]&lt;PSPOINTS[[#This Row],[RateDateTo]],0,1))</f>
        <v>0</v>
      </c>
      <c r="G113" s="57" cm="1">
        <f t="array" aca="1" ref="G113" ca="1">IF(CELL("format",PSPOINTS[[#This Row],[RateDateFrom]])="D1",0,1)+IF(CELL("format",PSPOINTS[[#This Row],[RateDateTo]])="D1",0,1)</f>
        <v>0</v>
      </c>
      <c r="H113" s="57">
        <f>IF(OR(PSPOINTS[[#This Row],[Hourly]]=TRUE,PSPOINTS[[#This Row],[Hourly]]=FALSE),IF(OR(PSPOINTS[[#This Row],[PayScalePointEnabled]]=TRUE,PSPOINTS[[#This Row],[PayScalePointEnabled]]=FALSE),0,1),1)</f>
        <v>0</v>
      </c>
      <c r="I113" s="57">
        <f>IF(LEN(PSPOINTS[[#This Row],[PayScalePointCode]])&lt;100,0,1)</f>
        <v>0</v>
      </c>
      <c r="J113" s="57">
        <f>IF(LEN(PSPOINTS[[#This Row],[PayScalePointTitle]])&lt;100,0,1)</f>
        <v>0</v>
      </c>
      <c r="K113" s="57">
        <f>(COUNTBLANK(PSPOINTS[[#This Row],[PayScalePointCode]:[RateDateFrom]])+COUNTBLANK(PSPOINTS[[#This Row],[PayScaleRate]]))</f>
        <v>0</v>
      </c>
      <c r="L113" s="120">
        <f>IF(SUBSTITUTE(TEXT(PSPOINTS[[#This Row],[PayScaleCode]],10)," ","")=TEXT(PSPOINTS[[#This Row],[PayScaleCode]],10),0,1)+IF(SUBSTITUTE(TEXT(PSPOINTS[[#This Row],[PayScalePointCode]],10)," ","")=TEXT(PSPOINTS[[#This Row],[PayScalePointCode]],10),0,1)</f>
        <v>0</v>
      </c>
      <c r="M113" s="57">
        <f ca="1">SUM(PSPOINTS[[#This Row],[Scale Point Issue]:[Space in Code]])</f>
        <v>0</v>
      </c>
      <c r="N113" s="57" t="s">
        <v>1137</v>
      </c>
      <c r="P113" s="12" t="s">
        <v>1390</v>
      </c>
      <c r="Q113" s="57" t="str">
        <f>_xlfn.XLOOKUP(PSPOINTS[[#This Row],[PayScaleCode]],'19_PayScales'!N:N,'19_PayScales'!O:O)</f>
        <v>NJC EW</v>
      </c>
      <c r="R113" s="12">
        <v>34</v>
      </c>
      <c r="S113" s="12">
        <v>34</v>
      </c>
      <c r="T113" s="12">
        <v>34</v>
      </c>
      <c r="U113" s="12" t="b">
        <v>0</v>
      </c>
      <c r="V113" s="15" t="b">
        <v>1</v>
      </c>
      <c r="W113" s="86">
        <v>45748</v>
      </c>
      <c r="Y113" s="14">
        <v>45091</v>
      </c>
    </row>
    <row r="114" spans="1:27" hidden="1" x14ac:dyDescent="0.25">
      <c r="A114" s="158" t="str">
        <f>PSPOINTS[[#This Row],[PayScaleCode]]&amp;PSPOINTS[[#This Row],[RateDateFrom]]</f>
        <v>NJC_EW45748</v>
      </c>
      <c r="B114" s="57">
        <f t="shared" si="1"/>
        <v>0</v>
      </c>
      <c r="C114" s="57" t="str">
        <f>PSPOINTS[[#This Row],[PayScaleCode]]&amp;PSPOINTS[[#This Row],[PayScalePointCode]]&amp;PSPOINTS[[#This Row],[RateDateFrom]]</f>
        <v>NJC_EW3545748</v>
      </c>
      <c r="D114" s="57">
        <f>COUNTIF(PSPOINTS[Pay Scale String Duplicates],PSPOINTS[[#This Row],[Pay Scale String Duplicates]])-1</f>
        <v>0</v>
      </c>
      <c r="E114" s="57">
        <f>IF((MONTH(_xlfn.XLOOKUP(PSPOINTS[[#This Row],[PayScaleCode]],'19_PayScales'!N:N,'19_PayScales'!R:R)))=MONTH(PSPOINTS[[#This Row],[RateDateFrom]]),0,1)</f>
        <v>0</v>
      </c>
      <c r="F114" s="57">
        <f>IF(ISBLANK(PSPOINTS[[#This Row],[RateDateTo]]),0,IF(PSPOINTS[[#This Row],[RateDateFrom]]&lt;PSPOINTS[[#This Row],[RateDateTo]],0,1))</f>
        <v>0</v>
      </c>
      <c r="G114" s="57" cm="1">
        <f t="array" aca="1" ref="G114" ca="1">IF(CELL("format",PSPOINTS[[#This Row],[RateDateFrom]])="D1",0,1)+IF(CELL("format",PSPOINTS[[#This Row],[RateDateTo]])="D1",0,1)</f>
        <v>0</v>
      </c>
      <c r="H114" s="57">
        <f>IF(OR(PSPOINTS[[#This Row],[Hourly]]=TRUE,PSPOINTS[[#This Row],[Hourly]]=FALSE),IF(OR(PSPOINTS[[#This Row],[PayScalePointEnabled]]=TRUE,PSPOINTS[[#This Row],[PayScalePointEnabled]]=FALSE),0,1),1)</f>
        <v>0</v>
      </c>
      <c r="I114" s="57">
        <f>IF(LEN(PSPOINTS[[#This Row],[PayScalePointCode]])&lt;100,0,1)</f>
        <v>0</v>
      </c>
      <c r="J114" s="57">
        <f>IF(LEN(PSPOINTS[[#This Row],[PayScalePointTitle]])&lt;100,0,1)</f>
        <v>0</v>
      </c>
      <c r="K114" s="57">
        <f>(COUNTBLANK(PSPOINTS[[#This Row],[PayScalePointCode]:[RateDateFrom]])+COUNTBLANK(PSPOINTS[[#This Row],[PayScaleRate]]))</f>
        <v>0</v>
      </c>
      <c r="L114" s="120">
        <f>IF(SUBSTITUTE(TEXT(PSPOINTS[[#This Row],[PayScaleCode]],10)," ","")=TEXT(PSPOINTS[[#This Row],[PayScaleCode]],10),0,1)+IF(SUBSTITUTE(TEXT(PSPOINTS[[#This Row],[PayScalePointCode]],10)," ","")=TEXT(PSPOINTS[[#This Row],[PayScalePointCode]],10),0,1)</f>
        <v>0</v>
      </c>
      <c r="M114" s="57">
        <f ca="1">SUM(PSPOINTS[[#This Row],[Scale Point Issue]:[Space in Code]])</f>
        <v>0</v>
      </c>
      <c r="N114" s="57" t="s">
        <v>1137</v>
      </c>
      <c r="P114" s="12" t="s">
        <v>1390</v>
      </c>
      <c r="Q114" s="57" t="str">
        <f>_xlfn.XLOOKUP(PSPOINTS[[#This Row],[PayScaleCode]],'19_PayScales'!N:N,'19_PayScales'!O:O)</f>
        <v>NJC EW</v>
      </c>
      <c r="R114" s="12">
        <v>35</v>
      </c>
      <c r="S114" s="12">
        <v>35</v>
      </c>
      <c r="T114" s="12">
        <v>35</v>
      </c>
      <c r="U114" s="12" t="b">
        <v>0</v>
      </c>
      <c r="V114" s="15" t="b">
        <v>1</v>
      </c>
      <c r="W114" s="86">
        <v>45748</v>
      </c>
      <c r="Y114" s="14">
        <v>46142</v>
      </c>
    </row>
    <row r="115" spans="1:27" hidden="1" x14ac:dyDescent="0.25">
      <c r="A115" s="158" t="str">
        <f>PSPOINTS[[#This Row],[PayScaleCode]]&amp;PSPOINTS[[#This Row],[RateDateFrom]]</f>
        <v>NJC_EW45748</v>
      </c>
      <c r="B115" s="57">
        <f t="shared" si="1"/>
        <v>0</v>
      </c>
      <c r="C115" s="57" t="str">
        <f>PSPOINTS[[#This Row],[PayScaleCode]]&amp;PSPOINTS[[#This Row],[PayScalePointCode]]&amp;PSPOINTS[[#This Row],[RateDateFrom]]</f>
        <v>NJC_EW3645748</v>
      </c>
      <c r="D115" s="57">
        <f>COUNTIF(PSPOINTS[Pay Scale String Duplicates],PSPOINTS[[#This Row],[Pay Scale String Duplicates]])-1</f>
        <v>0</v>
      </c>
      <c r="E115" s="57">
        <f>IF((MONTH(_xlfn.XLOOKUP(PSPOINTS[[#This Row],[PayScaleCode]],'19_PayScales'!N:N,'19_PayScales'!R:R)))=MONTH(PSPOINTS[[#This Row],[RateDateFrom]]),0,1)</f>
        <v>0</v>
      </c>
      <c r="F115" s="57">
        <f>IF(ISBLANK(PSPOINTS[[#This Row],[RateDateTo]]),0,IF(PSPOINTS[[#This Row],[RateDateFrom]]&lt;PSPOINTS[[#This Row],[RateDateTo]],0,1))</f>
        <v>0</v>
      </c>
      <c r="G115" s="57" cm="1">
        <f t="array" aca="1" ref="G115" ca="1">IF(CELL("format",PSPOINTS[[#This Row],[RateDateFrom]])="D1",0,1)+IF(CELL("format",PSPOINTS[[#This Row],[RateDateTo]])="D1",0,1)</f>
        <v>0</v>
      </c>
      <c r="H115" s="57">
        <f>IF(OR(PSPOINTS[[#This Row],[Hourly]]=TRUE,PSPOINTS[[#This Row],[Hourly]]=FALSE),IF(OR(PSPOINTS[[#This Row],[PayScalePointEnabled]]=TRUE,PSPOINTS[[#This Row],[PayScalePointEnabled]]=FALSE),0,1),1)</f>
        <v>0</v>
      </c>
      <c r="I115" s="57">
        <f>IF(LEN(PSPOINTS[[#This Row],[PayScalePointCode]])&lt;100,0,1)</f>
        <v>0</v>
      </c>
      <c r="J115" s="57">
        <f>IF(LEN(PSPOINTS[[#This Row],[PayScalePointTitle]])&lt;100,0,1)</f>
        <v>0</v>
      </c>
      <c r="K115" s="57">
        <f>(COUNTBLANK(PSPOINTS[[#This Row],[PayScalePointCode]:[RateDateFrom]])+COUNTBLANK(PSPOINTS[[#This Row],[PayScaleRate]]))</f>
        <v>0</v>
      </c>
      <c r="L115" s="120">
        <f>IF(SUBSTITUTE(TEXT(PSPOINTS[[#This Row],[PayScaleCode]],10)," ","")=TEXT(PSPOINTS[[#This Row],[PayScaleCode]],10),0,1)+IF(SUBSTITUTE(TEXT(PSPOINTS[[#This Row],[PayScalePointCode]],10)," ","")=TEXT(PSPOINTS[[#This Row],[PayScalePointCode]],10),0,1)</f>
        <v>0</v>
      </c>
      <c r="M115" s="57">
        <f ca="1">SUM(PSPOINTS[[#This Row],[Scale Point Issue]:[Space in Code]])</f>
        <v>0</v>
      </c>
      <c r="N115" s="57" t="s">
        <v>1137</v>
      </c>
      <c r="P115" s="12" t="s">
        <v>1390</v>
      </c>
      <c r="Q115" s="57" t="str">
        <f>_xlfn.XLOOKUP(PSPOINTS[[#This Row],[PayScaleCode]],'19_PayScales'!N:N,'19_PayScales'!O:O)</f>
        <v>NJC EW</v>
      </c>
      <c r="R115" s="12">
        <v>36</v>
      </c>
      <c r="S115" s="12">
        <v>36</v>
      </c>
      <c r="T115" s="12">
        <v>36</v>
      </c>
      <c r="U115" s="12" t="b">
        <v>0</v>
      </c>
      <c r="V115" s="15" t="b">
        <v>1</v>
      </c>
      <c r="W115" s="86">
        <v>45748</v>
      </c>
      <c r="Y115" s="14">
        <v>47181</v>
      </c>
    </row>
    <row r="116" spans="1:27" hidden="1" x14ac:dyDescent="0.25">
      <c r="A116" s="158" t="str">
        <f>PSPOINTS[[#This Row],[PayScaleCode]]&amp;PSPOINTS[[#This Row],[RateDateFrom]]</f>
        <v>NJC_EW45748</v>
      </c>
      <c r="B116" s="57">
        <f t="shared" si="1"/>
        <v>0</v>
      </c>
      <c r="C116" s="57" t="str">
        <f>PSPOINTS[[#This Row],[PayScaleCode]]&amp;PSPOINTS[[#This Row],[PayScalePointCode]]&amp;PSPOINTS[[#This Row],[RateDateFrom]]</f>
        <v>NJC_EW3745748</v>
      </c>
      <c r="D116" s="57">
        <f>COUNTIF(PSPOINTS[Pay Scale String Duplicates],PSPOINTS[[#This Row],[Pay Scale String Duplicates]])-1</f>
        <v>0</v>
      </c>
      <c r="E116" s="57">
        <f>IF((MONTH(_xlfn.XLOOKUP(PSPOINTS[[#This Row],[PayScaleCode]],'19_PayScales'!N:N,'19_PayScales'!R:R)))=MONTH(PSPOINTS[[#This Row],[RateDateFrom]]),0,1)</f>
        <v>0</v>
      </c>
      <c r="F116" s="57">
        <f>IF(ISBLANK(PSPOINTS[[#This Row],[RateDateTo]]),0,IF(PSPOINTS[[#This Row],[RateDateFrom]]&lt;PSPOINTS[[#This Row],[RateDateTo]],0,1))</f>
        <v>0</v>
      </c>
      <c r="G116" s="57" cm="1">
        <f t="array" aca="1" ref="G116" ca="1">IF(CELL("format",PSPOINTS[[#This Row],[RateDateFrom]])="D1",0,1)+IF(CELL("format",PSPOINTS[[#This Row],[RateDateTo]])="D1",0,1)</f>
        <v>0</v>
      </c>
      <c r="H116" s="57">
        <f>IF(OR(PSPOINTS[[#This Row],[Hourly]]=TRUE,PSPOINTS[[#This Row],[Hourly]]=FALSE),IF(OR(PSPOINTS[[#This Row],[PayScalePointEnabled]]=TRUE,PSPOINTS[[#This Row],[PayScalePointEnabled]]=FALSE),0,1),1)</f>
        <v>0</v>
      </c>
      <c r="I116" s="57">
        <f>IF(LEN(PSPOINTS[[#This Row],[PayScalePointCode]])&lt;100,0,1)</f>
        <v>0</v>
      </c>
      <c r="J116" s="57">
        <f>IF(LEN(PSPOINTS[[#This Row],[PayScalePointTitle]])&lt;100,0,1)</f>
        <v>0</v>
      </c>
      <c r="K116" s="57">
        <f>(COUNTBLANK(PSPOINTS[[#This Row],[PayScalePointCode]:[RateDateFrom]])+COUNTBLANK(PSPOINTS[[#This Row],[PayScaleRate]]))</f>
        <v>0</v>
      </c>
      <c r="L116" s="120">
        <f>IF(SUBSTITUTE(TEXT(PSPOINTS[[#This Row],[PayScaleCode]],10)," ","")=TEXT(PSPOINTS[[#This Row],[PayScaleCode]],10),0,1)+IF(SUBSTITUTE(TEXT(PSPOINTS[[#This Row],[PayScalePointCode]],10)," ","")=TEXT(PSPOINTS[[#This Row],[PayScalePointCode]],10),0,1)</f>
        <v>0</v>
      </c>
      <c r="M116" s="57">
        <f ca="1">SUM(PSPOINTS[[#This Row],[Scale Point Issue]:[Space in Code]])</f>
        <v>0</v>
      </c>
      <c r="N116" s="57" t="s">
        <v>1137</v>
      </c>
      <c r="P116" s="12" t="s">
        <v>1390</v>
      </c>
      <c r="Q116" s="57" t="str">
        <f>_xlfn.XLOOKUP(PSPOINTS[[#This Row],[PayScaleCode]],'19_PayScales'!N:N,'19_PayScales'!O:O)</f>
        <v>NJC EW</v>
      </c>
      <c r="R116" s="12">
        <v>37</v>
      </c>
      <c r="S116" s="12">
        <v>37</v>
      </c>
      <c r="T116" s="12">
        <v>37</v>
      </c>
      <c r="U116" s="12" t="b">
        <v>0</v>
      </c>
      <c r="V116" s="15" t="b">
        <v>1</v>
      </c>
      <c r="W116" s="86">
        <v>45748</v>
      </c>
      <c r="Y116" s="14">
        <v>48226</v>
      </c>
    </row>
    <row r="117" spans="1:27" hidden="1" x14ac:dyDescent="0.25">
      <c r="A117" s="158" t="str">
        <f>PSPOINTS[[#This Row],[PayScaleCode]]&amp;PSPOINTS[[#This Row],[RateDateFrom]]</f>
        <v>NJC_EW45748</v>
      </c>
      <c r="B117" s="57">
        <f t="shared" si="1"/>
        <v>0</v>
      </c>
      <c r="C117" s="57" t="str">
        <f>PSPOINTS[[#This Row],[PayScaleCode]]&amp;PSPOINTS[[#This Row],[PayScalePointCode]]&amp;PSPOINTS[[#This Row],[RateDateFrom]]</f>
        <v>NJC_EW3845748</v>
      </c>
      <c r="D117" s="57">
        <f>COUNTIF(PSPOINTS[Pay Scale String Duplicates],PSPOINTS[[#This Row],[Pay Scale String Duplicates]])-1</f>
        <v>0</v>
      </c>
      <c r="E117" s="57">
        <f>IF((MONTH(_xlfn.XLOOKUP(PSPOINTS[[#This Row],[PayScaleCode]],'19_PayScales'!N:N,'19_PayScales'!R:R)))=MONTH(PSPOINTS[[#This Row],[RateDateFrom]]),0,1)</f>
        <v>0</v>
      </c>
      <c r="F117" s="57">
        <f>IF(ISBLANK(PSPOINTS[[#This Row],[RateDateTo]]),0,IF(PSPOINTS[[#This Row],[RateDateFrom]]&lt;PSPOINTS[[#This Row],[RateDateTo]],0,1))</f>
        <v>0</v>
      </c>
      <c r="G117" s="57" cm="1">
        <f t="array" aca="1" ref="G117" ca="1">IF(CELL("format",PSPOINTS[[#This Row],[RateDateFrom]])="D1",0,1)+IF(CELL("format",PSPOINTS[[#This Row],[RateDateTo]])="D1",0,1)</f>
        <v>0</v>
      </c>
      <c r="H117" s="57">
        <f>IF(OR(PSPOINTS[[#This Row],[Hourly]]=TRUE,PSPOINTS[[#This Row],[Hourly]]=FALSE),IF(OR(PSPOINTS[[#This Row],[PayScalePointEnabled]]=TRUE,PSPOINTS[[#This Row],[PayScalePointEnabled]]=FALSE),0,1),1)</f>
        <v>0</v>
      </c>
      <c r="I117" s="57">
        <f>IF(LEN(PSPOINTS[[#This Row],[PayScalePointCode]])&lt;100,0,1)</f>
        <v>0</v>
      </c>
      <c r="J117" s="57">
        <f>IF(LEN(PSPOINTS[[#This Row],[PayScalePointTitle]])&lt;100,0,1)</f>
        <v>0</v>
      </c>
      <c r="K117" s="57">
        <f>(COUNTBLANK(PSPOINTS[[#This Row],[PayScalePointCode]:[RateDateFrom]])+COUNTBLANK(PSPOINTS[[#This Row],[PayScaleRate]]))</f>
        <v>0</v>
      </c>
      <c r="L117" s="120">
        <f>IF(SUBSTITUTE(TEXT(PSPOINTS[[#This Row],[PayScaleCode]],10)," ","")=TEXT(PSPOINTS[[#This Row],[PayScaleCode]],10),0,1)+IF(SUBSTITUTE(TEXT(PSPOINTS[[#This Row],[PayScalePointCode]],10)," ","")=TEXT(PSPOINTS[[#This Row],[PayScalePointCode]],10),0,1)</f>
        <v>0</v>
      </c>
      <c r="M117" s="57">
        <f ca="1">SUM(PSPOINTS[[#This Row],[Scale Point Issue]:[Space in Code]])</f>
        <v>0</v>
      </c>
      <c r="N117" s="57" t="s">
        <v>1137</v>
      </c>
      <c r="P117" s="12" t="s">
        <v>1390</v>
      </c>
      <c r="Q117" s="57" t="str">
        <f>_xlfn.XLOOKUP(PSPOINTS[[#This Row],[PayScaleCode]],'19_PayScales'!N:N,'19_PayScales'!O:O)</f>
        <v>NJC EW</v>
      </c>
      <c r="R117" s="12">
        <v>38</v>
      </c>
      <c r="S117" s="12">
        <v>38</v>
      </c>
      <c r="T117" s="12">
        <v>38</v>
      </c>
      <c r="U117" s="12" t="b">
        <v>0</v>
      </c>
      <c r="V117" s="15" t="b">
        <v>1</v>
      </c>
      <c r="W117" s="86">
        <v>45748</v>
      </c>
      <c r="Y117" s="14">
        <v>49282</v>
      </c>
    </row>
    <row r="118" spans="1:27" hidden="1" x14ac:dyDescent="0.25">
      <c r="A118" s="158" t="str">
        <f>PSPOINTS[[#This Row],[PayScaleCode]]&amp;PSPOINTS[[#This Row],[RateDateFrom]]</f>
        <v>NJC_EW45748</v>
      </c>
      <c r="B118" s="57">
        <f t="shared" si="1"/>
        <v>0</v>
      </c>
      <c r="C118" s="57" t="str">
        <f>PSPOINTS[[#This Row],[PayScaleCode]]&amp;PSPOINTS[[#This Row],[PayScalePointCode]]&amp;PSPOINTS[[#This Row],[RateDateFrom]]</f>
        <v>NJC_EW3945748</v>
      </c>
      <c r="D118" s="57">
        <f>COUNTIF(PSPOINTS[Pay Scale String Duplicates],PSPOINTS[[#This Row],[Pay Scale String Duplicates]])-1</f>
        <v>0</v>
      </c>
      <c r="E118" s="57">
        <f>IF((MONTH(_xlfn.XLOOKUP(PSPOINTS[[#This Row],[PayScaleCode]],'19_PayScales'!N:N,'19_PayScales'!R:R)))=MONTH(PSPOINTS[[#This Row],[RateDateFrom]]),0,1)</f>
        <v>0</v>
      </c>
      <c r="F118" s="57">
        <f>IF(ISBLANK(PSPOINTS[[#This Row],[RateDateTo]]),0,IF(PSPOINTS[[#This Row],[RateDateFrom]]&lt;PSPOINTS[[#This Row],[RateDateTo]],0,1))</f>
        <v>0</v>
      </c>
      <c r="G118" s="57" cm="1">
        <f t="array" aca="1" ref="G118" ca="1">IF(CELL("format",PSPOINTS[[#This Row],[RateDateFrom]])="D1",0,1)+IF(CELL("format",PSPOINTS[[#This Row],[RateDateTo]])="D1",0,1)</f>
        <v>0</v>
      </c>
      <c r="H118" s="57">
        <f>IF(OR(PSPOINTS[[#This Row],[Hourly]]=TRUE,PSPOINTS[[#This Row],[Hourly]]=FALSE),IF(OR(PSPOINTS[[#This Row],[PayScalePointEnabled]]=TRUE,PSPOINTS[[#This Row],[PayScalePointEnabled]]=FALSE),0,1),1)</f>
        <v>0</v>
      </c>
      <c r="I118" s="57">
        <f>IF(LEN(PSPOINTS[[#This Row],[PayScalePointCode]])&lt;100,0,1)</f>
        <v>0</v>
      </c>
      <c r="J118" s="57">
        <f>IF(LEN(PSPOINTS[[#This Row],[PayScalePointTitle]])&lt;100,0,1)</f>
        <v>0</v>
      </c>
      <c r="K118" s="57">
        <f>(COUNTBLANK(PSPOINTS[[#This Row],[PayScalePointCode]:[RateDateFrom]])+COUNTBLANK(PSPOINTS[[#This Row],[PayScaleRate]]))</f>
        <v>0</v>
      </c>
      <c r="L118" s="120">
        <f>IF(SUBSTITUTE(TEXT(PSPOINTS[[#This Row],[PayScaleCode]],10)," ","")=TEXT(PSPOINTS[[#This Row],[PayScaleCode]],10),0,1)+IF(SUBSTITUTE(TEXT(PSPOINTS[[#This Row],[PayScalePointCode]],10)," ","")=TEXT(PSPOINTS[[#This Row],[PayScalePointCode]],10),0,1)</f>
        <v>0</v>
      </c>
      <c r="M118" s="57">
        <f ca="1">SUM(PSPOINTS[[#This Row],[Scale Point Issue]:[Space in Code]])</f>
        <v>0</v>
      </c>
      <c r="N118" s="57" t="s">
        <v>1137</v>
      </c>
      <c r="P118" s="12" t="s">
        <v>1390</v>
      </c>
      <c r="Q118" s="57" t="str">
        <f>_xlfn.XLOOKUP(PSPOINTS[[#This Row],[PayScaleCode]],'19_PayScales'!N:N,'19_PayScales'!O:O)</f>
        <v>NJC EW</v>
      </c>
      <c r="R118" s="12">
        <v>39</v>
      </c>
      <c r="S118" s="12">
        <v>39</v>
      </c>
      <c r="T118" s="12">
        <v>39</v>
      </c>
      <c r="U118" s="12" t="b">
        <v>0</v>
      </c>
      <c r="V118" s="15" t="b">
        <v>1</v>
      </c>
      <c r="W118" s="86">
        <v>45748</v>
      </c>
      <c r="Y118" s="14">
        <v>50269</v>
      </c>
    </row>
    <row r="119" spans="1:27" hidden="1" x14ac:dyDescent="0.25">
      <c r="A119" s="158" t="str">
        <f>PSPOINTS[[#This Row],[PayScaleCode]]&amp;PSPOINTS[[#This Row],[RateDateFrom]]</f>
        <v>NJC_EW45748</v>
      </c>
      <c r="B119" s="57">
        <f t="shared" si="1"/>
        <v>0</v>
      </c>
      <c r="C119" s="57" t="str">
        <f>PSPOINTS[[#This Row],[PayScaleCode]]&amp;PSPOINTS[[#This Row],[PayScalePointCode]]&amp;PSPOINTS[[#This Row],[RateDateFrom]]</f>
        <v>NJC_EW4045748</v>
      </c>
      <c r="D119" s="57">
        <f>COUNTIF(PSPOINTS[Pay Scale String Duplicates],PSPOINTS[[#This Row],[Pay Scale String Duplicates]])-1</f>
        <v>0</v>
      </c>
      <c r="E119" s="57">
        <f>IF((MONTH(_xlfn.XLOOKUP(PSPOINTS[[#This Row],[PayScaleCode]],'19_PayScales'!N:N,'19_PayScales'!R:R)))=MONTH(PSPOINTS[[#This Row],[RateDateFrom]]),0,1)</f>
        <v>0</v>
      </c>
      <c r="F119" s="57">
        <f>IF(ISBLANK(PSPOINTS[[#This Row],[RateDateTo]]),0,IF(PSPOINTS[[#This Row],[RateDateFrom]]&lt;PSPOINTS[[#This Row],[RateDateTo]],0,1))</f>
        <v>0</v>
      </c>
      <c r="G119" s="57" cm="1">
        <f t="array" aca="1" ref="G119" ca="1">IF(CELL("format",PSPOINTS[[#This Row],[RateDateFrom]])="D1",0,1)+IF(CELL("format",PSPOINTS[[#This Row],[RateDateTo]])="D1",0,1)</f>
        <v>0</v>
      </c>
      <c r="H119" s="57">
        <f>IF(OR(PSPOINTS[[#This Row],[Hourly]]=TRUE,PSPOINTS[[#This Row],[Hourly]]=FALSE),IF(OR(PSPOINTS[[#This Row],[PayScalePointEnabled]]=TRUE,PSPOINTS[[#This Row],[PayScalePointEnabled]]=FALSE),0,1),1)</f>
        <v>0</v>
      </c>
      <c r="I119" s="57">
        <f>IF(LEN(PSPOINTS[[#This Row],[PayScalePointCode]])&lt;100,0,1)</f>
        <v>0</v>
      </c>
      <c r="J119" s="57">
        <f>IF(LEN(PSPOINTS[[#This Row],[PayScalePointTitle]])&lt;100,0,1)</f>
        <v>0</v>
      </c>
      <c r="K119" s="57">
        <f>(COUNTBLANK(PSPOINTS[[#This Row],[PayScalePointCode]:[RateDateFrom]])+COUNTBLANK(PSPOINTS[[#This Row],[PayScaleRate]]))</f>
        <v>0</v>
      </c>
      <c r="L119" s="120">
        <f>IF(SUBSTITUTE(TEXT(PSPOINTS[[#This Row],[PayScaleCode]],10)," ","")=TEXT(PSPOINTS[[#This Row],[PayScaleCode]],10),0,1)+IF(SUBSTITUTE(TEXT(PSPOINTS[[#This Row],[PayScalePointCode]],10)," ","")=TEXT(PSPOINTS[[#This Row],[PayScalePointCode]],10),0,1)</f>
        <v>0</v>
      </c>
      <c r="M119" s="57">
        <f ca="1">SUM(PSPOINTS[[#This Row],[Scale Point Issue]:[Space in Code]])</f>
        <v>0</v>
      </c>
      <c r="N119" s="57" t="s">
        <v>1137</v>
      </c>
      <c r="P119" s="12" t="s">
        <v>1390</v>
      </c>
      <c r="Q119" s="57" t="str">
        <f>_xlfn.XLOOKUP(PSPOINTS[[#This Row],[PayScaleCode]],'19_PayScales'!N:N,'19_PayScales'!O:O)</f>
        <v>NJC EW</v>
      </c>
      <c r="R119" s="12">
        <v>40</v>
      </c>
      <c r="S119" s="12">
        <v>40</v>
      </c>
      <c r="T119" s="12">
        <v>40</v>
      </c>
      <c r="U119" s="12" t="b">
        <v>0</v>
      </c>
      <c r="V119" s="15" t="b">
        <v>1</v>
      </c>
      <c r="W119" s="86">
        <v>45748</v>
      </c>
      <c r="Y119" s="14">
        <v>51356</v>
      </c>
    </row>
    <row r="120" spans="1:27" hidden="1" x14ac:dyDescent="0.25">
      <c r="A120" s="158" t="str">
        <f>PSPOINTS[[#This Row],[PayScaleCode]]&amp;PSPOINTS[[#This Row],[RateDateFrom]]</f>
        <v>NJC_EW45748</v>
      </c>
      <c r="B120" s="57">
        <f t="shared" si="1"/>
        <v>0</v>
      </c>
      <c r="C120" s="57" t="str">
        <f>PSPOINTS[[#This Row],[PayScaleCode]]&amp;PSPOINTS[[#This Row],[PayScalePointCode]]&amp;PSPOINTS[[#This Row],[RateDateFrom]]</f>
        <v>NJC_EW4145748</v>
      </c>
      <c r="D120" s="57">
        <f>COUNTIF(PSPOINTS[Pay Scale String Duplicates],PSPOINTS[[#This Row],[Pay Scale String Duplicates]])-1</f>
        <v>0</v>
      </c>
      <c r="E120" s="57">
        <f>IF((MONTH(_xlfn.XLOOKUP(PSPOINTS[[#This Row],[PayScaleCode]],'19_PayScales'!N:N,'19_PayScales'!R:R)))=MONTH(PSPOINTS[[#This Row],[RateDateFrom]]),0,1)</f>
        <v>0</v>
      </c>
      <c r="F120" s="57">
        <f>IF(ISBLANK(PSPOINTS[[#This Row],[RateDateTo]]),0,IF(PSPOINTS[[#This Row],[RateDateFrom]]&lt;PSPOINTS[[#This Row],[RateDateTo]],0,1))</f>
        <v>0</v>
      </c>
      <c r="G120" s="57" cm="1">
        <f t="array" aca="1" ref="G120" ca="1">IF(CELL("format",PSPOINTS[[#This Row],[RateDateFrom]])="D1",0,1)+IF(CELL("format",PSPOINTS[[#This Row],[RateDateTo]])="D1",0,1)</f>
        <v>0</v>
      </c>
      <c r="H120" s="57">
        <f>IF(OR(PSPOINTS[[#This Row],[Hourly]]=TRUE,PSPOINTS[[#This Row],[Hourly]]=FALSE),IF(OR(PSPOINTS[[#This Row],[PayScalePointEnabled]]=TRUE,PSPOINTS[[#This Row],[PayScalePointEnabled]]=FALSE),0,1),1)</f>
        <v>0</v>
      </c>
      <c r="I120" s="57">
        <f>IF(LEN(PSPOINTS[[#This Row],[PayScalePointCode]])&lt;100,0,1)</f>
        <v>0</v>
      </c>
      <c r="J120" s="57">
        <f>IF(LEN(PSPOINTS[[#This Row],[PayScalePointTitle]])&lt;100,0,1)</f>
        <v>0</v>
      </c>
      <c r="K120" s="57">
        <f>(COUNTBLANK(PSPOINTS[[#This Row],[PayScalePointCode]:[RateDateFrom]])+COUNTBLANK(PSPOINTS[[#This Row],[PayScaleRate]]))</f>
        <v>0</v>
      </c>
      <c r="L120" s="120">
        <f>IF(SUBSTITUTE(TEXT(PSPOINTS[[#This Row],[PayScaleCode]],10)," ","")=TEXT(PSPOINTS[[#This Row],[PayScaleCode]],10),0,1)+IF(SUBSTITUTE(TEXT(PSPOINTS[[#This Row],[PayScalePointCode]],10)," ","")=TEXT(PSPOINTS[[#This Row],[PayScalePointCode]],10),0,1)</f>
        <v>0</v>
      </c>
      <c r="M120" s="57">
        <f ca="1">SUM(PSPOINTS[[#This Row],[Scale Point Issue]:[Space in Code]])</f>
        <v>0</v>
      </c>
      <c r="N120" s="57" t="s">
        <v>1137</v>
      </c>
      <c r="P120" s="12" t="s">
        <v>1390</v>
      </c>
      <c r="Q120" s="57" t="str">
        <f>_xlfn.XLOOKUP(PSPOINTS[[#This Row],[PayScaleCode]],'19_PayScales'!N:N,'19_PayScales'!O:O)</f>
        <v>NJC EW</v>
      </c>
      <c r="R120" s="12">
        <v>41</v>
      </c>
      <c r="S120" s="12">
        <v>41</v>
      </c>
      <c r="T120" s="12">
        <v>41</v>
      </c>
      <c r="U120" s="12" t="b">
        <v>0</v>
      </c>
      <c r="V120" s="15" t="b">
        <v>1</v>
      </c>
      <c r="W120" s="86">
        <v>45748</v>
      </c>
      <c r="Y120" s="14">
        <v>52413</v>
      </c>
    </row>
    <row r="121" spans="1:27" hidden="1" x14ac:dyDescent="0.25">
      <c r="A121" s="158" t="str">
        <f>PSPOINTS[[#This Row],[PayScaleCode]]&amp;PSPOINTS[[#This Row],[RateDateFrom]]</f>
        <v>NJC_EW45748</v>
      </c>
      <c r="B121" s="57">
        <f t="shared" si="1"/>
        <v>0</v>
      </c>
      <c r="C121" s="57" t="str">
        <f>PSPOINTS[[#This Row],[PayScaleCode]]&amp;PSPOINTS[[#This Row],[PayScalePointCode]]&amp;PSPOINTS[[#This Row],[RateDateFrom]]</f>
        <v>NJC_EW4245748</v>
      </c>
      <c r="D121" s="57">
        <f>COUNTIF(PSPOINTS[Pay Scale String Duplicates],PSPOINTS[[#This Row],[Pay Scale String Duplicates]])-1</f>
        <v>0</v>
      </c>
      <c r="E121" s="57">
        <f>IF((MONTH(_xlfn.XLOOKUP(PSPOINTS[[#This Row],[PayScaleCode]],'19_PayScales'!N:N,'19_PayScales'!R:R)))=MONTH(PSPOINTS[[#This Row],[RateDateFrom]]),0,1)</f>
        <v>0</v>
      </c>
      <c r="F121" s="57">
        <f>IF(ISBLANK(PSPOINTS[[#This Row],[RateDateTo]]),0,IF(PSPOINTS[[#This Row],[RateDateFrom]]&lt;PSPOINTS[[#This Row],[RateDateTo]],0,1))</f>
        <v>0</v>
      </c>
      <c r="G121" s="57" cm="1">
        <f t="array" aca="1" ref="G121" ca="1">IF(CELL("format",PSPOINTS[[#This Row],[RateDateFrom]])="D1",0,1)+IF(CELL("format",PSPOINTS[[#This Row],[RateDateTo]])="D1",0,1)</f>
        <v>0</v>
      </c>
      <c r="H121" s="57">
        <f>IF(OR(PSPOINTS[[#This Row],[Hourly]]=TRUE,PSPOINTS[[#This Row],[Hourly]]=FALSE),IF(OR(PSPOINTS[[#This Row],[PayScalePointEnabled]]=TRUE,PSPOINTS[[#This Row],[PayScalePointEnabled]]=FALSE),0,1),1)</f>
        <v>0</v>
      </c>
      <c r="I121" s="57">
        <f>IF(LEN(PSPOINTS[[#This Row],[PayScalePointCode]])&lt;100,0,1)</f>
        <v>0</v>
      </c>
      <c r="J121" s="57">
        <f>IF(LEN(PSPOINTS[[#This Row],[PayScalePointTitle]])&lt;100,0,1)</f>
        <v>0</v>
      </c>
      <c r="K121" s="57">
        <f>(COUNTBLANK(PSPOINTS[[#This Row],[PayScalePointCode]:[RateDateFrom]])+COUNTBLANK(PSPOINTS[[#This Row],[PayScaleRate]]))</f>
        <v>0</v>
      </c>
      <c r="L121" s="120">
        <f>IF(SUBSTITUTE(TEXT(PSPOINTS[[#This Row],[PayScaleCode]],10)," ","")=TEXT(PSPOINTS[[#This Row],[PayScaleCode]],10),0,1)+IF(SUBSTITUTE(TEXT(PSPOINTS[[#This Row],[PayScalePointCode]],10)," ","")=TEXT(PSPOINTS[[#This Row],[PayScalePointCode]],10),0,1)</f>
        <v>0</v>
      </c>
      <c r="M121" s="57">
        <f ca="1">SUM(PSPOINTS[[#This Row],[Scale Point Issue]:[Space in Code]])</f>
        <v>0</v>
      </c>
      <c r="N121" s="57" t="s">
        <v>1137</v>
      </c>
      <c r="P121" s="12" t="s">
        <v>1390</v>
      </c>
      <c r="Q121" s="57" t="str">
        <f>_xlfn.XLOOKUP(PSPOINTS[[#This Row],[PayScaleCode]],'19_PayScales'!N:N,'19_PayScales'!O:O)</f>
        <v>NJC EW</v>
      </c>
      <c r="R121" s="12">
        <v>42</v>
      </c>
      <c r="S121" s="12">
        <v>42</v>
      </c>
      <c r="T121" s="12">
        <v>42</v>
      </c>
      <c r="U121" s="12" t="b">
        <v>0</v>
      </c>
      <c r="V121" s="15" t="b">
        <v>1</v>
      </c>
      <c r="W121" s="86">
        <v>45748</v>
      </c>
      <c r="Y121" s="14">
        <v>53460</v>
      </c>
    </row>
    <row r="122" spans="1:27" hidden="1" x14ac:dyDescent="0.25">
      <c r="A122" s="158" t="str">
        <f>PSPOINTS[[#This Row],[PayScaleCode]]&amp;PSPOINTS[[#This Row],[RateDateFrom]]</f>
        <v>NJC_EW45748</v>
      </c>
      <c r="B122" s="57">
        <f t="shared" si="1"/>
        <v>0</v>
      </c>
      <c r="C122" s="57" t="str">
        <f>PSPOINTS[[#This Row],[PayScaleCode]]&amp;PSPOINTS[[#This Row],[PayScalePointCode]]&amp;PSPOINTS[[#This Row],[RateDateFrom]]</f>
        <v>NJC_EW4345748</v>
      </c>
      <c r="D122" s="57">
        <f>COUNTIF(PSPOINTS[Pay Scale String Duplicates],PSPOINTS[[#This Row],[Pay Scale String Duplicates]])-1</f>
        <v>0</v>
      </c>
      <c r="E122" s="57">
        <f>IF((MONTH(_xlfn.XLOOKUP(PSPOINTS[[#This Row],[PayScaleCode]],'19_PayScales'!N:N,'19_PayScales'!R:R)))=MONTH(PSPOINTS[[#This Row],[RateDateFrom]]),0,1)</f>
        <v>0</v>
      </c>
      <c r="F122" s="57">
        <f>IF(ISBLANK(PSPOINTS[[#This Row],[RateDateTo]]),0,IF(PSPOINTS[[#This Row],[RateDateFrom]]&lt;PSPOINTS[[#This Row],[RateDateTo]],0,1))</f>
        <v>0</v>
      </c>
      <c r="G122" s="57" cm="1">
        <f t="array" aca="1" ref="G122" ca="1">IF(CELL("format",PSPOINTS[[#This Row],[RateDateFrom]])="D1",0,1)+IF(CELL("format",PSPOINTS[[#This Row],[RateDateTo]])="D1",0,1)</f>
        <v>0</v>
      </c>
      <c r="H122" s="57">
        <f>IF(OR(PSPOINTS[[#This Row],[Hourly]]=TRUE,PSPOINTS[[#This Row],[Hourly]]=FALSE),IF(OR(PSPOINTS[[#This Row],[PayScalePointEnabled]]=TRUE,PSPOINTS[[#This Row],[PayScalePointEnabled]]=FALSE),0,1),1)</f>
        <v>0</v>
      </c>
      <c r="I122" s="57">
        <f>IF(LEN(PSPOINTS[[#This Row],[PayScalePointCode]])&lt;100,0,1)</f>
        <v>0</v>
      </c>
      <c r="J122" s="57">
        <f>IF(LEN(PSPOINTS[[#This Row],[PayScalePointTitle]])&lt;100,0,1)</f>
        <v>0</v>
      </c>
      <c r="K122" s="57">
        <f>(COUNTBLANK(PSPOINTS[[#This Row],[PayScalePointCode]:[RateDateFrom]])+COUNTBLANK(PSPOINTS[[#This Row],[PayScaleRate]]))</f>
        <v>0</v>
      </c>
      <c r="L122" s="120">
        <f>IF(SUBSTITUTE(TEXT(PSPOINTS[[#This Row],[PayScaleCode]],10)," ","")=TEXT(PSPOINTS[[#This Row],[PayScaleCode]],10),0,1)+IF(SUBSTITUTE(TEXT(PSPOINTS[[#This Row],[PayScalePointCode]],10)," ","")=TEXT(PSPOINTS[[#This Row],[PayScalePointCode]],10),0,1)</f>
        <v>0</v>
      </c>
      <c r="M122" s="57">
        <f ca="1">SUM(PSPOINTS[[#This Row],[Scale Point Issue]:[Space in Code]])</f>
        <v>0</v>
      </c>
      <c r="N122" s="57" t="s">
        <v>1137</v>
      </c>
      <c r="P122" s="12" t="s">
        <v>1390</v>
      </c>
      <c r="Q122" s="57" t="str">
        <f>_xlfn.XLOOKUP(PSPOINTS[[#This Row],[PayScaleCode]],'19_PayScales'!N:N,'19_PayScales'!O:O)</f>
        <v>NJC EW</v>
      </c>
      <c r="R122" s="12">
        <v>43</v>
      </c>
      <c r="S122" s="12">
        <v>43</v>
      </c>
      <c r="T122" s="12">
        <v>43</v>
      </c>
      <c r="U122" s="12" t="b">
        <v>0</v>
      </c>
      <c r="V122" s="15" t="b">
        <v>1</v>
      </c>
      <c r="W122" s="86">
        <v>45748</v>
      </c>
      <c r="Y122" s="14">
        <v>54495</v>
      </c>
    </row>
    <row r="123" spans="1:27" hidden="1" x14ac:dyDescent="0.25">
      <c r="A123" s="158" t="str">
        <f>PSPOINTS[[#This Row],[PayScaleCode]]&amp;PSPOINTS[[#This Row],[RateDateFrom]]</f>
        <v>APP_NMW45748</v>
      </c>
      <c r="B123" s="57">
        <f t="shared" si="1"/>
        <v>0</v>
      </c>
      <c r="C123" s="57" t="str">
        <f>PSPOINTS[[#This Row],[PayScaleCode]]&amp;PSPOINTS[[#This Row],[PayScalePointCode]]&amp;PSPOINTS[[#This Row],[RateDateFrom]]</f>
        <v>APP_NMWY145748</v>
      </c>
      <c r="D123" s="57">
        <f>COUNTIF(PSPOINTS[Pay Scale String Duplicates],PSPOINTS[[#This Row],[Pay Scale String Duplicates]])-1</f>
        <v>0</v>
      </c>
      <c r="E123" s="57">
        <f>IF((MONTH(_xlfn.XLOOKUP(PSPOINTS[[#This Row],[PayScaleCode]],'19_PayScales'!N:N,'19_PayScales'!R:R)))=MONTH(PSPOINTS[[#This Row],[RateDateFrom]]),0,1)</f>
        <v>0</v>
      </c>
      <c r="F123" s="57">
        <f>IF(ISBLANK(PSPOINTS[[#This Row],[RateDateTo]]),0,IF(PSPOINTS[[#This Row],[RateDateFrom]]&lt;PSPOINTS[[#This Row],[RateDateTo]],0,1))</f>
        <v>0</v>
      </c>
      <c r="G123" s="57" cm="1">
        <f t="array" aca="1" ref="G123" ca="1">IF(CELL("format",PSPOINTS[[#This Row],[RateDateFrom]])="D1",0,1)+IF(CELL("format",PSPOINTS[[#This Row],[RateDateTo]])="D1",0,1)</f>
        <v>0</v>
      </c>
      <c r="H123" s="57">
        <f>IF(OR(PSPOINTS[[#This Row],[Hourly]]=TRUE,PSPOINTS[[#This Row],[Hourly]]=FALSE),IF(OR(PSPOINTS[[#This Row],[PayScalePointEnabled]]=TRUE,PSPOINTS[[#This Row],[PayScalePointEnabled]]=FALSE),0,1),1)</f>
        <v>0</v>
      </c>
      <c r="I123" s="57">
        <f>IF(LEN(PSPOINTS[[#This Row],[PayScalePointCode]])&lt;100,0,1)</f>
        <v>0</v>
      </c>
      <c r="J123" s="57">
        <f>IF(LEN(PSPOINTS[[#This Row],[PayScalePointTitle]])&lt;100,0,1)</f>
        <v>0</v>
      </c>
      <c r="K123" s="57">
        <f>(COUNTBLANK(PSPOINTS[[#This Row],[PayScalePointCode]:[RateDateFrom]])+COUNTBLANK(PSPOINTS[[#This Row],[PayScaleRate]]))</f>
        <v>0</v>
      </c>
      <c r="L123" s="120">
        <f>IF(SUBSTITUTE(TEXT(PSPOINTS[[#This Row],[PayScaleCode]],10)," ","")=TEXT(PSPOINTS[[#This Row],[PayScaleCode]],10),0,1)+IF(SUBSTITUTE(TEXT(PSPOINTS[[#This Row],[PayScalePointCode]],10)," ","")=TEXT(PSPOINTS[[#This Row],[PayScalePointCode]],10),0,1)</f>
        <v>0</v>
      </c>
      <c r="M123" s="57">
        <f ca="1">SUM(PSPOINTS[[#This Row],[Scale Point Issue]:[Space in Code]])</f>
        <v>0</v>
      </c>
      <c r="N123" s="57" t="s">
        <v>1137</v>
      </c>
      <c r="P123" s="12" t="s">
        <v>1423</v>
      </c>
      <c r="Q123" s="57" t="str">
        <f>_xlfn.XLOOKUP(PSPOINTS[[#This Row],[PayScaleCode]],'19_PayScales'!N:N,'19_PayScales'!O:O)</f>
        <v>Apprentice / NMW Scale</v>
      </c>
      <c r="R123" s="12" t="s">
        <v>1463</v>
      </c>
      <c r="S123" s="12" t="s">
        <v>1463</v>
      </c>
      <c r="T123" s="12">
        <v>1</v>
      </c>
      <c r="U123" s="12" t="b">
        <v>0</v>
      </c>
      <c r="V123" s="15" t="b">
        <v>1</v>
      </c>
      <c r="W123" s="86">
        <v>45748</v>
      </c>
      <c r="X123" s="175">
        <v>46112</v>
      </c>
      <c r="Y123" s="14">
        <v>14566</v>
      </c>
      <c r="AA123" s="26" t="s">
        <v>1585</v>
      </c>
    </row>
    <row r="124" spans="1:27" hidden="1" x14ac:dyDescent="0.25">
      <c r="A124" s="158" t="str">
        <f>PSPOINTS[[#This Row],[PayScaleCode]]&amp;PSPOINTS[[#This Row],[RateDateFrom]]</f>
        <v>APP_NMW45748</v>
      </c>
      <c r="B124" s="57">
        <f t="shared" si="1"/>
        <v>0</v>
      </c>
      <c r="C124" s="57" t="str">
        <f>PSPOINTS[[#This Row],[PayScaleCode]]&amp;PSPOINTS[[#This Row],[PayScalePointCode]]&amp;PSPOINTS[[#This Row],[RateDateFrom]]</f>
        <v>APP_NMW&lt;1845748</v>
      </c>
      <c r="D124" s="57">
        <f>COUNTIF(PSPOINTS[Pay Scale String Duplicates],PSPOINTS[[#This Row],[Pay Scale String Duplicates]])-1</f>
        <v>0</v>
      </c>
      <c r="E124" s="57">
        <f>IF((MONTH(_xlfn.XLOOKUP(PSPOINTS[[#This Row],[PayScaleCode]],'19_PayScales'!N:N,'19_PayScales'!R:R)))=MONTH(PSPOINTS[[#This Row],[RateDateFrom]]),0,1)</f>
        <v>0</v>
      </c>
      <c r="F124" s="57">
        <f>IF(ISBLANK(PSPOINTS[[#This Row],[RateDateTo]]),0,IF(PSPOINTS[[#This Row],[RateDateFrom]]&lt;PSPOINTS[[#This Row],[RateDateTo]],0,1))</f>
        <v>0</v>
      </c>
      <c r="G124" s="57" cm="1">
        <f t="array" aca="1" ref="G124" ca="1">IF(CELL("format",PSPOINTS[[#This Row],[RateDateFrom]])="D1",0,1)+IF(CELL("format",PSPOINTS[[#This Row],[RateDateTo]])="D1",0,1)</f>
        <v>0</v>
      </c>
      <c r="H124" s="57">
        <f>IF(OR(PSPOINTS[[#This Row],[Hourly]]=TRUE,PSPOINTS[[#This Row],[Hourly]]=FALSE),IF(OR(PSPOINTS[[#This Row],[PayScalePointEnabled]]=TRUE,PSPOINTS[[#This Row],[PayScalePointEnabled]]=FALSE),0,1),1)</f>
        <v>0</v>
      </c>
      <c r="I124" s="57">
        <f>IF(LEN(PSPOINTS[[#This Row],[PayScalePointCode]])&lt;100,0,1)</f>
        <v>0</v>
      </c>
      <c r="J124" s="57">
        <f>IF(LEN(PSPOINTS[[#This Row],[PayScalePointTitle]])&lt;100,0,1)</f>
        <v>0</v>
      </c>
      <c r="K124" s="57">
        <f>(COUNTBLANK(PSPOINTS[[#This Row],[PayScalePointCode]:[RateDateFrom]])+COUNTBLANK(PSPOINTS[[#This Row],[PayScaleRate]]))</f>
        <v>0</v>
      </c>
      <c r="L124" s="120">
        <f>IF(SUBSTITUTE(TEXT(PSPOINTS[[#This Row],[PayScaleCode]],10)," ","")=TEXT(PSPOINTS[[#This Row],[PayScaleCode]],10),0,1)+IF(SUBSTITUTE(TEXT(PSPOINTS[[#This Row],[PayScalePointCode]],10)," ","")=TEXT(PSPOINTS[[#This Row],[PayScalePointCode]],10),0,1)</f>
        <v>0</v>
      </c>
      <c r="M124" s="57">
        <f ca="1">SUM(PSPOINTS[[#This Row],[Scale Point Issue]:[Space in Code]])</f>
        <v>0</v>
      </c>
      <c r="N124" s="57" t="s">
        <v>1137</v>
      </c>
      <c r="P124" s="12" t="s">
        <v>1423</v>
      </c>
      <c r="Q124" s="57" t="str">
        <f>_xlfn.XLOOKUP(PSPOINTS[[#This Row],[PayScaleCode]],'19_PayScales'!N:N,'19_PayScales'!O:O)</f>
        <v>Apprentice / NMW Scale</v>
      </c>
      <c r="R124" s="12" t="s">
        <v>1466</v>
      </c>
      <c r="S124" s="12" t="s">
        <v>1466</v>
      </c>
      <c r="T124" s="12">
        <v>2</v>
      </c>
      <c r="U124" s="12" t="b">
        <v>0</v>
      </c>
      <c r="V124" s="15" t="b">
        <v>1</v>
      </c>
      <c r="W124" s="86">
        <v>45748</v>
      </c>
      <c r="X124" s="175">
        <v>46112</v>
      </c>
      <c r="Y124" s="14">
        <v>14566</v>
      </c>
      <c r="AA124" s="26" t="s">
        <v>1585</v>
      </c>
    </row>
    <row r="125" spans="1:27" hidden="1" x14ac:dyDescent="0.25">
      <c r="A125" s="158" t="str">
        <f>PSPOINTS[[#This Row],[PayScaleCode]]&amp;PSPOINTS[[#This Row],[RateDateFrom]]</f>
        <v>APP_NMW45748</v>
      </c>
      <c r="B125" s="57">
        <f t="shared" si="1"/>
        <v>0</v>
      </c>
      <c r="C125" s="57" t="str">
        <f>PSPOINTS[[#This Row],[PayScaleCode]]&amp;PSPOINTS[[#This Row],[PayScalePointCode]]&amp;PSPOINTS[[#This Row],[RateDateFrom]]</f>
        <v>APP_NMW18-2045748</v>
      </c>
      <c r="D125" s="57">
        <f>COUNTIF(PSPOINTS[Pay Scale String Duplicates],PSPOINTS[[#This Row],[Pay Scale String Duplicates]])-1</f>
        <v>0</v>
      </c>
      <c r="E125" s="57">
        <f>IF((MONTH(_xlfn.XLOOKUP(PSPOINTS[[#This Row],[PayScaleCode]],'19_PayScales'!N:N,'19_PayScales'!R:R)))=MONTH(PSPOINTS[[#This Row],[RateDateFrom]]),0,1)</f>
        <v>0</v>
      </c>
      <c r="F125" s="57">
        <f>IF(ISBLANK(PSPOINTS[[#This Row],[RateDateTo]]),0,IF(PSPOINTS[[#This Row],[RateDateFrom]]&lt;PSPOINTS[[#This Row],[RateDateTo]],0,1))</f>
        <v>0</v>
      </c>
      <c r="G125" s="57" cm="1">
        <f t="array" aca="1" ref="G125" ca="1">IF(CELL("format",PSPOINTS[[#This Row],[RateDateFrom]])="D1",0,1)+IF(CELL("format",PSPOINTS[[#This Row],[RateDateTo]])="D1",0,1)</f>
        <v>0</v>
      </c>
      <c r="H125" s="57">
        <f>IF(OR(PSPOINTS[[#This Row],[Hourly]]=TRUE,PSPOINTS[[#This Row],[Hourly]]=FALSE),IF(OR(PSPOINTS[[#This Row],[PayScalePointEnabled]]=TRUE,PSPOINTS[[#This Row],[PayScalePointEnabled]]=FALSE),0,1),1)</f>
        <v>0</v>
      </c>
      <c r="I125" s="57">
        <f>IF(LEN(PSPOINTS[[#This Row],[PayScalePointCode]])&lt;100,0,1)</f>
        <v>0</v>
      </c>
      <c r="J125" s="57">
        <f>IF(LEN(PSPOINTS[[#This Row],[PayScalePointTitle]])&lt;100,0,1)</f>
        <v>0</v>
      </c>
      <c r="K125" s="57">
        <f>(COUNTBLANK(PSPOINTS[[#This Row],[PayScalePointCode]:[RateDateFrom]])+COUNTBLANK(PSPOINTS[[#This Row],[PayScaleRate]]))</f>
        <v>0</v>
      </c>
      <c r="L125" s="120">
        <f>IF(SUBSTITUTE(TEXT(PSPOINTS[[#This Row],[PayScaleCode]],10)," ","")=TEXT(PSPOINTS[[#This Row],[PayScaleCode]],10),0,1)+IF(SUBSTITUTE(TEXT(PSPOINTS[[#This Row],[PayScalePointCode]],10)," ","")=TEXT(PSPOINTS[[#This Row],[PayScalePointCode]],10),0,1)</f>
        <v>0</v>
      </c>
      <c r="M125" s="57">
        <f ca="1">SUM(PSPOINTS[[#This Row],[Scale Point Issue]:[Space in Code]])</f>
        <v>0</v>
      </c>
      <c r="N125" s="57" t="s">
        <v>1137</v>
      </c>
      <c r="P125" s="12" t="s">
        <v>1423</v>
      </c>
      <c r="Q125" s="57" t="str">
        <f>_xlfn.XLOOKUP(PSPOINTS[[#This Row],[PayScaleCode]],'19_PayScales'!N:N,'19_PayScales'!O:O)</f>
        <v>Apprentice / NMW Scale</v>
      </c>
      <c r="R125" s="12" t="s">
        <v>1469</v>
      </c>
      <c r="S125" s="12" t="s">
        <v>1469</v>
      </c>
      <c r="T125" s="12">
        <v>3</v>
      </c>
      <c r="U125" s="12" t="b">
        <v>0</v>
      </c>
      <c r="V125" s="15" t="b">
        <v>1</v>
      </c>
      <c r="W125" s="86">
        <v>45748</v>
      </c>
      <c r="X125" s="175">
        <v>46112</v>
      </c>
      <c r="Y125" s="14">
        <v>19293</v>
      </c>
      <c r="AA125" s="26" t="s">
        <v>1586</v>
      </c>
    </row>
    <row r="126" spans="1:27" hidden="1" x14ac:dyDescent="0.25">
      <c r="A126" s="158" t="str">
        <f>PSPOINTS[[#This Row],[PayScaleCode]]&amp;PSPOINTS[[#This Row],[RateDateFrom]]</f>
        <v>APP_NMW45748</v>
      </c>
      <c r="B126" s="57">
        <f t="shared" si="1"/>
        <v>0</v>
      </c>
      <c r="C126" s="57" t="str">
        <f>PSPOINTS[[#This Row],[PayScaleCode]]&amp;PSPOINTS[[#This Row],[PayScalePointCode]]&amp;PSPOINTS[[#This Row],[RateDateFrom]]</f>
        <v>APP_NMW&gt;2145748</v>
      </c>
      <c r="D126" s="57">
        <f>COUNTIF(PSPOINTS[Pay Scale String Duplicates],PSPOINTS[[#This Row],[Pay Scale String Duplicates]])-1</f>
        <v>0</v>
      </c>
      <c r="E126" s="57">
        <f>IF((MONTH(_xlfn.XLOOKUP(PSPOINTS[[#This Row],[PayScaleCode]],'19_PayScales'!N:N,'19_PayScales'!R:R)))=MONTH(PSPOINTS[[#This Row],[RateDateFrom]]),0,1)</f>
        <v>0</v>
      </c>
      <c r="F126" s="57">
        <f>IF(ISBLANK(PSPOINTS[[#This Row],[RateDateTo]]),0,IF(PSPOINTS[[#This Row],[RateDateFrom]]&lt;PSPOINTS[[#This Row],[RateDateTo]],0,1))</f>
        <v>0</v>
      </c>
      <c r="G126" s="57" cm="1">
        <f t="array" aca="1" ref="G126" ca="1">IF(CELL("format",PSPOINTS[[#This Row],[RateDateFrom]])="D1",0,1)+IF(CELL("format",PSPOINTS[[#This Row],[RateDateTo]])="D1",0,1)</f>
        <v>0</v>
      </c>
      <c r="H126" s="57">
        <f>IF(OR(PSPOINTS[[#This Row],[Hourly]]=TRUE,PSPOINTS[[#This Row],[Hourly]]=FALSE),IF(OR(PSPOINTS[[#This Row],[PayScalePointEnabled]]=TRUE,PSPOINTS[[#This Row],[PayScalePointEnabled]]=FALSE),0,1),1)</f>
        <v>0</v>
      </c>
      <c r="I126" s="57">
        <f>IF(LEN(PSPOINTS[[#This Row],[PayScalePointCode]])&lt;100,0,1)</f>
        <v>0</v>
      </c>
      <c r="J126" s="57">
        <f>IF(LEN(PSPOINTS[[#This Row],[PayScalePointTitle]])&lt;100,0,1)</f>
        <v>0</v>
      </c>
      <c r="K126" s="57">
        <f>(COUNTBLANK(PSPOINTS[[#This Row],[PayScalePointCode]:[RateDateFrom]])+COUNTBLANK(PSPOINTS[[#This Row],[PayScaleRate]]))</f>
        <v>0</v>
      </c>
      <c r="L126" s="120">
        <f>IF(SUBSTITUTE(TEXT(PSPOINTS[[#This Row],[PayScaleCode]],10)," ","")=TEXT(PSPOINTS[[#This Row],[PayScaleCode]],10),0,1)+IF(SUBSTITUTE(TEXT(PSPOINTS[[#This Row],[PayScalePointCode]],10)," ","")=TEXT(PSPOINTS[[#This Row],[PayScalePointCode]],10),0,1)</f>
        <v>0</v>
      </c>
      <c r="M126" s="57">
        <f ca="1">SUM(PSPOINTS[[#This Row],[Scale Point Issue]:[Space in Code]])</f>
        <v>0</v>
      </c>
      <c r="N126" s="57" t="s">
        <v>1137</v>
      </c>
      <c r="P126" s="12" t="s">
        <v>1423</v>
      </c>
      <c r="Q126" s="57" t="str">
        <f>_xlfn.XLOOKUP(PSPOINTS[[#This Row],[PayScaleCode]],'19_PayScales'!N:N,'19_PayScales'!O:O)</f>
        <v>Apprentice / NMW Scale</v>
      </c>
      <c r="R126" s="12" t="s">
        <v>1472</v>
      </c>
      <c r="S126" s="12" t="s">
        <v>1472</v>
      </c>
      <c r="T126" s="12">
        <v>4</v>
      </c>
      <c r="U126" s="12" t="b">
        <v>0</v>
      </c>
      <c r="V126" s="15" t="b">
        <v>1</v>
      </c>
      <c r="W126" s="86">
        <v>45748</v>
      </c>
      <c r="X126" s="175">
        <v>46112</v>
      </c>
      <c r="Y126" s="14">
        <v>23557</v>
      </c>
      <c r="AA126" s="26" t="s">
        <v>1587</v>
      </c>
    </row>
    <row r="127" spans="1:27" hidden="1" x14ac:dyDescent="0.25">
      <c r="A127" s="158" t="str">
        <f>PSPOINTS[[#This Row],[PayScaleCode]]&amp;PSPOINTS[[#This Row],[RateDateFrom]]</f>
        <v>APP_NMW46113</v>
      </c>
      <c r="B127" s="57">
        <f t="shared" si="1"/>
        <v>0</v>
      </c>
      <c r="C127" s="57" t="str">
        <f>PSPOINTS[[#This Row],[PayScaleCode]]&amp;PSPOINTS[[#This Row],[PayScalePointCode]]&amp;PSPOINTS[[#This Row],[RateDateFrom]]</f>
        <v>APP_NMWY146113</v>
      </c>
      <c r="D127" s="57">
        <f>COUNTIF(PSPOINTS[Pay Scale String Duplicates],PSPOINTS[[#This Row],[Pay Scale String Duplicates]])-1</f>
        <v>0</v>
      </c>
      <c r="E127" s="57">
        <f>IF((MONTH(_xlfn.XLOOKUP(PSPOINTS[[#This Row],[PayScaleCode]],'19_PayScales'!N:N,'19_PayScales'!R:R)))=MONTH(PSPOINTS[[#This Row],[RateDateFrom]]),0,1)</f>
        <v>0</v>
      </c>
      <c r="F127" s="57">
        <f>IF(ISBLANK(PSPOINTS[[#This Row],[RateDateTo]]),0,IF(PSPOINTS[[#This Row],[RateDateFrom]]&lt;PSPOINTS[[#This Row],[RateDateTo]],0,1))</f>
        <v>0</v>
      </c>
      <c r="G127" s="57" cm="1">
        <f t="array" aca="1" ref="G127" ca="1">IF(CELL("format",PSPOINTS[[#This Row],[RateDateFrom]])="D1",0,1)+IF(CELL("format",PSPOINTS[[#This Row],[RateDateTo]])="D1",0,1)</f>
        <v>0</v>
      </c>
      <c r="H127" s="57">
        <f>IF(OR(PSPOINTS[[#This Row],[Hourly]]=TRUE,PSPOINTS[[#This Row],[Hourly]]=FALSE),IF(OR(PSPOINTS[[#This Row],[PayScalePointEnabled]]=TRUE,PSPOINTS[[#This Row],[PayScalePointEnabled]]=FALSE),0,1),1)</f>
        <v>0</v>
      </c>
      <c r="I127" s="57">
        <f>IF(LEN(PSPOINTS[[#This Row],[PayScalePointCode]])&lt;100,0,1)</f>
        <v>0</v>
      </c>
      <c r="J127" s="57">
        <f>IF(LEN(PSPOINTS[[#This Row],[PayScalePointTitle]])&lt;100,0,1)</f>
        <v>0</v>
      </c>
      <c r="K127" s="57">
        <f>(COUNTBLANK(PSPOINTS[[#This Row],[PayScalePointCode]:[RateDateFrom]])+COUNTBLANK(PSPOINTS[[#This Row],[PayScaleRate]]))</f>
        <v>0</v>
      </c>
      <c r="L127" s="120">
        <f>IF(SUBSTITUTE(TEXT(PSPOINTS[[#This Row],[PayScaleCode]],10)," ","")=TEXT(PSPOINTS[[#This Row],[PayScaleCode]],10),0,1)+IF(SUBSTITUTE(TEXT(PSPOINTS[[#This Row],[PayScalePointCode]],10)," ","")=TEXT(PSPOINTS[[#This Row],[PayScalePointCode]],10),0,1)</f>
        <v>0</v>
      </c>
      <c r="M127" s="57">
        <f ca="1">SUM(PSPOINTS[[#This Row],[Scale Point Issue]:[Space in Code]])</f>
        <v>0</v>
      </c>
      <c r="N127" s="57" t="s">
        <v>1137</v>
      </c>
      <c r="P127" s="12" t="s">
        <v>1423</v>
      </c>
      <c r="Q127" s="57" t="str">
        <f>_xlfn.XLOOKUP(PSPOINTS[[#This Row],[PayScaleCode]],'19_PayScales'!N:N,'19_PayScales'!O:O)</f>
        <v>Apprentice / NMW Scale</v>
      </c>
      <c r="R127" s="12" t="s">
        <v>1463</v>
      </c>
      <c r="S127" s="12" t="s">
        <v>1463</v>
      </c>
      <c r="T127" s="12">
        <v>1</v>
      </c>
      <c r="U127" s="12" t="b">
        <v>0</v>
      </c>
      <c r="V127" s="15" t="b">
        <v>1</v>
      </c>
      <c r="W127" s="175">
        <v>46113</v>
      </c>
      <c r="Y127" s="14">
        <v>15434</v>
      </c>
      <c r="AA127" s="123" t="s">
        <v>2047</v>
      </c>
    </row>
    <row r="128" spans="1:27" hidden="1" x14ac:dyDescent="0.25">
      <c r="A128" s="158" t="str">
        <f>PSPOINTS[[#This Row],[PayScaleCode]]&amp;PSPOINTS[[#This Row],[RateDateFrom]]</f>
        <v>APP_NMW46113</v>
      </c>
      <c r="B128" s="57">
        <f t="shared" si="1"/>
        <v>0</v>
      </c>
      <c r="C128" s="57" t="str">
        <f>PSPOINTS[[#This Row],[PayScaleCode]]&amp;PSPOINTS[[#This Row],[PayScalePointCode]]&amp;PSPOINTS[[#This Row],[RateDateFrom]]</f>
        <v>APP_NMW&lt;1846113</v>
      </c>
      <c r="D128" s="57">
        <f>COUNTIF(PSPOINTS[Pay Scale String Duplicates],PSPOINTS[[#This Row],[Pay Scale String Duplicates]])-1</f>
        <v>0</v>
      </c>
      <c r="E128" s="57">
        <f>IF((MONTH(_xlfn.XLOOKUP(PSPOINTS[[#This Row],[PayScaleCode]],'19_PayScales'!N:N,'19_PayScales'!R:R)))=MONTH(PSPOINTS[[#This Row],[RateDateFrom]]),0,1)</f>
        <v>0</v>
      </c>
      <c r="F128" s="57">
        <f>IF(ISBLANK(PSPOINTS[[#This Row],[RateDateTo]]),0,IF(PSPOINTS[[#This Row],[RateDateFrom]]&lt;PSPOINTS[[#This Row],[RateDateTo]],0,1))</f>
        <v>0</v>
      </c>
      <c r="G128" s="57" cm="1">
        <f t="array" aca="1" ref="G128" ca="1">IF(CELL("format",PSPOINTS[[#This Row],[RateDateFrom]])="D1",0,1)+IF(CELL("format",PSPOINTS[[#This Row],[RateDateTo]])="D1",0,1)</f>
        <v>0</v>
      </c>
      <c r="H128" s="57">
        <f>IF(OR(PSPOINTS[[#This Row],[Hourly]]=TRUE,PSPOINTS[[#This Row],[Hourly]]=FALSE),IF(OR(PSPOINTS[[#This Row],[PayScalePointEnabled]]=TRUE,PSPOINTS[[#This Row],[PayScalePointEnabled]]=FALSE),0,1),1)</f>
        <v>0</v>
      </c>
      <c r="I128" s="57">
        <f>IF(LEN(PSPOINTS[[#This Row],[PayScalePointCode]])&lt;100,0,1)</f>
        <v>0</v>
      </c>
      <c r="J128" s="57">
        <f>IF(LEN(PSPOINTS[[#This Row],[PayScalePointTitle]])&lt;100,0,1)</f>
        <v>0</v>
      </c>
      <c r="K128" s="57">
        <f>(COUNTBLANK(PSPOINTS[[#This Row],[PayScalePointCode]:[RateDateFrom]])+COUNTBLANK(PSPOINTS[[#This Row],[PayScaleRate]]))</f>
        <v>0</v>
      </c>
      <c r="L128" s="120">
        <f>IF(SUBSTITUTE(TEXT(PSPOINTS[[#This Row],[PayScaleCode]],10)," ","")=TEXT(PSPOINTS[[#This Row],[PayScaleCode]],10),0,1)+IF(SUBSTITUTE(TEXT(PSPOINTS[[#This Row],[PayScalePointCode]],10)," ","")=TEXT(PSPOINTS[[#This Row],[PayScalePointCode]],10),0,1)</f>
        <v>0</v>
      </c>
      <c r="M128" s="57">
        <f ca="1">SUM(PSPOINTS[[#This Row],[Scale Point Issue]:[Space in Code]])</f>
        <v>0</v>
      </c>
      <c r="N128" s="57" t="s">
        <v>1137</v>
      </c>
      <c r="P128" s="12" t="s">
        <v>1423</v>
      </c>
      <c r="Q128" s="57" t="str">
        <f>_xlfn.XLOOKUP(PSPOINTS[[#This Row],[PayScaleCode]],'19_PayScales'!N:N,'19_PayScales'!O:O)</f>
        <v>Apprentice / NMW Scale</v>
      </c>
      <c r="R128" s="12" t="s">
        <v>1466</v>
      </c>
      <c r="S128" s="12" t="s">
        <v>1466</v>
      </c>
      <c r="T128" s="12">
        <v>2</v>
      </c>
      <c r="U128" s="12" t="b">
        <v>0</v>
      </c>
      <c r="V128" s="15" t="b">
        <v>1</v>
      </c>
      <c r="W128" s="175">
        <v>46113</v>
      </c>
      <c r="Y128" s="14">
        <v>15434</v>
      </c>
      <c r="AA128" s="123" t="s">
        <v>2047</v>
      </c>
    </row>
    <row r="129" spans="1:27" hidden="1" x14ac:dyDescent="0.25">
      <c r="A129" s="158" t="str">
        <f>PSPOINTS[[#This Row],[PayScaleCode]]&amp;PSPOINTS[[#This Row],[RateDateFrom]]</f>
        <v>APP_NMW46113</v>
      </c>
      <c r="B129" s="57">
        <f t="shared" si="1"/>
        <v>0</v>
      </c>
      <c r="C129" s="57" t="str">
        <f>PSPOINTS[[#This Row],[PayScaleCode]]&amp;PSPOINTS[[#This Row],[PayScalePointCode]]&amp;PSPOINTS[[#This Row],[RateDateFrom]]</f>
        <v>APP_NMW18-2046113</v>
      </c>
      <c r="D129" s="57">
        <f>COUNTIF(PSPOINTS[Pay Scale String Duplicates],PSPOINTS[[#This Row],[Pay Scale String Duplicates]])-1</f>
        <v>0</v>
      </c>
      <c r="E129" s="57">
        <f>IF((MONTH(_xlfn.XLOOKUP(PSPOINTS[[#This Row],[PayScaleCode]],'19_PayScales'!N:N,'19_PayScales'!R:R)))=MONTH(PSPOINTS[[#This Row],[RateDateFrom]]),0,1)</f>
        <v>0</v>
      </c>
      <c r="F129" s="57">
        <f>IF(ISBLANK(PSPOINTS[[#This Row],[RateDateTo]]),0,IF(PSPOINTS[[#This Row],[RateDateFrom]]&lt;PSPOINTS[[#This Row],[RateDateTo]],0,1))</f>
        <v>0</v>
      </c>
      <c r="G129" s="57" cm="1">
        <f t="array" aca="1" ref="G129" ca="1">IF(CELL("format",PSPOINTS[[#This Row],[RateDateFrom]])="D1",0,1)+IF(CELL("format",PSPOINTS[[#This Row],[RateDateTo]])="D1",0,1)</f>
        <v>0</v>
      </c>
      <c r="H129" s="57">
        <f>IF(OR(PSPOINTS[[#This Row],[Hourly]]=TRUE,PSPOINTS[[#This Row],[Hourly]]=FALSE),IF(OR(PSPOINTS[[#This Row],[PayScalePointEnabled]]=TRUE,PSPOINTS[[#This Row],[PayScalePointEnabled]]=FALSE),0,1),1)</f>
        <v>0</v>
      </c>
      <c r="I129" s="57">
        <f>IF(LEN(PSPOINTS[[#This Row],[PayScalePointCode]])&lt;100,0,1)</f>
        <v>0</v>
      </c>
      <c r="J129" s="57">
        <f>IF(LEN(PSPOINTS[[#This Row],[PayScalePointTitle]])&lt;100,0,1)</f>
        <v>0</v>
      </c>
      <c r="K129" s="57">
        <f>(COUNTBLANK(PSPOINTS[[#This Row],[PayScalePointCode]:[RateDateFrom]])+COUNTBLANK(PSPOINTS[[#This Row],[PayScaleRate]]))</f>
        <v>0</v>
      </c>
      <c r="L129" s="120">
        <f>IF(SUBSTITUTE(TEXT(PSPOINTS[[#This Row],[PayScaleCode]],10)," ","")=TEXT(PSPOINTS[[#This Row],[PayScaleCode]],10),0,1)+IF(SUBSTITUTE(TEXT(PSPOINTS[[#This Row],[PayScalePointCode]],10)," ","")=TEXT(PSPOINTS[[#This Row],[PayScalePointCode]],10),0,1)</f>
        <v>0</v>
      </c>
      <c r="M129" s="57">
        <f ca="1">SUM(PSPOINTS[[#This Row],[Scale Point Issue]:[Space in Code]])</f>
        <v>0</v>
      </c>
      <c r="N129" s="57" t="s">
        <v>1137</v>
      </c>
      <c r="P129" s="12" t="s">
        <v>1423</v>
      </c>
      <c r="Q129" s="57" t="str">
        <f>_xlfn.XLOOKUP(PSPOINTS[[#This Row],[PayScaleCode]],'19_PayScales'!N:N,'19_PayScales'!O:O)</f>
        <v>Apprentice / NMW Scale</v>
      </c>
      <c r="R129" s="12" t="s">
        <v>1469</v>
      </c>
      <c r="S129" s="12" t="s">
        <v>1469</v>
      </c>
      <c r="T129" s="12">
        <v>3</v>
      </c>
      <c r="U129" s="12" t="b">
        <v>0</v>
      </c>
      <c r="V129" s="15" t="b">
        <v>1</v>
      </c>
      <c r="W129" s="175">
        <v>46113</v>
      </c>
      <c r="Y129" s="14">
        <v>20933</v>
      </c>
      <c r="AA129" s="123" t="s">
        <v>2048</v>
      </c>
    </row>
    <row r="130" spans="1:27" hidden="1" x14ac:dyDescent="0.25">
      <c r="A130" s="158" t="str">
        <f>PSPOINTS[[#This Row],[PayScaleCode]]&amp;PSPOINTS[[#This Row],[RateDateFrom]]</f>
        <v>APP_NMW46113</v>
      </c>
      <c r="B130" s="57">
        <f t="shared" si="1"/>
        <v>0</v>
      </c>
      <c r="C130" s="57" t="str">
        <f>PSPOINTS[[#This Row],[PayScaleCode]]&amp;PSPOINTS[[#This Row],[PayScalePointCode]]&amp;PSPOINTS[[#This Row],[RateDateFrom]]</f>
        <v>APP_NMW&gt;2146113</v>
      </c>
      <c r="D130" s="57">
        <f>COUNTIF(PSPOINTS[Pay Scale String Duplicates],PSPOINTS[[#This Row],[Pay Scale String Duplicates]])-1</f>
        <v>0</v>
      </c>
      <c r="E130" s="57">
        <f>IF((MONTH(_xlfn.XLOOKUP(PSPOINTS[[#This Row],[PayScaleCode]],'19_PayScales'!N:N,'19_PayScales'!R:R)))=MONTH(PSPOINTS[[#This Row],[RateDateFrom]]),0,1)</f>
        <v>0</v>
      </c>
      <c r="F130" s="57">
        <f>IF(ISBLANK(PSPOINTS[[#This Row],[RateDateTo]]),0,IF(PSPOINTS[[#This Row],[RateDateFrom]]&lt;PSPOINTS[[#This Row],[RateDateTo]],0,1))</f>
        <v>0</v>
      </c>
      <c r="G130" s="57" cm="1">
        <f t="array" aca="1" ref="G130" ca="1">IF(CELL("format",PSPOINTS[[#This Row],[RateDateFrom]])="D1",0,1)+IF(CELL("format",PSPOINTS[[#This Row],[RateDateTo]])="D1",0,1)</f>
        <v>0</v>
      </c>
      <c r="H130" s="57">
        <f>IF(OR(PSPOINTS[[#This Row],[Hourly]]=TRUE,PSPOINTS[[#This Row],[Hourly]]=FALSE),IF(OR(PSPOINTS[[#This Row],[PayScalePointEnabled]]=TRUE,PSPOINTS[[#This Row],[PayScalePointEnabled]]=FALSE),0,1),1)</f>
        <v>0</v>
      </c>
      <c r="I130" s="57">
        <f>IF(LEN(PSPOINTS[[#This Row],[PayScalePointCode]])&lt;100,0,1)</f>
        <v>0</v>
      </c>
      <c r="J130" s="57">
        <f>IF(LEN(PSPOINTS[[#This Row],[PayScalePointTitle]])&lt;100,0,1)</f>
        <v>0</v>
      </c>
      <c r="K130" s="57">
        <f>(COUNTBLANK(PSPOINTS[[#This Row],[PayScalePointCode]:[RateDateFrom]])+COUNTBLANK(PSPOINTS[[#This Row],[PayScaleRate]]))</f>
        <v>0</v>
      </c>
      <c r="L130" s="120">
        <f>IF(SUBSTITUTE(TEXT(PSPOINTS[[#This Row],[PayScaleCode]],10)," ","")=TEXT(PSPOINTS[[#This Row],[PayScaleCode]],10),0,1)+IF(SUBSTITUTE(TEXT(PSPOINTS[[#This Row],[PayScalePointCode]],10)," ","")=TEXT(PSPOINTS[[#This Row],[PayScalePointCode]],10),0,1)</f>
        <v>0</v>
      </c>
      <c r="M130" s="57">
        <f ca="1">SUM(PSPOINTS[[#This Row],[Scale Point Issue]:[Space in Code]])</f>
        <v>0</v>
      </c>
      <c r="N130" s="57" t="s">
        <v>1137</v>
      </c>
      <c r="P130" s="12" t="s">
        <v>1423</v>
      </c>
      <c r="Q130" s="57" t="str">
        <f>_xlfn.XLOOKUP(PSPOINTS[[#This Row],[PayScaleCode]],'19_PayScales'!N:N,'19_PayScales'!O:O)</f>
        <v>Apprentice / NMW Scale</v>
      </c>
      <c r="R130" s="12" t="s">
        <v>1472</v>
      </c>
      <c r="S130" s="12" t="s">
        <v>1472</v>
      </c>
      <c r="T130" s="12">
        <v>4</v>
      </c>
      <c r="U130" s="12" t="b">
        <v>0</v>
      </c>
      <c r="V130" s="15" t="b">
        <v>1</v>
      </c>
      <c r="W130" s="175">
        <v>46113</v>
      </c>
      <c r="Y130" s="14">
        <v>24521</v>
      </c>
      <c r="AA130" s="123" t="s">
        <v>2049</v>
      </c>
    </row>
    <row r="131" spans="1:27" hidden="1" x14ac:dyDescent="0.25">
      <c r="A131" s="158" t="str">
        <f>PSPOINTS[[#This Row],[PayScaleCode]]&amp;PSPOINTS[[#This Row],[RateDateFrom]]</f>
        <v>SPOT_SUP45748</v>
      </c>
      <c r="B131" s="57">
        <f t="shared" si="1"/>
        <v>0</v>
      </c>
      <c r="C131" s="57" t="str">
        <f>PSPOINTS[[#This Row],[PayScaleCode]]&amp;PSPOINTS[[#This Row],[PayScalePointCode]]&amp;PSPOINTS[[#This Row],[RateDateFrom]]</f>
        <v>SPOT_SUPSUP0145748</v>
      </c>
      <c r="D131" s="57">
        <f>COUNTIF(PSPOINTS[Pay Scale String Duplicates],PSPOINTS[[#This Row],[Pay Scale String Duplicates]])-1</f>
        <v>0</v>
      </c>
      <c r="E131" s="57">
        <f>IF((MONTH(_xlfn.XLOOKUP(PSPOINTS[[#This Row],[PayScaleCode]],'19_PayScales'!N:N,'19_PayScales'!R:R)))=MONTH(PSPOINTS[[#This Row],[RateDateFrom]]),0,1)</f>
        <v>0</v>
      </c>
      <c r="F131" s="57">
        <f>IF(ISBLANK(PSPOINTS[[#This Row],[RateDateTo]]),0,IF(PSPOINTS[[#This Row],[RateDateFrom]]&lt;PSPOINTS[[#This Row],[RateDateTo]],0,1))</f>
        <v>0</v>
      </c>
      <c r="G131" s="57" cm="1">
        <f t="array" aca="1" ref="G131" ca="1">IF(CELL("format",PSPOINTS[[#This Row],[RateDateFrom]])="D1",0,1)+IF(CELL("format",PSPOINTS[[#This Row],[RateDateTo]])="D1",0,1)</f>
        <v>0</v>
      </c>
      <c r="H131" s="57">
        <f>IF(OR(PSPOINTS[[#This Row],[Hourly]]=TRUE,PSPOINTS[[#This Row],[Hourly]]=FALSE),IF(OR(PSPOINTS[[#This Row],[PayScalePointEnabled]]=TRUE,PSPOINTS[[#This Row],[PayScalePointEnabled]]=FALSE),0,1),1)</f>
        <v>0</v>
      </c>
      <c r="I131" s="57">
        <f>IF(LEN(PSPOINTS[[#This Row],[PayScalePointCode]])&lt;100,0,1)</f>
        <v>0</v>
      </c>
      <c r="J131" s="57">
        <f>IF(LEN(PSPOINTS[[#This Row],[PayScalePointTitle]])&lt;100,0,1)</f>
        <v>0</v>
      </c>
      <c r="K131" s="57">
        <f>(COUNTBLANK(PSPOINTS[[#This Row],[PayScalePointCode]:[RateDateFrom]])+COUNTBLANK(PSPOINTS[[#This Row],[PayScaleRate]]))</f>
        <v>0</v>
      </c>
      <c r="L131" s="120">
        <f>IF(SUBSTITUTE(TEXT(PSPOINTS[[#This Row],[PayScaleCode]],10)," ","")=TEXT(PSPOINTS[[#This Row],[PayScaleCode]],10),0,1)+IF(SUBSTITUTE(TEXT(PSPOINTS[[#This Row],[PayScalePointCode]],10)," ","")=TEXT(PSPOINTS[[#This Row],[PayScalePointCode]],10),0,1)</f>
        <v>0</v>
      </c>
      <c r="M131" s="57">
        <f ca="1">SUM(PSPOINTS[[#This Row],[Scale Point Issue]:[Space in Code]])</f>
        <v>0</v>
      </c>
      <c r="N131" s="57" t="s">
        <v>1137</v>
      </c>
      <c r="P131" s="111" t="s">
        <v>1425</v>
      </c>
      <c r="Q131" s="57" t="str">
        <f>_xlfn.XLOOKUP(PSPOINTS[[#This Row],[PayScaleCode]],'19_PayScales'!N:N,'19_PayScales'!O:O)</f>
        <v>Spot Salary Scale - Support</v>
      </c>
      <c r="R131" s="12" t="s">
        <v>1475</v>
      </c>
      <c r="S131" s="12" t="s">
        <v>1475</v>
      </c>
      <c r="T131" s="12">
        <v>1</v>
      </c>
      <c r="U131" s="12" t="b">
        <v>0</v>
      </c>
      <c r="V131" s="15" t="b">
        <v>1</v>
      </c>
      <c r="W131" s="86">
        <v>45748</v>
      </c>
      <c r="Y131" s="14">
        <v>0</v>
      </c>
    </row>
    <row r="132" spans="1:27" hidden="1" x14ac:dyDescent="0.25">
      <c r="A132" s="158" t="str">
        <f>PSPOINTS[[#This Row],[PayScaleCode]]&amp;PSPOINTS[[#This Row],[RateDateFrom]]</f>
        <v>SPOT_TEA45901</v>
      </c>
      <c r="B132" s="57">
        <f t="shared" si="1"/>
        <v>0</v>
      </c>
      <c r="C132" s="57" t="str">
        <f>PSPOINTS[[#This Row],[PayScaleCode]]&amp;PSPOINTS[[#This Row],[PayScalePointCode]]&amp;PSPOINTS[[#This Row],[RateDateFrom]]</f>
        <v>SPOT_TEATEA0145901</v>
      </c>
      <c r="D132" s="57">
        <f>COUNTIF(PSPOINTS[Pay Scale String Duplicates],PSPOINTS[[#This Row],[Pay Scale String Duplicates]])-1</f>
        <v>0</v>
      </c>
      <c r="E132" s="57">
        <f>IF((MONTH(_xlfn.XLOOKUP(PSPOINTS[[#This Row],[PayScaleCode]],'19_PayScales'!N:N,'19_PayScales'!R:R)))=MONTH(PSPOINTS[[#This Row],[RateDateFrom]]),0,1)</f>
        <v>0</v>
      </c>
      <c r="F132" s="57">
        <f>IF(ISBLANK(PSPOINTS[[#This Row],[RateDateTo]]),0,IF(PSPOINTS[[#This Row],[RateDateFrom]]&lt;PSPOINTS[[#This Row],[RateDateTo]],0,1))</f>
        <v>0</v>
      </c>
      <c r="G132" s="57" cm="1">
        <f t="array" aca="1" ref="G132" ca="1">IF(CELL("format",PSPOINTS[[#This Row],[RateDateFrom]])="D1",0,1)+IF(CELL("format",PSPOINTS[[#This Row],[RateDateTo]])="D1",0,1)</f>
        <v>0</v>
      </c>
      <c r="H132" s="57">
        <f>IF(OR(PSPOINTS[[#This Row],[Hourly]]=TRUE,PSPOINTS[[#This Row],[Hourly]]=FALSE),IF(OR(PSPOINTS[[#This Row],[PayScalePointEnabled]]=TRUE,PSPOINTS[[#This Row],[PayScalePointEnabled]]=FALSE),0,1),1)</f>
        <v>0</v>
      </c>
      <c r="I132" s="57">
        <f>IF(LEN(PSPOINTS[[#This Row],[PayScalePointCode]])&lt;100,0,1)</f>
        <v>0</v>
      </c>
      <c r="J132" s="57">
        <f>IF(LEN(PSPOINTS[[#This Row],[PayScalePointTitle]])&lt;100,0,1)</f>
        <v>0</v>
      </c>
      <c r="K132" s="57">
        <f>(COUNTBLANK(PSPOINTS[[#This Row],[PayScalePointCode]:[RateDateFrom]])+COUNTBLANK(PSPOINTS[[#This Row],[PayScaleRate]]))</f>
        <v>0</v>
      </c>
      <c r="L132" s="120">
        <f>IF(SUBSTITUTE(TEXT(PSPOINTS[[#This Row],[PayScaleCode]],10)," ","")=TEXT(PSPOINTS[[#This Row],[PayScaleCode]],10),0,1)+IF(SUBSTITUTE(TEXT(PSPOINTS[[#This Row],[PayScalePointCode]],10)," ","")=TEXT(PSPOINTS[[#This Row],[PayScalePointCode]],10),0,1)</f>
        <v>0</v>
      </c>
      <c r="M132" s="57">
        <f ca="1">SUM(PSPOINTS[[#This Row],[Scale Point Issue]:[Space in Code]])</f>
        <v>0</v>
      </c>
      <c r="N132" s="57" t="s">
        <v>1137</v>
      </c>
      <c r="P132" s="111" t="s">
        <v>1427</v>
      </c>
      <c r="Q132" s="57" t="str">
        <f>_xlfn.XLOOKUP(PSPOINTS[[#This Row],[PayScaleCode]],'19_PayScales'!N:N,'19_PayScales'!O:O)</f>
        <v>Spot Salary Scale - Teaching</v>
      </c>
      <c r="R132" s="12" t="s">
        <v>1478</v>
      </c>
      <c r="S132" s="12" t="s">
        <v>1478</v>
      </c>
      <c r="T132" s="12">
        <v>1</v>
      </c>
      <c r="U132" s="12" t="b">
        <v>0</v>
      </c>
      <c r="V132" s="15" t="b">
        <v>1</v>
      </c>
      <c r="W132" s="86">
        <v>45901</v>
      </c>
      <c r="Y132" s="14">
        <v>0</v>
      </c>
    </row>
    <row r="133" spans="1:27" hidden="1" x14ac:dyDescent="0.25">
      <c r="A133" s="158" t="str">
        <f>PSPOINTS[[#This Row],[PayScaleCode]]&amp;PSPOINTS[[#This Row],[RateDateFrom]]</f>
        <v>MAIN_FRI45901</v>
      </c>
      <c r="B133" s="57">
        <f t="shared" si="1"/>
        <v>0</v>
      </c>
      <c r="C133" s="57" t="str">
        <f>PSPOINTS[[#This Row],[PayScaleCode]]&amp;PSPOINTS[[#This Row],[PayScalePointCode]]&amp;PSPOINTS[[#This Row],[RateDateFrom]]</f>
        <v>MAIN_FRIM145901</v>
      </c>
      <c r="D133" s="57">
        <f>COUNTIF(PSPOINTS[Pay Scale String Duplicates],PSPOINTS[[#This Row],[Pay Scale String Duplicates]])-1</f>
        <v>0</v>
      </c>
      <c r="E133" s="57">
        <f>IF((MONTH(_xlfn.XLOOKUP(PSPOINTS[[#This Row],[PayScaleCode]],'19_PayScales'!N:N,'19_PayScales'!R:R)))=MONTH(PSPOINTS[[#This Row],[RateDateFrom]]),0,1)</f>
        <v>0</v>
      </c>
      <c r="F133" s="57">
        <f>IF(ISBLANK(PSPOINTS[[#This Row],[RateDateTo]]),0,IF(PSPOINTS[[#This Row],[RateDateFrom]]&lt;PSPOINTS[[#This Row],[RateDateTo]],0,1))</f>
        <v>0</v>
      </c>
      <c r="G133" s="57" cm="1">
        <f t="array" aca="1" ref="G133" ca="1">IF(CELL("format",PSPOINTS[[#This Row],[RateDateFrom]])="D1",0,1)+IF(CELL("format",PSPOINTS[[#This Row],[RateDateTo]])="D1",0,1)</f>
        <v>0</v>
      </c>
      <c r="H133" s="57">
        <f>IF(OR(PSPOINTS[[#This Row],[Hourly]]=TRUE,PSPOINTS[[#This Row],[Hourly]]=FALSE),IF(OR(PSPOINTS[[#This Row],[PayScalePointEnabled]]=TRUE,PSPOINTS[[#This Row],[PayScalePointEnabled]]=FALSE),0,1),1)</f>
        <v>0</v>
      </c>
      <c r="I133" s="57">
        <f>IF(LEN(PSPOINTS[[#This Row],[PayScalePointCode]])&lt;100,0,1)</f>
        <v>0</v>
      </c>
      <c r="J133" s="57">
        <f>IF(LEN(PSPOINTS[[#This Row],[PayScalePointTitle]])&lt;100,0,1)</f>
        <v>0</v>
      </c>
      <c r="K133" s="57">
        <f>(COUNTBLANK(PSPOINTS[[#This Row],[PayScalePointCode]:[RateDateFrom]])+COUNTBLANK(PSPOINTS[[#This Row],[PayScaleRate]]))</f>
        <v>0</v>
      </c>
      <c r="L133" s="120">
        <f>IF(SUBSTITUTE(TEXT(PSPOINTS[[#This Row],[PayScaleCode]],10)," ","")=TEXT(PSPOINTS[[#This Row],[PayScaleCode]],10),0,1)+IF(SUBSTITUTE(TEXT(PSPOINTS[[#This Row],[PayScalePointCode]],10)," ","")=TEXT(PSPOINTS[[#This Row],[PayScalePointCode]],10),0,1)</f>
        <v>0</v>
      </c>
      <c r="M133" s="57">
        <f ca="1">SUM(PSPOINTS[[#This Row],[Scale Point Issue]:[Space in Code]])</f>
        <v>0</v>
      </c>
      <c r="N133" s="57" t="s">
        <v>1392</v>
      </c>
      <c r="P133" s="12" t="s">
        <v>1393</v>
      </c>
      <c r="Q133" s="57" t="str">
        <f>_xlfn.XLOOKUP(PSPOINTS[[#This Row],[PayScaleCode]],'19_PayScales'!N:N,'19_PayScales'!O:O)</f>
        <v>Teachers Main Fringe</v>
      </c>
      <c r="R133" s="12" t="s">
        <v>1441</v>
      </c>
      <c r="S133" s="12" t="s">
        <v>1441</v>
      </c>
      <c r="T133" s="12">
        <v>1</v>
      </c>
      <c r="U133" s="12" t="b">
        <v>0</v>
      </c>
      <c r="V133" s="15" t="b">
        <v>1</v>
      </c>
      <c r="W133" s="164">
        <v>45901</v>
      </c>
      <c r="X133" s="140"/>
      <c r="Y133" s="162">
        <v>34398</v>
      </c>
    </row>
    <row r="134" spans="1:27" hidden="1" x14ac:dyDescent="0.25">
      <c r="A134" s="158" t="str">
        <f>PSPOINTS[[#This Row],[PayScaleCode]]&amp;PSPOINTS[[#This Row],[RateDateFrom]]</f>
        <v>MAIN_FRI45901</v>
      </c>
      <c r="B134" s="57">
        <f t="shared" ref="B134:B197" si="2">IF(A134=A133,SUM(T134-T133)-1,T134-1)</f>
        <v>0</v>
      </c>
      <c r="C134" s="57" t="str">
        <f>PSPOINTS[[#This Row],[PayScaleCode]]&amp;PSPOINTS[[#This Row],[PayScalePointCode]]&amp;PSPOINTS[[#This Row],[RateDateFrom]]</f>
        <v>MAIN_FRIM245901</v>
      </c>
      <c r="D134" s="57">
        <f>COUNTIF(PSPOINTS[Pay Scale String Duplicates],PSPOINTS[[#This Row],[Pay Scale String Duplicates]])-1</f>
        <v>0</v>
      </c>
      <c r="E134" s="57">
        <f>IF((MONTH(_xlfn.XLOOKUP(PSPOINTS[[#This Row],[PayScaleCode]],'19_PayScales'!N:N,'19_PayScales'!R:R)))=MONTH(PSPOINTS[[#This Row],[RateDateFrom]]),0,1)</f>
        <v>0</v>
      </c>
      <c r="F134" s="57">
        <f>IF(ISBLANK(PSPOINTS[[#This Row],[RateDateTo]]),0,IF(PSPOINTS[[#This Row],[RateDateFrom]]&lt;PSPOINTS[[#This Row],[RateDateTo]],0,1))</f>
        <v>0</v>
      </c>
      <c r="G134" s="57" cm="1">
        <f t="array" aca="1" ref="G134" ca="1">IF(CELL("format",PSPOINTS[[#This Row],[RateDateFrom]])="D1",0,1)+IF(CELL("format",PSPOINTS[[#This Row],[RateDateTo]])="D1",0,1)</f>
        <v>0</v>
      </c>
      <c r="H134" s="57">
        <f>IF(OR(PSPOINTS[[#This Row],[Hourly]]=TRUE,PSPOINTS[[#This Row],[Hourly]]=FALSE),IF(OR(PSPOINTS[[#This Row],[PayScalePointEnabled]]=TRUE,PSPOINTS[[#This Row],[PayScalePointEnabled]]=FALSE),0,1),1)</f>
        <v>0</v>
      </c>
      <c r="I134" s="57">
        <f>IF(LEN(PSPOINTS[[#This Row],[PayScalePointCode]])&lt;100,0,1)</f>
        <v>0</v>
      </c>
      <c r="J134" s="57">
        <f>IF(LEN(PSPOINTS[[#This Row],[PayScalePointTitle]])&lt;100,0,1)</f>
        <v>0</v>
      </c>
      <c r="K134" s="57">
        <f>(COUNTBLANK(PSPOINTS[[#This Row],[PayScalePointCode]:[RateDateFrom]])+COUNTBLANK(PSPOINTS[[#This Row],[PayScaleRate]]))</f>
        <v>0</v>
      </c>
      <c r="L134" s="120">
        <f>IF(SUBSTITUTE(TEXT(PSPOINTS[[#This Row],[PayScaleCode]],10)," ","")=TEXT(PSPOINTS[[#This Row],[PayScaleCode]],10),0,1)+IF(SUBSTITUTE(TEXT(PSPOINTS[[#This Row],[PayScalePointCode]],10)," ","")=TEXT(PSPOINTS[[#This Row],[PayScalePointCode]],10),0,1)</f>
        <v>0</v>
      </c>
      <c r="M134" s="57">
        <f ca="1">SUM(PSPOINTS[[#This Row],[Scale Point Issue]:[Space in Code]])</f>
        <v>0</v>
      </c>
      <c r="N134" s="57" t="s">
        <v>1392</v>
      </c>
      <c r="P134" s="12" t="s">
        <v>1393</v>
      </c>
      <c r="Q134" s="57" t="str">
        <f>_xlfn.XLOOKUP(PSPOINTS[[#This Row],[PayScaleCode]],'19_PayScales'!N:N,'19_PayScales'!O:O)</f>
        <v>Teachers Main Fringe</v>
      </c>
      <c r="R134" s="12" t="s">
        <v>1517</v>
      </c>
      <c r="S134" s="12" t="s">
        <v>1517</v>
      </c>
      <c r="T134" s="12">
        <v>2</v>
      </c>
      <c r="U134" s="12" t="b">
        <v>0</v>
      </c>
      <c r="V134" s="15" t="b">
        <v>1</v>
      </c>
      <c r="W134" s="164">
        <v>45901</v>
      </c>
      <c r="X134" s="140"/>
      <c r="Y134" s="162">
        <v>36373</v>
      </c>
    </row>
    <row r="135" spans="1:27" hidden="1" x14ac:dyDescent="0.25">
      <c r="A135" s="158" t="str">
        <f>PSPOINTS[[#This Row],[PayScaleCode]]&amp;PSPOINTS[[#This Row],[RateDateFrom]]</f>
        <v>MAIN_FRI45901</v>
      </c>
      <c r="B135" s="57">
        <f t="shared" si="2"/>
        <v>0</v>
      </c>
      <c r="C135" s="57" t="str">
        <f>PSPOINTS[[#This Row],[PayScaleCode]]&amp;PSPOINTS[[#This Row],[PayScalePointCode]]&amp;PSPOINTS[[#This Row],[RateDateFrom]]</f>
        <v>MAIN_FRIM345901</v>
      </c>
      <c r="D135" s="57">
        <f>COUNTIF(PSPOINTS[Pay Scale String Duplicates],PSPOINTS[[#This Row],[Pay Scale String Duplicates]])-1</f>
        <v>0</v>
      </c>
      <c r="E135" s="57">
        <f>IF((MONTH(_xlfn.XLOOKUP(PSPOINTS[[#This Row],[PayScaleCode]],'19_PayScales'!N:N,'19_PayScales'!R:R)))=MONTH(PSPOINTS[[#This Row],[RateDateFrom]]),0,1)</f>
        <v>0</v>
      </c>
      <c r="F135" s="57">
        <f>IF(ISBLANK(PSPOINTS[[#This Row],[RateDateTo]]),0,IF(PSPOINTS[[#This Row],[RateDateFrom]]&lt;PSPOINTS[[#This Row],[RateDateTo]],0,1))</f>
        <v>0</v>
      </c>
      <c r="G135" s="57" cm="1">
        <f t="array" aca="1" ref="G135" ca="1">IF(CELL("format",PSPOINTS[[#This Row],[RateDateFrom]])="D1",0,1)+IF(CELL("format",PSPOINTS[[#This Row],[RateDateTo]])="D1",0,1)</f>
        <v>0</v>
      </c>
      <c r="H135" s="57">
        <f>IF(OR(PSPOINTS[[#This Row],[Hourly]]=TRUE,PSPOINTS[[#This Row],[Hourly]]=FALSE),IF(OR(PSPOINTS[[#This Row],[PayScalePointEnabled]]=TRUE,PSPOINTS[[#This Row],[PayScalePointEnabled]]=FALSE),0,1),1)</f>
        <v>0</v>
      </c>
      <c r="I135" s="57">
        <f>IF(LEN(PSPOINTS[[#This Row],[PayScalePointCode]])&lt;100,0,1)</f>
        <v>0</v>
      </c>
      <c r="J135" s="57">
        <f>IF(LEN(PSPOINTS[[#This Row],[PayScalePointTitle]])&lt;100,0,1)</f>
        <v>0</v>
      </c>
      <c r="K135" s="57">
        <f>(COUNTBLANK(PSPOINTS[[#This Row],[PayScalePointCode]:[RateDateFrom]])+COUNTBLANK(PSPOINTS[[#This Row],[PayScaleRate]]))</f>
        <v>0</v>
      </c>
      <c r="L135" s="120">
        <f>IF(SUBSTITUTE(TEXT(PSPOINTS[[#This Row],[PayScaleCode]],10)," ","")=TEXT(PSPOINTS[[#This Row],[PayScaleCode]],10),0,1)+IF(SUBSTITUTE(TEXT(PSPOINTS[[#This Row],[PayScalePointCode]],10)," ","")=TEXT(PSPOINTS[[#This Row],[PayScalePointCode]],10),0,1)</f>
        <v>0</v>
      </c>
      <c r="M135" s="57">
        <f ca="1">SUM(PSPOINTS[[#This Row],[Scale Point Issue]:[Space in Code]])</f>
        <v>0</v>
      </c>
      <c r="N135" s="57" t="s">
        <v>1392</v>
      </c>
      <c r="P135" s="12" t="s">
        <v>1393</v>
      </c>
      <c r="Q135" s="57" t="str">
        <f>_xlfn.XLOOKUP(PSPOINTS[[#This Row],[PayScaleCode]],'19_PayScales'!N:N,'19_PayScales'!O:O)</f>
        <v>Teachers Main Fringe</v>
      </c>
      <c r="R135" s="12" t="s">
        <v>1518</v>
      </c>
      <c r="S135" s="12" t="s">
        <v>1518</v>
      </c>
      <c r="T135" s="12">
        <v>3</v>
      </c>
      <c r="U135" s="12" t="b">
        <v>0</v>
      </c>
      <c r="V135" s="15" t="b">
        <v>1</v>
      </c>
      <c r="W135" s="164">
        <v>45901</v>
      </c>
      <c r="X135" s="140"/>
      <c r="Y135" s="162">
        <v>38627</v>
      </c>
    </row>
    <row r="136" spans="1:27" hidden="1" x14ac:dyDescent="0.25">
      <c r="A136" s="158" t="str">
        <f>PSPOINTS[[#This Row],[PayScaleCode]]&amp;PSPOINTS[[#This Row],[RateDateFrom]]</f>
        <v>MAIN_FRI45901</v>
      </c>
      <c r="B136" s="57">
        <f t="shared" si="2"/>
        <v>0</v>
      </c>
      <c r="C136" s="57" t="str">
        <f>PSPOINTS[[#This Row],[PayScaleCode]]&amp;PSPOINTS[[#This Row],[PayScalePointCode]]&amp;PSPOINTS[[#This Row],[RateDateFrom]]</f>
        <v>MAIN_FRIM445901</v>
      </c>
      <c r="D136" s="57">
        <f>COUNTIF(PSPOINTS[Pay Scale String Duplicates],PSPOINTS[[#This Row],[Pay Scale String Duplicates]])-1</f>
        <v>0</v>
      </c>
      <c r="E136" s="57">
        <f>IF((MONTH(_xlfn.XLOOKUP(PSPOINTS[[#This Row],[PayScaleCode]],'19_PayScales'!N:N,'19_PayScales'!R:R)))=MONTH(PSPOINTS[[#This Row],[RateDateFrom]]),0,1)</f>
        <v>0</v>
      </c>
      <c r="F136" s="57">
        <f>IF(ISBLANK(PSPOINTS[[#This Row],[RateDateTo]]),0,IF(PSPOINTS[[#This Row],[RateDateFrom]]&lt;PSPOINTS[[#This Row],[RateDateTo]],0,1))</f>
        <v>0</v>
      </c>
      <c r="G136" s="57" cm="1">
        <f t="array" aca="1" ref="G136" ca="1">IF(CELL("format",PSPOINTS[[#This Row],[RateDateFrom]])="D1",0,1)+IF(CELL("format",PSPOINTS[[#This Row],[RateDateTo]])="D1",0,1)</f>
        <v>0</v>
      </c>
      <c r="H136" s="57">
        <f>IF(OR(PSPOINTS[[#This Row],[Hourly]]=TRUE,PSPOINTS[[#This Row],[Hourly]]=FALSE),IF(OR(PSPOINTS[[#This Row],[PayScalePointEnabled]]=TRUE,PSPOINTS[[#This Row],[PayScalePointEnabled]]=FALSE),0,1),1)</f>
        <v>0</v>
      </c>
      <c r="I136" s="57">
        <f>IF(LEN(PSPOINTS[[#This Row],[PayScalePointCode]])&lt;100,0,1)</f>
        <v>0</v>
      </c>
      <c r="J136" s="57">
        <f>IF(LEN(PSPOINTS[[#This Row],[PayScalePointTitle]])&lt;100,0,1)</f>
        <v>0</v>
      </c>
      <c r="K136" s="57">
        <f>(COUNTBLANK(PSPOINTS[[#This Row],[PayScalePointCode]:[RateDateFrom]])+COUNTBLANK(PSPOINTS[[#This Row],[PayScaleRate]]))</f>
        <v>0</v>
      </c>
      <c r="L136" s="120">
        <f>IF(SUBSTITUTE(TEXT(PSPOINTS[[#This Row],[PayScaleCode]],10)," ","")=TEXT(PSPOINTS[[#This Row],[PayScaleCode]],10),0,1)+IF(SUBSTITUTE(TEXT(PSPOINTS[[#This Row],[PayScalePointCode]],10)," ","")=TEXT(PSPOINTS[[#This Row],[PayScalePointCode]],10),0,1)</f>
        <v>0</v>
      </c>
      <c r="M136" s="57">
        <f ca="1">SUM(PSPOINTS[[#This Row],[Scale Point Issue]:[Space in Code]])</f>
        <v>0</v>
      </c>
      <c r="N136" s="57" t="s">
        <v>1392</v>
      </c>
      <c r="P136" s="12" t="s">
        <v>1393</v>
      </c>
      <c r="Q136" s="57" t="str">
        <f>_xlfn.XLOOKUP(PSPOINTS[[#This Row],[PayScaleCode]],'19_PayScales'!N:N,'19_PayScales'!O:O)</f>
        <v>Teachers Main Fringe</v>
      </c>
      <c r="R136" s="12" t="s">
        <v>1519</v>
      </c>
      <c r="S136" s="12" t="s">
        <v>1519</v>
      </c>
      <c r="T136" s="12">
        <v>4</v>
      </c>
      <c r="U136" s="12" t="b">
        <v>0</v>
      </c>
      <c r="V136" s="15" t="b">
        <v>1</v>
      </c>
      <c r="W136" s="164">
        <v>45901</v>
      </c>
      <c r="X136" s="140"/>
      <c r="Y136" s="162">
        <v>41075</v>
      </c>
    </row>
    <row r="137" spans="1:27" hidden="1" x14ac:dyDescent="0.25">
      <c r="A137" s="158" t="str">
        <f>PSPOINTS[[#This Row],[PayScaleCode]]&amp;PSPOINTS[[#This Row],[RateDateFrom]]</f>
        <v>MAIN_FRI45901</v>
      </c>
      <c r="B137" s="57">
        <f t="shared" si="2"/>
        <v>0</v>
      </c>
      <c r="C137" s="57" t="str">
        <f>PSPOINTS[[#This Row],[PayScaleCode]]&amp;PSPOINTS[[#This Row],[PayScalePointCode]]&amp;PSPOINTS[[#This Row],[RateDateFrom]]</f>
        <v>MAIN_FRIM545901</v>
      </c>
      <c r="D137" s="57">
        <f>COUNTIF(PSPOINTS[Pay Scale String Duplicates],PSPOINTS[[#This Row],[Pay Scale String Duplicates]])-1</f>
        <v>0</v>
      </c>
      <c r="E137" s="57">
        <f>IF((MONTH(_xlfn.XLOOKUP(PSPOINTS[[#This Row],[PayScaleCode]],'19_PayScales'!N:N,'19_PayScales'!R:R)))=MONTH(PSPOINTS[[#This Row],[RateDateFrom]]),0,1)</f>
        <v>0</v>
      </c>
      <c r="F137" s="57">
        <f>IF(ISBLANK(PSPOINTS[[#This Row],[RateDateTo]]),0,IF(PSPOINTS[[#This Row],[RateDateFrom]]&lt;PSPOINTS[[#This Row],[RateDateTo]],0,1))</f>
        <v>0</v>
      </c>
      <c r="G137" s="57" cm="1">
        <f t="array" aca="1" ref="G137" ca="1">IF(CELL("format",PSPOINTS[[#This Row],[RateDateFrom]])="D1",0,1)+IF(CELL("format",PSPOINTS[[#This Row],[RateDateTo]])="D1",0,1)</f>
        <v>0</v>
      </c>
      <c r="H137" s="57">
        <f>IF(OR(PSPOINTS[[#This Row],[Hourly]]=TRUE,PSPOINTS[[#This Row],[Hourly]]=FALSE),IF(OR(PSPOINTS[[#This Row],[PayScalePointEnabled]]=TRUE,PSPOINTS[[#This Row],[PayScalePointEnabled]]=FALSE),0,1),1)</f>
        <v>0</v>
      </c>
      <c r="I137" s="57">
        <f>IF(LEN(PSPOINTS[[#This Row],[PayScalePointCode]])&lt;100,0,1)</f>
        <v>0</v>
      </c>
      <c r="J137" s="57">
        <f>IF(LEN(PSPOINTS[[#This Row],[PayScalePointTitle]])&lt;100,0,1)</f>
        <v>0</v>
      </c>
      <c r="K137" s="57">
        <f>(COUNTBLANK(PSPOINTS[[#This Row],[PayScalePointCode]:[RateDateFrom]])+COUNTBLANK(PSPOINTS[[#This Row],[PayScaleRate]]))</f>
        <v>0</v>
      </c>
      <c r="L137" s="120">
        <f>IF(SUBSTITUTE(TEXT(PSPOINTS[[#This Row],[PayScaleCode]],10)," ","")=TEXT(PSPOINTS[[#This Row],[PayScaleCode]],10),0,1)+IF(SUBSTITUTE(TEXT(PSPOINTS[[#This Row],[PayScalePointCode]],10)," ","")=TEXT(PSPOINTS[[#This Row],[PayScalePointCode]],10),0,1)</f>
        <v>0</v>
      </c>
      <c r="M137" s="57">
        <f ca="1">SUM(PSPOINTS[[#This Row],[Scale Point Issue]:[Space in Code]])</f>
        <v>0</v>
      </c>
      <c r="N137" s="57" t="s">
        <v>1392</v>
      </c>
      <c r="P137" s="12" t="s">
        <v>1393</v>
      </c>
      <c r="Q137" s="57" t="str">
        <f>_xlfn.XLOOKUP(PSPOINTS[[#This Row],[PayScaleCode]],'19_PayScales'!N:N,'19_PayScales'!O:O)</f>
        <v>Teachers Main Fringe</v>
      </c>
      <c r="R137" s="12" t="s">
        <v>1520</v>
      </c>
      <c r="S137" s="12" t="s">
        <v>1520</v>
      </c>
      <c r="T137" s="12">
        <v>5</v>
      </c>
      <c r="U137" s="12" t="b">
        <v>0</v>
      </c>
      <c r="V137" s="15" t="b">
        <v>1</v>
      </c>
      <c r="W137" s="164">
        <v>45901</v>
      </c>
      <c r="X137" s="140"/>
      <c r="Y137" s="162">
        <v>43545</v>
      </c>
    </row>
    <row r="138" spans="1:27" hidden="1" x14ac:dyDescent="0.25">
      <c r="A138" s="158" t="str">
        <f>PSPOINTS[[#This Row],[PayScaleCode]]&amp;PSPOINTS[[#This Row],[RateDateFrom]]</f>
        <v>MAIN_FRI45901</v>
      </c>
      <c r="B138" s="57">
        <f t="shared" si="2"/>
        <v>0</v>
      </c>
      <c r="C138" s="57" t="str">
        <f>PSPOINTS[[#This Row],[PayScaleCode]]&amp;PSPOINTS[[#This Row],[PayScalePointCode]]&amp;PSPOINTS[[#This Row],[RateDateFrom]]</f>
        <v>MAIN_FRIM645901</v>
      </c>
      <c r="D138" s="57">
        <f>COUNTIF(PSPOINTS[Pay Scale String Duplicates],PSPOINTS[[#This Row],[Pay Scale String Duplicates]])-1</f>
        <v>0</v>
      </c>
      <c r="E138" s="57">
        <f>IF((MONTH(_xlfn.XLOOKUP(PSPOINTS[[#This Row],[PayScaleCode]],'19_PayScales'!N:N,'19_PayScales'!R:R)))=MONTH(PSPOINTS[[#This Row],[RateDateFrom]]),0,1)</f>
        <v>0</v>
      </c>
      <c r="F138" s="57">
        <f>IF(ISBLANK(PSPOINTS[[#This Row],[RateDateTo]]),0,IF(PSPOINTS[[#This Row],[RateDateFrom]]&lt;PSPOINTS[[#This Row],[RateDateTo]],0,1))</f>
        <v>0</v>
      </c>
      <c r="G138" s="57" cm="1">
        <f t="array" aca="1" ref="G138" ca="1">IF(CELL("format",PSPOINTS[[#This Row],[RateDateFrom]])="D1",0,1)+IF(CELL("format",PSPOINTS[[#This Row],[RateDateTo]])="D1",0,1)</f>
        <v>0</v>
      </c>
      <c r="H138" s="57">
        <f>IF(OR(PSPOINTS[[#This Row],[Hourly]]=TRUE,PSPOINTS[[#This Row],[Hourly]]=FALSE),IF(OR(PSPOINTS[[#This Row],[PayScalePointEnabled]]=TRUE,PSPOINTS[[#This Row],[PayScalePointEnabled]]=FALSE),0,1),1)</f>
        <v>0</v>
      </c>
      <c r="I138" s="57">
        <f>IF(LEN(PSPOINTS[[#This Row],[PayScalePointCode]])&lt;100,0,1)</f>
        <v>0</v>
      </c>
      <c r="J138" s="57">
        <f>IF(LEN(PSPOINTS[[#This Row],[PayScalePointTitle]])&lt;100,0,1)</f>
        <v>0</v>
      </c>
      <c r="K138" s="57">
        <f>(COUNTBLANK(PSPOINTS[[#This Row],[PayScalePointCode]:[RateDateFrom]])+COUNTBLANK(PSPOINTS[[#This Row],[PayScaleRate]]))</f>
        <v>0</v>
      </c>
      <c r="L138" s="120">
        <f>IF(SUBSTITUTE(TEXT(PSPOINTS[[#This Row],[PayScaleCode]],10)," ","")=TEXT(PSPOINTS[[#This Row],[PayScaleCode]],10),0,1)+IF(SUBSTITUTE(TEXT(PSPOINTS[[#This Row],[PayScalePointCode]],10)," ","")=TEXT(PSPOINTS[[#This Row],[PayScalePointCode]],10),0,1)</f>
        <v>0</v>
      </c>
      <c r="M138" s="57">
        <f ca="1">SUM(PSPOINTS[[#This Row],[Scale Point Issue]:[Space in Code]])</f>
        <v>0</v>
      </c>
      <c r="N138" s="57" t="s">
        <v>1392</v>
      </c>
      <c r="P138" s="12" t="s">
        <v>1393</v>
      </c>
      <c r="Q138" s="57" t="str">
        <f>_xlfn.XLOOKUP(PSPOINTS[[#This Row],[PayScaleCode]],'19_PayScales'!N:N,'19_PayScales'!O:O)</f>
        <v>Teachers Main Fringe</v>
      </c>
      <c r="R138" s="12" t="s">
        <v>1445</v>
      </c>
      <c r="S138" s="12" t="s">
        <v>1445</v>
      </c>
      <c r="T138" s="12">
        <v>6</v>
      </c>
      <c r="U138" s="12" t="b">
        <v>0</v>
      </c>
      <c r="V138" s="15" t="b">
        <v>1</v>
      </c>
      <c r="W138" s="164">
        <v>45901</v>
      </c>
      <c r="X138" s="140"/>
      <c r="Y138" s="162">
        <v>46839</v>
      </c>
    </row>
    <row r="139" spans="1:27" hidden="1" x14ac:dyDescent="0.25">
      <c r="A139" s="158" t="str">
        <f>PSPOINTS[[#This Row],[PayScaleCode]]&amp;PSPOINTS[[#This Row],[RateDateFrom]]</f>
        <v>MAIN_FRI45901</v>
      </c>
      <c r="B139" s="57">
        <f t="shared" si="2"/>
        <v>0</v>
      </c>
      <c r="C139" s="57" t="str">
        <f>PSPOINTS[[#This Row],[PayScaleCode]]&amp;PSPOINTS[[#This Row],[PayScalePointCode]]&amp;PSPOINTS[[#This Row],[RateDateFrom]]</f>
        <v>MAIN_FRIU1Y145901</v>
      </c>
      <c r="D139" s="57">
        <f>COUNTIF(PSPOINTS[Pay Scale String Duplicates],PSPOINTS[[#This Row],[Pay Scale String Duplicates]])-1</f>
        <v>0</v>
      </c>
      <c r="E139" s="57">
        <f>IF((MONTH(_xlfn.XLOOKUP(PSPOINTS[[#This Row],[PayScaleCode]],'19_PayScales'!N:N,'19_PayScales'!R:R)))=MONTH(PSPOINTS[[#This Row],[RateDateFrom]]),0,1)</f>
        <v>0</v>
      </c>
      <c r="F139" s="57">
        <f>IF(ISBLANK(PSPOINTS[[#This Row],[RateDateTo]]),0,IF(PSPOINTS[[#This Row],[RateDateFrom]]&lt;PSPOINTS[[#This Row],[RateDateTo]],0,1))</f>
        <v>0</v>
      </c>
      <c r="G139" s="57" cm="1">
        <f t="array" aca="1" ref="G139" ca="1">IF(CELL("format",PSPOINTS[[#This Row],[RateDateFrom]])="D1",0,1)+IF(CELL("format",PSPOINTS[[#This Row],[RateDateTo]])="D1",0,1)</f>
        <v>0</v>
      </c>
      <c r="H139" s="57">
        <f>IF(OR(PSPOINTS[[#This Row],[Hourly]]=TRUE,PSPOINTS[[#This Row],[Hourly]]=FALSE),IF(OR(PSPOINTS[[#This Row],[PayScalePointEnabled]]=TRUE,PSPOINTS[[#This Row],[PayScalePointEnabled]]=FALSE),0,1),1)</f>
        <v>0</v>
      </c>
      <c r="I139" s="57">
        <f>IF(LEN(PSPOINTS[[#This Row],[PayScalePointCode]])&lt;100,0,1)</f>
        <v>0</v>
      </c>
      <c r="J139" s="57">
        <f>IF(LEN(PSPOINTS[[#This Row],[PayScalePointTitle]])&lt;100,0,1)</f>
        <v>0</v>
      </c>
      <c r="K139" s="57">
        <f>(COUNTBLANK(PSPOINTS[[#This Row],[PayScalePointCode]:[RateDateFrom]])+COUNTBLANK(PSPOINTS[[#This Row],[PayScaleRate]]))</f>
        <v>0</v>
      </c>
      <c r="L139" s="120">
        <f>IF(SUBSTITUTE(TEXT(PSPOINTS[[#This Row],[PayScaleCode]],10)," ","")=TEXT(PSPOINTS[[#This Row],[PayScaleCode]],10),0,1)+IF(SUBSTITUTE(TEXT(PSPOINTS[[#This Row],[PayScalePointCode]],10)," ","")=TEXT(PSPOINTS[[#This Row],[PayScalePointCode]],10),0,1)</f>
        <v>0</v>
      </c>
      <c r="M139" s="57">
        <f ca="1">SUM(PSPOINTS[[#This Row],[Scale Point Issue]:[Space in Code]])</f>
        <v>0</v>
      </c>
      <c r="N139" s="57" t="s">
        <v>1392</v>
      </c>
      <c r="P139" s="12" t="s">
        <v>1393</v>
      </c>
      <c r="Q139" s="57" t="str">
        <f>_xlfn.XLOOKUP(PSPOINTS[[#This Row],[PayScaleCode]],'19_PayScales'!N:N,'19_PayScales'!O:O)</f>
        <v>Teachers Main Fringe</v>
      </c>
      <c r="R139" s="12" t="s">
        <v>1448</v>
      </c>
      <c r="S139" s="12" t="s">
        <v>1448</v>
      </c>
      <c r="T139" s="12">
        <v>7</v>
      </c>
      <c r="U139" s="12" t="b">
        <v>0</v>
      </c>
      <c r="V139" s="15" t="b">
        <v>1</v>
      </c>
      <c r="W139" s="164">
        <v>45901</v>
      </c>
      <c r="X139" s="140"/>
      <c r="Y139" s="162">
        <v>48913</v>
      </c>
    </row>
    <row r="140" spans="1:27" hidden="1" x14ac:dyDescent="0.25">
      <c r="A140" s="158" t="str">
        <f>PSPOINTS[[#This Row],[PayScaleCode]]&amp;PSPOINTS[[#This Row],[RateDateFrom]]</f>
        <v>MAIN_FRI45901</v>
      </c>
      <c r="B140" s="57">
        <f t="shared" si="2"/>
        <v>0</v>
      </c>
      <c r="C140" s="57" t="str">
        <f>PSPOINTS[[#This Row],[PayScaleCode]]&amp;PSPOINTS[[#This Row],[PayScalePointCode]]&amp;PSPOINTS[[#This Row],[RateDateFrom]]</f>
        <v>MAIN_FRIU1Y245901</v>
      </c>
      <c r="D140" s="57">
        <f>COUNTIF(PSPOINTS[Pay Scale String Duplicates],PSPOINTS[[#This Row],[Pay Scale String Duplicates]])-1</f>
        <v>0</v>
      </c>
      <c r="E140" s="57">
        <f>IF((MONTH(_xlfn.XLOOKUP(PSPOINTS[[#This Row],[PayScaleCode]],'19_PayScales'!N:N,'19_PayScales'!R:R)))=MONTH(PSPOINTS[[#This Row],[RateDateFrom]]),0,1)</f>
        <v>0</v>
      </c>
      <c r="F140" s="57">
        <f>IF(ISBLANK(PSPOINTS[[#This Row],[RateDateTo]]),0,IF(PSPOINTS[[#This Row],[RateDateFrom]]&lt;PSPOINTS[[#This Row],[RateDateTo]],0,1))</f>
        <v>0</v>
      </c>
      <c r="G140" s="57" cm="1">
        <f t="array" aca="1" ref="G140" ca="1">IF(CELL("format",PSPOINTS[[#This Row],[RateDateFrom]])="D1",0,1)+IF(CELL("format",PSPOINTS[[#This Row],[RateDateTo]])="D1",0,1)</f>
        <v>0</v>
      </c>
      <c r="H140" s="57">
        <f>IF(OR(PSPOINTS[[#This Row],[Hourly]]=TRUE,PSPOINTS[[#This Row],[Hourly]]=FALSE),IF(OR(PSPOINTS[[#This Row],[PayScalePointEnabled]]=TRUE,PSPOINTS[[#This Row],[PayScalePointEnabled]]=FALSE),0,1),1)</f>
        <v>0</v>
      </c>
      <c r="I140" s="57">
        <f>IF(LEN(PSPOINTS[[#This Row],[PayScalePointCode]])&lt;100,0,1)</f>
        <v>0</v>
      </c>
      <c r="J140" s="57">
        <f>IF(LEN(PSPOINTS[[#This Row],[PayScalePointTitle]])&lt;100,0,1)</f>
        <v>0</v>
      </c>
      <c r="K140" s="57">
        <f>(COUNTBLANK(PSPOINTS[[#This Row],[PayScalePointCode]:[RateDateFrom]])+COUNTBLANK(PSPOINTS[[#This Row],[PayScaleRate]]))</f>
        <v>0</v>
      </c>
      <c r="L140" s="120">
        <f>IF(SUBSTITUTE(TEXT(PSPOINTS[[#This Row],[PayScaleCode]],10)," ","")=TEXT(PSPOINTS[[#This Row],[PayScaleCode]],10),0,1)+IF(SUBSTITUTE(TEXT(PSPOINTS[[#This Row],[PayScalePointCode]],10)," ","")=TEXT(PSPOINTS[[#This Row],[PayScalePointCode]],10),0,1)</f>
        <v>0</v>
      </c>
      <c r="M140" s="57">
        <f ca="1">SUM(PSPOINTS[[#This Row],[Scale Point Issue]:[Space in Code]])</f>
        <v>0</v>
      </c>
      <c r="N140" s="57" t="s">
        <v>1392</v>
      </c>
      <c r="P140" s="12" t="s">
        <v>1393</v>
      </c>
      <c r="Q140" s="57" t="str">
        <f>_xlfn.XLOOKUP(PSPOINTS[[#This Row],[PayScaleCode]],'19_PayScales'!N:N,'19_PayScales'!O:O)</f>
        <v>Teachers Main Fringe</v>
      </c>
      <c r="R140" s="12" t="s">
        <v>1521</v>
      </c>
      <c r="S140" s="12" t="s">
        <v>1521</v>
      </c>
      <c r="T140" s="12">
        <v>8</v>
      </c>
      <c r="U140" s="12" t="b">
        <v>0</v>
      </c>
      <c r="V140" s="15" t="b">
        <v>1</v>
      </c>
      <c r="W140" s="164">
        <v>45901</v>
      </c>
      <c r="X140" s="140"/>
      <c r="Y140" s="162">
        <v>48913</v>
      </c>
    </row>
    <row r="141" spans="1:27" hidden="1" x14ac:dyDescent="0.25">
      <c r="A141" s="158" t="str">
        <f>PSPOINTS[[#This Row],[PayScaleCode]]&amp;PSPOINTS[[#This Row],[RateDateFrom]]</f>
        <v>MAIN_FRI45901</v>
      </c>
      <c r="B141" s="57">
        <f t="shared" si="2"/>
        <v>0</v>
      </c>
      <c r="C141" s="57" t="str">
        <f>PSPOINTS[[#This Row],[PayScaleCode]]&amp;PSPOINTS[[#This Row],[PayScalePointCode]]&amp;PSPOINTS[[#This Row],[RateDateFrom]]</f>
        <v>MAIN_FRIU2Y145901</v>
      </c>
      <c r="D141" s="57">
        <f>COUNTIF(PSPOINTS[Pay Scale String Duplicates],PSPOINTS[[#This Row],[Pay Scale String Duplicates]])-1</f>
        <v>0</v>
      </c>
      <c r="E141" s="57">
        <f>IF((MONTH(_xlfn.XLOOKUP(PSPOINTS[[#This Row],[PayScaleCode]],'19_PayScales'!N:N,'19_PayScales'!R:R)))=MONTH(PSPOINTS[[#This Row],[RateDateFrom]]),0,1)</f>
        <v>0</v>
      </c>
      <c r="F141" s="57">
        <f>IF(ISBLANK(PSPOINTS[[#This Row],[RateDateTo]]),0,IF(PSPOINTS[[#This Row],[RateDateFrom]]&lt;PSPOINTS[[#This Row],[RateDateTo]],0,1))</f>
        <v>0</v>
      </c>
      <c r="G141" s="57" cm="1">
        <f t="array" aca="1" ref="G141" ca="1">IF(CELL("format",PSPOINTS[[#This Row],[RateDateFrom]])="D1",0,1)+IF(CELL("format",PSPOINTS[[#This Row],[RateDateTo]])="D1",0,1)</f>
        <v>0</v>
      </c>
      <c r="H141" s="57">
        <f>IF(OR(PSPOINTS[[#This Row],[Hourly]]=TRUE,PSPOINTS[[#This Row],[Hourly]]=FALSE),IF(OR(PSPOINTS[[#This Row],[PayScalePointEnabled]]=TRUE,PSPOINTS[[#This Row],[PayScalePointEnabled]]=FALSE),0,1),1)</f>
        <v>0</v>
      </c>
      <c r="I141" s="57">
        <f>IF(LEN(PSPOINTS[[#This Row],[PayScalePointCode]])&lt;100,0,1)</f>
        <v>0</v>
      </c>
      <c r="J141" s="57">
        <f>IF(LEN(PSPOINTS[[#This Row],[PayScalePointTitle]])&lt;100,0,1)</f>
        <v>0</v>
      </c>
      <c r="K141" s="57">
        <f>(COUNTBLANK(PSPOINTS[[#This Row],[PayScalePointCode]:[RateDateFrom]])+COUNTBLANK(PSPOINTS[[#This Row],[PayScaleRate]]))</f>
        <v>0</v>
      </c>
      <c r="L141" s="120">
        <f>IF(SUBSTITUTE(TEXT(PSPOINTS[[#This Row],[PayScaleCode]],10)," ","")=TEXT(PSPOINTS[[#This Row],[PayScaleCode]],10),0,1)+IF(SUBSTITUTE(TEXT(PSPOINTS[[#This Row],[PayScalePointCode]],10)," ","")=TEXT(PSPOINTS[[#This Row],[PayScalePointCode]],10),0,1)</f>
        <v>0</v>
      </c>
      <c r="M141" s="57">
        <f ca="1">SUM(PSPOINTS[[#This Row],[Scale Point Issue]:[Space in Code]])</f>
        <v>0</v>
      </c>
      <c r="N141" s="57" t="s">
        <v>1392</v>
      </c>
      <c r="P141" s="12" t="s">
        <v>1393</v>
      </c>
      <c r="Q141" s="57" t="str">
        <f>_xlfn.XLOOKUP(PSPOINTS[[#This Row],[PayScaleCode]],'19_PayScales'!N:N,'19_PayScales'!O:O)</f>
        <v>Teachers Main Fringe</v>
      </c>
      <c r="R141" s="12" t="s">
        <v>1522</v>
      </c>
      <c r="S141" s="12" t="s">
        <v>1522</v>
      </c>
      <c r="T141" s="12">
        <v>9</v>
      </c>
      <c r="U141" s="12" t="b">
        <v>0</v>
      </c>
      <c r="V141" s="15" t="b">
        <v>1</v>
      </c>
      <c r="W141" s="164">
        <v>45901</v>
      </c>
      <c r="X141" s="140"/>
      <c r="Y141" s="162">
        <v>50668</v>
      </c>
    </row>
    <row r="142" spans="1:27" hidden="1" x14ac:dyDescent="0.25">
      <c r="A142" s="158" t="str">
        <f>PSPOINTS[[#This Row],[PayScaleCode]]&amp;PSPOINTS[[#This Row],[RateDateFrom]]</f>
        <v>MAIN_FRI45901</v>
      </c>
      <c r="B142" s="57">
        <f t="shared" si="2"/>
        <v>0</v>
      </c>
      <c r="C142" s="57" t="str">
        <f>PSPOINTS[[#This Row],[PayScaleCode]]&amp;PSPOINTS[[#This Row],[PayScalePointCode]]&amp;PSPOINTS[[#This Row],[RateDateFrom]]</f>
        <v>MAIN_FRIU2Y245901</v>
      </c>
      <c r="D142" s="57">
        <f>COUNTIF(PSPOINTS[Pay Scale String Duplicates],PSPOINTS[[#This Row],[Pay Scale String Duplicates]])-1</f>
        <v>0</v>
      </c>
      <c r="E142" s="57">
        <f>IF((MONTH(_xlfn.XLOOKUP(PSPOINTS[[#This Row],[PayScaleCode]],'19_PayScales'!N:N,'19_PayScales'!R:R)))=MONTH(PSPOINTS[[#This Row],[RateDateFrom]]),0,1)</f>
        <v>0</v>
      </c>
      <c r="F142" s="57">
        <f>IF(ISBLANK(PSPOINTS[[#This Row],[RateDateTo]]),0,IF(PSPOINTS[[#This Row],[RateDateFrom]]&lt;PSPOINTS[[#This Row],[RateDateTo]],0,1))</f>
        <v>0</v>
      </c>
      <c r="G142" s="57" cm="1">
        <f t="array" aca="1" ref="G142" ca="1">IF(CELL("format",PSPOINTS[[#This Row],[RateDateFrom]])="D1",0,1)+IF(CELL("format",PSPOINTS[[#This Row],[RateDateTo]])="D1",0,1)</f>
        <v>0</v>
      </c>
      <c r="H142" s="57">
        <f>IF(OR(PSPOINTS[[#This Row],[Hourly]]=TRUE,PSPOINTS[[#This Row],[Hourly]]=FALSE),IF(OR(PSPOINTS[[#This Row],[PayScalePointEnabled]]=TRUE,PSPOINTS[[#This Row],[PayScalePointEnabled]]=FALSE),0,1),1)</f>
        <v>0</v>
      </c>
      <c r="I142" s="57">
        <f>IF(LEN(PSPOINTS[[#This Row],[PayScalePointCode]])&lt;100,0,1)</f>
        <v>0</v>
      </c>
      <c r="J142" s="57">
        <f>IF(LEN(PSPOINTS[[#This Row],[PayScalePointTitle]])&lt;100,0,1)</f>
        <v>0</v>
      </c>
      <c r="K142" s="57">
        <f>(COUNTBLANK(PSPOINTS[[#This Row],[PayScalePointCode]:[RateDateFrom]])+COUNTBLANK(PSPOINTS[[#This Row],[PayScaleRate]]))</f>
        <v>0</v>
      </c>
      <c r="L142" s="120">
        <f>IF(SUBSTITUTE(TEXT(PSPOINTS[[#This Row],[PayScaleCode]],10)," ","")=TEXT(PSPOINTS[[#This Row],[PayScaleCode]],10),0,1)+IF(SUBSTITUTE(TEXT(PSPOINTS[[#This Row],[PayScalePointCode]],10)," ","")=TEXT(PSPOINTS[[#This Row],[PayScalePointCode]],10),0,1)</f>
        <v>0</v>
      </c>
      <c r="M142" s="57">
        <f ca="1">SUM(PSPOINTS[[#This Row],[Scale Point Issue]:[Space in Code]])</f>
        <v>0</v>
      </c>
      <c r="N142" s="57" t="s">
        <v>1392</v>
      </c>
      <c r="P142" s="12" t="s">
        <v>1393</v>
      </c>
      <c r="Q142" s="57" t="str">
        <f>_xlfn.XLOOKUP(PSPOINTS[[#This Row],[PayScaleCode]],'19_PayScales'!N:N,'19_PayScales'!O:O)</f>
        <v>Teachers Main Fringe</v>
      </c>
      <c r="R142" s="12" t="s">
        <v>1523</v>
      </c>
      <c r="S142" s="12" t="s">
        <v>1523</v>
      </c>
      <c r="T142" s="12">
        <v>10</v>
      </c>
      <c r="U142" s="12" t="b">
        <v>0</v>
      </c>
      <c r="V142" s="15" t="b">
        <v>1</v>
      </c>
      <c r="W142" s="164">
        <v>45901</v>
      </c>
      <c r="X142" s="140"/>
      <c r="Y142" s="162">
        <v>50668</v>
      </c>
    </row>
    <row r="143" spans="1:27" hidden="1" x14ac:dyDescent="0.25">
      <c r="A143" s="158" t="str">
        <f>PSPOINTS[[#This Row],[PayScaleCode]]&amp;PSPOINTS[[#This Row],[RateDateFrom]]</f>
        <v>MAIN_FRI45901</v>
      </c>
      <c r="B143" s="57">
        <f t="shared" si="2"/>
        <v>0</v>
      </c>
      <c r="C143" s="57" t="str">
        <f>PSPOINTS[[#This Row],[PayScaleCode]]&amp;PSPOINTS[[#This Row],[PayScalePointCode]]&amp;PSPOINTS[[#This Row],[RateDateFrom]]</f>
        <v>MAIN_FRIU345901</v>
      </c>
      <c r="D143" s="57">
        <f>COUNTIF(PSPOINTS[Pay Scale String Duplicates],PSPOINTS[[#This Row],[Pay Scale String Duplicates]])-1</f>
        <v>0</v>
      </c>
      <c r="E143" s="57">
        <f>IF((MONTH(_xlfn.XLOOKUP(PSPOINTS[[#This Row],[PayScaleCode]],'19_PayScales'!N:N,'19_PayScales'!R:R)))=MONTH(PSPOINTS[[#This Row],[RateDateFrom]]),0,1)</f>
        <v>0</v>
      </c>
      <c r="F143" s="57">
        <f>IF(ISBLANK(PSPOINTS[[#This Row],[RateDateTo]]),0,IF(PSPOINTS[[#This Row],[RateDateFrom]]&lt;PSPOINTS[[#This Row],[RateDateTo]],0,1))</f>
        <v>0</v>
      </c>
      <c r="G143" s="57" cm="1">
        <f t="array" aca="1" ref="G143" ca="1">IF(CELL("format",PSPOINTS[[#This Row],[RateDateFrom]])="D1",0,1)+IF(CELL("format",PSPOINTS[[#This Row],[RateDateTo]])="D1",0,1)</f>
        <v>0</v>
      </c>
      <c r="H143" s="57">
        <f>IF(OR(PSPOINTS[[#This Row],[Hourly]]=TRUE,PSPOINTS[[#This Row],[Hourly]]=FALSE),IF(OR(PSPOINTS[[#This Row],[PayScalePointEnabled]]=TRUE,PSPOINTS[[#This Row],[PayScalePointEnabled]]=FALSE),0,1),1)</f>
        <v>0</v>
      </c>
      <c r="I143" s="57">
        <f>IF(LEN(PSPOINTS[[#This Row],[PayScalePointCode]])&lt;100,0,1)</f>
        <v>0</v>
      </c>
      <c r="J143" s="57">
        <f>IF(LEN(PSPOINTS[[#This Row],[PayScalePointTitle]])&lt;100,0,1)</f>
        <v>0</v>
      </c>
      <c r="K143" s="57">
        <f>(COUNTBLANK(PSPOINTS[[#This Row],[PayScalePointCode]:[RateDateFrom]])+COUNTBLANK(PSPOINTS[[#This Row],[PayScaleRate]]))</f>
        <v>0</v>
      </c>
      <c r="L143" s="120">
        <f>IF(SUBSTITUTE(TEXT(PSPOINTS[[#This Row],[PayScaleCode]],10)," ","")=TEXT(PSPOINTS[[#This Row],[PayScaleCode]],10),0,1)+IF(SUBSTITUTE(TEXT(PSPOINTS[[#This Row],[PayScalePointCode]],10)," ","")=TEXT(PSPOINTS[[#This Row],[PayScalePointCode]],10),0,1)</f>
        <v>0</v>
      </c>
      <c r="M143" s="57">
        <f ca="1">SUM(PSPOINTS[[#This Row],[Scale Point Issue]:[Space in Code]])</f>
        <v>0</v>
      </c>
      <c r="N143" s="57" t="s">
        <v>1392</v>
      </c>
      <c r="P143" s="12" t="s">
        <v>1393</v>
      </c>
      <c r="Q143" s="57" t="str">
        <f>_xlfn.XLOOKUP(PSPOINTS[[#This Row],[PayScaleCode]],'19_PayScales'!N:N,'19_PayScales'!O:O)</f>
        <v>Teachers Main Fringe</v>
      </c>
      <c r="R143" s="12" t="s">
        <v>1442</v>
      </c>
      <c r="S143" s="12" t="s">
        <v>1442</v>
      </c>
      <c r="T143" s="12">
        <v>11</v>
      </c>
      <c r="U143" s="12" t="b">
        <v>0</v>
      </c>
      <c r="V143" s="15" t="b">
        <v>1</v>
      </c>
      <c r="W143" s="164">
        <v>45901</v>
      </c>
      <c r="X143" s="140"/>
      <c r="Y143" s="162">
        <v>52490</v>
      </c>
    </row>
    <row r="144" spans="1:27" x14ac:dyDescent="0.25">
      <c r="A144" s="158" t="str">
        <f>PSPOINTS[[#This Row],[PayScaleCode]]&amp;PSPOINTS[[#This Row],[RateDateFrom]]</f>
        <v>LP_FRI45901</v>
      </c>
      <c r="B144" s="57">
        <f t="shared" si="2"/>
        <v>0</v>
      </c>
      <c r="C144" s="57" t="str">
        <f>PSPOINTS[[#This Row],[PayScaleCode]]&amp;PSPOINTS[[#This Row],[PayScalePointCode]]&amp;PSPOINTS[[#This Row],[RateDateFrom]]</f>
        <v>LP_FRILP0145901</v>
      </c>
      <c r="D144" s="57">
        <f>COUNTIF(PSPOINTS[Pay Scale String Duplicates],PSPOINTS[[#This Row],[Pay Scale String Duplicates]])-1</f>
        <v>0</v>
      </c>
      <c r="E144" s="57">
        <f>IF((MONTH(_xlfn.XLOOKUP(PSPOINTS[[#This Row],[PayScaleCode]],'19_PayScales'!N:N,'19_PayScales'!R:R)))=MONTH(PSPOINTS[[#This Row],[RateDateFrom]]),0,1)</f>
        <v>0</v>
      </c>
      <c r="F144" s="57">
        <f>IF(ISBLANK(PSPOINTS[[#This Row],[RateDateTo]]),0,IF(PSPOINTS[[#This Row],[RateDateFrom]]&lt;PSPOINTS[[#This Row],[RateDateTo]],0,1))</f>
        <v>0</v>
      </c>
      <c r="G144" s="57" cm="1">
        <f t="array" aca="1" ref="G144" ca="1">IF(CELL("format",PSPOINTS[[#This Row],[RateDateFrom]])="D1",0,1)+IF(CELL("format",PSPOINTS[[#This Row],[RateDateTo]])="D1",0,1)</f>
        <v>0</v>
      </c>
      <c r="H144" s="57">
        <f>IF(OR(PSPOINTS[[#This Row],[Hourly]]=TRUE,PSPOINTS[[#This Row],[Hourly]]=FALSE),IF(OR(PSPOINTS[[#This Row],[PayScalePointEnabled]]=TRUE,PSPOINTS[[#This Row],[PayScalePointEnabled]]=FALSE),0,1),1)</f>
        <v>0</v>
      </c>
      <c r="I144" s="57">
        <f>IF(LEN(PSPOINTS[[#This Row],[PayScalePointCode]])&lt;100,0,1)</f>
        <v>0</v>
      </c>
      <c r="J144" s="57">
        <f>IF(LEN(PSPOINTS[[#This Row],[PayScalePointTitle]])&lt;100,0,1)</f>
        <v>0</v>
      </c>
      <c r="K144" s="57">
        <f>(COUNTBLANK(PSPOINTS[[#This Row],[PayScalePointCode]:[RateDateFrom]])+COUNTBLANK(PSPOINTS[[#This Row],[PayScaleRate]]))</f>
        <v>0</v>
      </c>
      <c r="L144" s="120">
        <f>IF(SUBSTITUTE(TEXT(PSPOINTS[[#This Row],[PayScaleCode]],10)," ","")=TEXT(PSPOINTS[[#This Row],[PayScaleCode]],10),0,1)+IF(SUBSTITUTE(TEXT(PSPOINTS[[#This Row],[PayScalePointCode]],10)," ","")=TEXT(PSPOINTS[[#This Row],[PayScalePointCode]],10),0,1)</f>
        <v>0</v>
      </c>
      <c r="M144" s="57">
        <f ca="1">SUM(PSPOINTS[[#This Row],[Scale Point Issue]:[Space in Code]])</f>
        <v>0</v>
      </c>
      <c r="N144" s="57" t="s">
        <v>1392</v>
      </c>
      <c r="P144" s="12" t="s">
        <v>1395</v>
      </c>
      <c r="Q144" s="57" t="str">
        <f>_xlfn.XLOOKUP(PSPOINTS[[#This Row],[PayScaleCode]],'19_PayScales'!N:N,'19_PayScales'!O:O)</f>
        <v>Lead Practitioner Fringe</v>
      </c>
      <c r="R144" s="12" t="s">
        <v>1459</v>
      </c>
      <c r="S144" s="12" t="s">
        <v>1459</v>
      </c>
      <c r="T144" s="12">
        <v>1</v>
      </c>
      <c r="U144" s="12" t="b">
        <v>0</v>
      </c>
      <c r="V144" s="15" t="b">
        <v>1</v>
      </c>
      <c r="W144" s="164">
        <v>45901</v>
      </c>
      <c r="X144" s="140"/>
      <c r="Y144" s="162">
        <v>53460</v>
      </c>
    </row>
    <row r="145" spans="1:25" x14ac:dyDescent="0.25">
      <c r="A145" s="158" t="str">
        <f>PSPOINTS[[#This Row],[PayScaleCode]]&amp;PSPOINTS[[#This Row],[RateDateFrom]]</f>
        <v>LP_FRI45901</v>
      </c>
      <c r="B145" s="57">
        <f t="shared" si="2"/>
        <v>0</v>
      </c>
      <c r="C145" s="57" t="str">
        <f>PSPOINTS[[#This Row],[PayScaleCode]]&amp;PSPOINTS[[#This Row],[PayScalePointCode]]&amp;PSPOINTS[[#This Row],[RateDateFrom]]</f>
        <v>LP_FRILP0245901</v>
      </c>
      <c r="D145" s="57">
        <f>COUNTIF(PSPOINTS[Pay Scale String Duplicates],PSPOINTS[[#This Row],[Pay Scale String Duplicates]])-1</f>
        <v>0</v>
      </c>
      <c r="E145" s="57">
        <f>IF((MONTH(_xlfn.XLOOKUP(PSPOINTS[[#This Row],[PayScaleCode]],'19_PayScales'!N:N,'19_PayScales'!R:R)))=MONTH(PSPOINTS[[#This Row],[RateDateFrom]]),0,1)</f>
        <v>0</v>
      </c>
      <c r="F145" s="57">
        <f>IF(ISBLANK(PSPOINTS[[#This Row],[RateDateTo]]),0,IF(PSPOINTS[[#This Row],[RateDateFrom]]&lt;PSPOINTS[[#This Row],[RateDateTo]],0,1))</f>
        <v>0</v>
      </c>
      <c r="G145" s="57" cm="1">
        <f t="array" aca="1" ref="G145" ca="1">IF(CELL("format",PSPOINTS[[#This Row],[RateDateFrom]])="D1",0,1)+IF(CELL("format",PSPOINTS[[#This Row],[RateDateTo]])="D1",0,1)</f>
        <v>0</v>
      </c>
      <c r="H145" s="57">
        <f>IF(OR(PSPOINTS[[#This Row],[Hourly]]=TRUE,PSPOINTS[[#This Row],[Hourly]]=FALSE),IF(OR(PSPOINTS[[#This Row],[PayScalePointEnabled]]=TRUE,PSPOINTS[[#This Row],[PayScalePointEnabled]]=FALSE),0,1),1)</f>
        <v>0</v>
      </c>
      <c r="I145" s="57">
        <f>IF(LEN(PSPOINTS[[#This Row],[PayScalePointCode]])&lt;100,0,1)</f>
        <v>0</v>
      </c>
      <c r="J145" s="57">
        <f>IF(LEN(PSPOINTS[[#This Row],[PayScalePointTitle]])&lt;100,0,1)</f>
        <v>0</v>
      </c>
      <c r="K145" s="57">
        <f>(COUNTBLANK(PSPOINTS[[#This Row],[PayScalePointCode]:[RateDateFrom]])+COUNTBLANK(PSPOINTS[[#This Row],[PayScaleRate]]))</f>
        <v>0</v>
      </c>
      <c r="L145" s="120">
        <f>IF(SUBSTITUTE(TEXT(PSPOINTS[[#This Row],[PayScaleCode]],10)," ","")=TEXT(PSPOINTS[[#This Row],[PayScaleCode]],10),0,1)+IF(SUBSTITUTE(TEXT(PSPOINTS[[#This Row],[PayScalePointCode]],10)," ","")=TEXT(PSPOINTS[[#This Row],[PayScalePointCode]],10),0,1)</f>
        <v>0</v>
      </c>
      <c r="M145" s="57">
        <f ca="1">SUM(PSPOINTS[[#This Row],[Scale Point Issue]:[Space in Code]])</f>
        <v>0</v>
      </c>
      <c r="N145" s="57" t="s">
        <v>1392</v>
      </c>
      <c r="P145" s="12" t="s">
        <v>1395</v>
      </c>
      <c r="Q145" s="57" t="str">
        <f>_xlfn.XLOOKUP(PSPOINTS[[#This Row],[PayScaleCode]],'19_PayScales'!N:N,'19_PayScales'!O:O)</f>
        <v>Lead Practitioner Fringe</v>
      </c>
      <c r="R145" s="12" t="s">
        <v>1524</v>
      </c>
      <c r="S145" s="12" t="s">
        <v>1524</v>
      </c>
      <c r="T145" s="12">
        <v>2</v>
      </c>
      <c r="U145" s="12" t="b">
        <v>0</v>
      </c>
      <c r="V145" s="15" t="b">
        <v>1</v>
      </c>
      <c r="W145" s="164">
        <v>45901</v>
      </c>
      <c r="X145" s="140"/>
      <c r="Y145" s="162">
        <v>54766</v>
      </c>
    </row>
    <row r="146" spans="1:25" x14ac:dyDescent="0.25">
      <c r="A146" s="158" t="str">
        <f>PSPOINTS[[#This Row],[PayScaleCode]]&amp;PSPOINTS[[#This Row],[RateDateFrom]]</f>
        <v>LP_FRI45901</v>
      </c>
      <c r="B146" s="57">
        <f t="shared" si="2"/>
        <v>0</v>
      </c>
      <c r="C146" s="57" t="str">
        <f>PSPOINTS[[#This Row],[PayScaleCode]]&amp;PSPOINTS[[#This Row],[PayScalePointCode]]&amp;PSPOINTS[[#This Row],[RateDateFrom]]</f>
        <v>LP_FRILP0345901</v>
      </c>
      <c r="D146" s="57">
        <f>COUNTIF(PSPOINTS[Pay Scale String Duplicates],PSPOINTS[[#This Row],[Pay Scale String Duplicates]])-1</f>
        <v>0</v>
      </c>
      <c r="E146" s="57">
        <f>IF((MONTH(_xlfn.XLOOKUP(PSPOINTS[[#This Row],[PayScaleCode]],'19_PayScales'!N:N,'19_PayScales'!R:R)))=MONTH(PSPOINTS[[#This Row],[RateDateFrom]]),0,1)</f>
        <v>0</v>
      </c>
      <c r="F146" s="57">
        <f>IF(ISBLANK(PSPOINTS[[#This Row],[RateDateTo]]),0,IF(PSPOINTS[[#This Row],[RateDateFrom]]&lt;PSPOINTS[[#This Row],[RateDateTo]],0,1))</f>
        <v>0</v>
      </c>
      <c r="G146" s="57" cm="1">
        <f t="array" aca="1" ref="G146" ca="1">IF(CELL("format",PSPOINTS[[#This Row],[RateDateFrom]])="D1",0,1)+IF(CELL("format",PSPOINTS[[#This Row],[RateDateTo]])="D1",0,1)</f>
        <v>0</v>
      </c>
      <c r="H146" s="57">
        <f>IF(OR(PSPOINTS[[#This Row],[Hourly]]=TRUE,PSPOINTS[[#This Row],[Hourly]]=FALSE),IF(OR(PSPOINTS[[#This Row],[PayScalePointEnabled]]=TRUE,PSPOINTS[[#This Row],[PayScalePointEnabled]]=FALSE),0,1),1)</f>
        <v>0</v>
      </c>
      <c r="I146" s="57">
        <f>IF(LEN(PSPOINTS[[#This Row],[PayScalePointCode]])&lt;100,0,1)</f>
        <v>0</v>
      </c>
      <c r="J146" s="57">
        <f>IF(LEN(PSPOINTS[[#This Row],[PayScalePointTitle]])&lt;100,0,1)</f>
        <v>0</v>
      </c>
      <c r="K146" s="57">
        <f>(COUNTBLANK(PSPOINTS[[#This Row],[PayScalePointCode]:[RateDateFrom]])+COUNTBLANK(PSPOINTS[[#This Row],[PayScaleRate]]))</f>
        <v>0</v>
      </c>
      <c r="L146" s="120">
        <f>IF(SUBSTITUTE(TEXT(PSPOINTS[[#This Row],[PayScaleCode]],10)," ","")=TEXT(PSPOINTS[[#This Row],[PayScaleCode]],10),0,1)+IF(SUBSTITUTE(TEXT(PSPOINTS[[#This Row],[PayScalePointCode]],10)," ","")=TEXT(PSPOINTS[[#This Row],[PayScalePointCode]],10),0,1)</f>
        <v>0</v>
      </c>
      <c r="M146" s="57">
        <f ca="1">SUM(PSPOINTS[[#This Row],[Scale Point Issue]:[Space in Code]])</f>
        <v>0</v>
      </c>
      <c r="N146" s="57" t="s">
        <v>1392</v>
      </c>
      <c r="P146" s="12" t="s">
        <v>1395</v>
      </c>
      <c r="Q146" s="57" t="str">
        <f>_xlfn.XLOOKUP(PSPOINTS[[#This Row],[PayScaleCode]],'19_PayScales'!N:N,'19_PayScales'!O:O)</f>
        <v>Lead Practitioner Fringe</v>
      </c>
      <c r="R146" s="12" t="s">
        <v>1525</v>
      </c>
      <c r="S146" s="12" t="s">
        <v>1525</v>
      </c>
      <c r="T146" s="12">
        <v>3</v>
      </c>
      <c r="U146" s="12" t="b">
        <v>0</v>
      </c>
      <c r="V146" s="15" t="b">
        <v>1</v>
      </c>
      <c r="W146" s="164">
        <v>45901</v>
      </c>
      <c r="X146" s="140"/>
      <c r="Y146" s="162">
        <v>56096</v>
      </c>
    </row>
    <row r="147" spans="1:25" x14ac:dyDescent="0.25">
      <c r="A147" s="158" t="str">
        <f>PSPOINTS[[#This Row],[PayScaleCode]]&amp;PSPOINTS[[#This Row],[RateDateFrom]]</f>
        <v>LP_FRI45901</v>
      </c>
      <c r="B147" s="57">
        <f t="shared" si="2"/>
        <v>0</v>
      </c>
      <c r="C147" s="57" t="str">
        <f>PSPOINTS[[#This Row],[PayScaleCode]]&amp;PSPOINTS[[#This Row],[PayScalePointCode]]&amp;PSPOINTS[[#This Row],[RateDateFrom]]</f>
        <v>LP_FRILP0445901</v>
      </c>
      <c r="D147" s="57">
        <f>COUNTIF(PSPOINTS[Pay Scale String Duplicates],PSPOINTS[[#This Row],[Pay Scale String Duplicates]])-1</f>
        <v>0</v>
      </c>
      <c r="E147" s="57">
        <f>IF((MONTH(_xlfn.XLOOKUP(PSPOINTS[[#This Row],[PayScaleCode]],'19_PayScales'!N:N,'19_PayScales'!R:R)))=MONTH(PSPOINTS[[#This Row],[RateDateFrom]]),0,1)</f>
        <v>0</v>
      </c>
      <c r="F147" s="57">
        <f>IF(ISBLANK(PSPOINTS[[#This Row],[RateDateTo]]),0,IF(PSPOINTS[[#This Row],[RateDateFrom]]&lt;PSPOINTS[[#This Row],[RateDateTo]],0,1))</f>
        <v>0</v>
      </c>
      <c r="G147" s="57" cm="1">
        <f t="array" aca="1" ref="G147" ca="1">IF(CELL("format",PSPOINTS[[#This Row],[RateDateFrom]])="D1",0,1)+IF(CELL("format",PSPOINTS[[#This Row],[RateDateTo]])="D1",0,1)</f>
        <v>0</v>
      </c>
      <c r="H147" s="57">
        <f>IF(OR(PSPOINTS[[#This Row],[Hourly]]=TRUE,PSPOINTS[[#This Row],[Hourly]]=FALSE),IF(OR(PSPOINTS[[#This Row],[PayScalePointEnabled]]=TRUE,PSPOINTS[[#This Row],[PayScalePointEnabled]]=FALSE),0,1),1)</f>
        <v>0</v>
      </c>
      <c r="I147" s="57">
        <f>IF(LEN(PSPOINTS[[#This Row],[PayScalePointCode]])&lt;100,0,1)</f>
        <v>0</v>
      </c>
      <c r="J147" s="57">
        <f>IF(LEN(PSPOINTS[[#This Row],[PayScalePointTitle]])&lt;100,0,1)</f>
        <v>0</v>
      </c>
      <c r="K147" s="57">
        <f>(COUNTBLANK(PSPOINTS[[#This Row],[PayScalePointCode]:[RateDateFrom]])+COUNTBLANK(PSPOINTS[[#This Row],[PayScaleRate]]))</f>
        <v>0</v>
      </c>
      <c r="L147" s="120">
        <f>IF(SUBSTITUTE(TEXT(PSPOINTS[[#This Row],[PayScaleCode]],10)," ","")=TEXT(PSPOINTS[[#This Row],[PayScaleCode]],10),0,1)+IF(SUBSTITUTE(TEXT(PSPOINTS[[#This Row],[PayScalePointCode]],10)," ","")=TEXT(PSPOINTS[[#This Row],[PayScalePointCode]],10),0,1)</f>
        <v>0</v>
      </c>
      <c r="M147" s="57">
        <f ca="1">SUM(PSPOINTS[[#This Row],[Scale Point Issue]:[Space in Code]])</f>
        <v>0</v>
      </c>
      <c r="N147" s="57" t="s">
        <v>1392</v>
      </c>
      <c r="P147" s="12" t="s">
        <v>1395</v>
      </c>
      <c r="Q147" s="57" t="str">
        <f>_xlfn.XLOOKUP(PSPOINTS[[#This Row],[PayScaleCode]],'19_PayScales'!N:N,'19_PayScales'!O:O)</f>
        <v>Lead Practitioner Fringe</v>
      </c>
      <c r="R147" s="12" t="s">
        <v>1526</v>
      </c>
      <c r="S147" s="12" t="s">
        <v>1526</v>
      </c>
      <c r="T147" s="12">
        <v>4</v>
      </c>
      <c r="U147" s="12" t="b">
        <v>0</v>
      </c>
      <c r="V147" s="15" t="b">
        <v>1</v>
      </c>
      <c r="W147" s="164">
        <v>45901</v>
      </c>
      <c r="X147" s="140"/>
      <c r="Y147" s="162">
        <v>57464</v>
      </c>
    </row>
    <row r="148" spans="1:25" x14ac:dyDescent="0.25">
      <c r="A148" s="158" t="str">
        <f>PSPOINTS[[#This Row],[PayScaleCode]]&amp;PSPOINTS[[#This Row],[RateDateFrom]]</f>
        <v>LP_FRI45901</v>
      </c>
      <c r="B148" s="57">
        <f t="shared" si="2"/>
        <v>0</v>
      </c>
      <c r="C148" s="57" t="str">
        <f>PSPOINTS[[#This Row],[PayScaleCode]]&amp;PSPOINTS[[#This Row],[PayScalePointCode]]&amp;PSPOINTS[[#This Row],[RateDateFrom]]</f>
        <v>LP_FRILP0545901</v>
      </c>
      <c r="D148" s="57">
        <f>COUNTIF(PSPOINTS[Pay Scale String Duplicates],PSPOINTS[[#This Row],[Pay Scale String Duplicates]])-1</f>
        <v>0</v>
      </c>
      <c r="E148" s="57">
        <f>IF((MONTH(_xlfn.XLOOKUP(PSPOINTS[[#This Row],[PayScaleCode]],'19_PayScales'!N:N,'19_PayScales'!R:R)))=MONTH(PSPOINTS[[#This Row],[RateDateFrom]]),0,1)</f>
        <v>0</v>
      </c>
      <c r="F148" s="57">
        <f>IF(ISBLANK(PSPOINTS[[#This Row],[RateDateTo]]),0,IF(PSPOINTS[[#This Row],[RateDateFrom]]&lt;PSPOINTS[[#This Row],[RateDateTo]],0,1))</f>
        <v>0</v>
      </c>
      <c r="G148" s="57" cm="1">
        <f t="array" aca="1" ref="G148" ca="1">IF(CELL("format",PSPOINTS[[#This Row],[RateDateFrom]])="D1",0,1)+IF(CELL("format",PSPOINTS[[#This Row],[RateDateTo]])="D1",0,1)</f>
        <v>0</v>
      </c>
      <c r="H148" s="57">
        <f>IF(OR(PSPOINTS[[#This Row],[Hourly]]=TRUE,PSPOINTS[[#This Row],[Hourly]]=FALSE),IF(OR(PSPOINTS[[#This Row],[PayScalePointEnabled]]=TRUE,PSPOINTS[[#This Row],[PayScalePointEnabled]]=FALSE),0,1),1)</f>
        <v>0</v>
      </c>
      <c r="I148" s="57">
        <f>IF(LEN(PSPOINTS[[#This Row],[PayScalePointCode]])&lt;100,0,1)</f>
        <v>0</v>
      </c>
      <c r="J148" s="57">
        <f>IF(LEN(PSPOINTS[[#This Row],[PayScalePointTitle]])&lt;100,0,1)</f>
        <v>0</v>
      </c>
      <c r="K148" s="57">
        <f>(COUNTBLANK(PSPOINTS[[#This Row],[PayScalePointCode]:[RateDateFrom]])+COUNTBLANK(PSPOINTS[[#This Row],[PayScaleRate]]))</f>
        <v>0</v>
      </c>
      <c r="L148" s="120">
        <f>IF(SUBSTITUTE(TEXT(PSPOINTS[[#This Row],[PayScaleCode]],10)," ","")=TEXT(PSPOINTS[[#This Row],[PayScaleCode]],10),0,1)+IF(SUBSTITUTE(TEXT(PSPOINTS[[#This Row],[PayScalePointCode]],10)," ","")=TEXT(PSPOINTS[[#This Row],[PayScalePointCode]],10),0,1)</f>
        <v>0</v>
      </c>
      <c r="M148" s="57">
        <f ca="1">SUM(PSPOINTS[[#This Row],[Scale Point Issue]:[Space in Code]])</f>
        <v>0</v>
      </c>
      <c r="N148" s="57" t="s">
        <v>1392</v>
      </c>
      <c r="P148" s="12" t="s">
        <v>1395</v>
      </c>
      <c r="Q148" s="57" t="str">
        <f>_xlfn.XLOOKUP(PSPOINTS[[#This Row],[PayScaleCode]],'19_PayScales'!N:N,'19_PayScales'!O:O)</f>
        <v>Lead Practitioner Fringe</v>
      </c>
      <c r="R148" s="12" t="s">
        <v>1527</v>
      </c>
      <c r="S148" s="12" t="s">
        <v>1527</v>
      </c>
      <c r="T148" s="12">
        <v>5</v>
      </c>
      <c r="U148" s="12" t="b">
        <v>0</v>
      </c>
      <c r="V148" s="15" t="b">
        <v>1</v>
      </c>
      <c r="W148" s="164">
        <v>45901</v>
      </c>
      <c r="X148" s="140"/>
      <c r="Y148" s="162">
        <v>58860</v>
      </c>
    </row>
    <row r="149" spans="1:25" x14ac:dyDescent="0.25">
      <c r="A149" s="158" t="str">
        <f>PSPOINTS[[#This Row],[PayScaleCode]]&amp;PSPOINTS[[#This Row],[RateDateFrom]]</f>
        <v>LP_FRI45901</v>
      </c>
      <c r="B149" s="57">
        <f t="shared" si="2"/>
        <v>0</v>
      </c>
      <c r="C149" s="57" t="str">
        <f>PSPOINTS[[#This Row],[PayScaleCode]]&amp;PSPOINTS[[#This Row],[PayScalePointCode]]&amp;PSPOINTS[[#This Row],[RateDateFrom]]</f>
        <v>LP_FRILP0645901</v>
      </c>
      <c r="D149" s="57">
        <f>COUNTIF(PSPOINTS[Pay Scale String Duplicates],PSPOINTS[[#This Row],[Pay Scale String Duplicates]])-1</f>
        <v>0</v>
      </c>
      <c r="E149" s="57">
        <f>IF((MONTH(_xlfn.XLOOKUP(PSPOINTS[[#This Row],[PayScaleCode]],'19_PayScales'!N:N,'19_PayScales'!R:R)))=MONTH(PSPOINTS[[#This Row],[RateDateFrom]]),0,1)</f>
        <v>0</v>
      </c>
      <c r="F149" s="57">
        <f>IF(ISBLANK(PSPOINTS[[#This Row],[RateDateTo]]),0,IF(PSPOINTS[[#This Row],[RateDateFrom]]&lt;PSPOINTS[[#This Row],[RateDateTo]],0,1))</f>
        <v>0</v>
      </c>
      <c r="G149" s="57" cm="1">
        <f t="array" aca="1" ref="G149" ca="1">IF(CELL("format",PSPOINTS[[#This Row],[RateDateFrom]])="D1",0,1)+IF(CELL("format",PSPOINTS[[#This Row],[RateDateTo]])="D1",0,1)</f>
        <v>0</v>
      </c>
      <c r="H149" s="57">
        <f>IF(OR(PSPOINTS[[#This Row],[Hourly]]=TRUE,PSPOINTS[[#This Row],[Hourly]]=FALSE),IF(OR(PSPOINTS[[#This Row],[PayScalePointEnabled]]=TRUE,PSPOINTS[[#This Row],[PayScalePointEnabled]]=FALSE),0,1),1)</f>
        <v>0</v>
      </c>
      <c r="I149" s="57">
        <f>IF(LEN(PSPOINTS[[#This Row],[PayScalePointCode]])&lt;100,0,1)</f>
        <v>0</v>
      </c>
      <c r="J149" s="57">
        <f>IF(LEN(PSPOINTS[[#This Row],[PayScalePointTitle]])&lt;100,0,1)</f>
        <v>0</v>
      </c>
      <c r="K149" s="57">
        <f>(COUNTBLANK(PSPOINTS[[#This Row],[PayScalePointCode]:[RateDateFrom]])+COUNTBLANK(PSPOINTS[[#This Row],[PayScaleRate]]))</f>
        <v>0</v>
      </c>
      <c r="L149" s="120">
        <f>IF(SUBSTITUTE(TEXT(PSPOINTS[[#This Row],[PayScaleCode]],10)," ","")=TEXT(PSPOINTS[[#This Row],[PayScaleCode]],10),0,1)+IF(SUBSTITUTE(TEXT(PSPOINTS[[#This Row],[PayScalePointCode]],10)," ","")=TEXT(PSPOINTS[[#This Row],[PayScalePointCode]],10),0,1)</f>
        <v>0</v>
      </c>
      <c r="M149" s="57">
        <f ca="1">SUM(PSPOINTS[[#This Row],[Scale Point Issue]:[Space in Code]])</f>
        <v>0</v>
      </c>
      <c r="N149" s="57" t="s">
        <v>1392</v>
      </c>
      <c r="P149" s="12" t="s">
        <v>1395</v>
      </c>
      <c r="Q149" s="57" t="str">
        <f>_xlfn.XLOOKUP(PSPOINTS[[#This Row],[PayScaleCode]],'19_PayScales'!N:N,'19_PayScales'!O:O)</f>
        <v>Lead Practitioner Fringe</v>
      </c>
      <c r="R149" s="12" t="s">
        <v>1528</v>
      </c>
      <c r="S149" s="12" t="s">
        <v>1528</v>
      </c>
      <c r="T149" s="12">
        <v>6</v>
      </c>
      <c r="U149" s="12" t="b">
        <v>0</v>
      </c>
      <c r="V149" s="15" t="b">
        <v>1</v>
      </c>
      <c r="W149" s="164">
        <v>45901</v>
      </c>
      <c r="X149" s="140"/>
      <c r="Y149" s="162">
        <v>60299</v>
      </c>
    </row>
    <row r="150" spans="1:25" x14ac:dyDescent="0.25">
      <c r="A150" s="158" t="str">
        <f>PSPOINTS[[#This Row],[PayScaleCode]]&amp;PSPOINTS[[#This Row],[RateDateFrom]]</f>
        <v>LP_FRI45901</v>
      </c>
      <c r="B150" s="57">
        <f t="shared" si="2"/>
        <v>0</v>
      </c>
      <c r="C150" s="57" t="str">
        <f>PSPOINTS[[#This Row],[PayScaleCode]]&amp;PSPOINTS[[#This Row],[PayScalePointCode]]&amp;PSPOINTS[[#This Row],[RateDateFrom]]</f>
        <v>LP_FRILP0745901</v>
      </c>
      <c r="D150" s="57">
        <f>COUNTIF(PSPOINTS[Pay Scale String Duplicates],PSPOINTS[[#This Row],[Pay Scale String Duplicates]])-1</f>
        <v>0</v>
      </c>
      <c r="E150" s="57">
        <f>IF((MONTH(_xlfn.XLOOKUP(PSPOINTS[[#This Row],[PayScaleCode]],'19_PayScales'!N:N,'19_PayScales'!R:R)))=MONTH(PSPOINTS[[#This Row],[RateDateFrom]]),0,1)</f>
        <v>0</v>
      </c>
      <c r="F150" s="57">
        <f>IF(ISBLANK(PSPOINTS[[#This Row],[RateDateTo]]),0,IF(PSPOINTS[[#This Row],[RateDateFrom]]&lt;PSPOINTS[[#This Row],[RateDateTo]],0,1))</f>
        <v>0</v>
      </c>
      <c r="G150" s="57" cm="1">
        <f t="array" aca="1" ref="G150" ca="1">IF(CELL("format",PSPOINTS[[#This Row],[RateDateFrom]])="D1",0,1)+IF(CELL("format",PSPOINTS[[#This Row],[RateDateTo]])="D1",0,1)</f>
        <v>0</v>
      </c>
      <c r="H150" s="57">
        <f>IF(OR(PSPOINTS[[#This Row],[Hourly]]=TRUE,PSPOINTS[[#This Row],[Hourly]]=FALSE),IF(OR(PSPOINTS[[#This Row],[PayScalePointEnabled]]=TRUE,PSPOINTS[[#This Row],[PayScalePointEnabled]]=FALSE),0,1),1)</f>
        <v>0</v>
      </c>
      <c r="I150" s="57">
        <f>IF(LEN(PSPOINTS[[#This Row],[PayScalePointCode]])&lt;100,0,1)</f>
        <v>0</v>
      </c>
      <c r="J150" s="57">
        <f>IF(LEN(PSPOINTS[[#This Row],[PayScalePointTitle]])&lt;100,0,1)</f>
        <v>0</v>
      </c>
      <c r="K150" s="57">
        <f>(COUNTBLANK(PSPOINTS[[#This Row],[PayScalePointCode]:[RateDateFrom]])+COUNTBLANK(PSPOINTS[[#This Row],[PayScaleRate]]))</f>
        <v>0</v>
      </c>
      <c r="L150" s="120">
        <f>IF(SUBSTITUTE(TEXT(PSPOINTS[[#This Row],[PayScaleCode]],10)," ","")=TEXT(PSPOINTS[[#This Row],[PayScaleCode]],10),0,1)+IF(SUBSTITUTE(TEXT(PSPOINTS[[#This Row],[PayScalePointCode]],10)," ","")=TEXT(PSPOINTS[[#This Row],[PayScalePointCode]],10),0,1)</f>
        <v>0</v>
      </c>
      <c r="M150" s="57">
        <f ca="1">SUM(PSPOINTS[[#This Row],[Scale Point Issue]:[Space in Code]])</f>
        <v>0</v>
      </c>
      <c r="N150" s="57" t="s">
        <v>1392</v>
      </c>
      <c r="P150" s="12" t="s">
        <v>1395</v>
      </c>
      <c r="Q150" s="57" t="str">
        <f>_xlfn.XLOOKUP(PSPOINTS[[#This Row],[PayScaleCode]],'19_PayScales'!N:N,'19_PayScales'!O:O)</f>
        <v>Lead Practitioner Fringe</v>
      </c>
      <c r="R150" s="12" t="s">
        <v>1529</v>
      </c>
      <c r="S150" s="12" t="s">
        <v>1529</v>
      </c>
      <c r="T150" s="12">
        <v>7</v>
      </c>
      <c r="U150" s="12" t="b">
        <v>0</v>
      </c>
      <c r="V150" s="15" t="b">
        <v>1</v>
      </c>
      <c r="W150" s="164">
        <v>45901</v>
      </c>
      <c r="X150" s="140"/>
      <c r="Y150" s="162">
        <v>61885</v>
      </c>
    </row>
    <row r="151" spans="1:25" x14ac:dyDescent="0.25">
      <c r="A151" s="158" t="str">
        <f>PSPOINTS[[#This Row],[PayScaleCode]]&amp;PSPOINTS[[#This Row],[RateDateFrom]]</f>
        <v>LP_FRI45901</v>
      </c>
      <c r="B151" s="57">
        <f t="shared" si="2"/>
        <v>0</v>
      </c>
      <c r="C151" s="57" t="str">
        <f>PSPOINTS[[#This Row],[PayScaleCode]]&amp;PSPOINTS[[#This Row],[PayScalePointCode]]&amp;PSPOINTS[[#This Row],[RateDateFrom]]</f>
        <v>LP_FRILP0845901</v>
      </c>
      <c r="D151" s="57">
        <f>COUNTIF(PSPOINTS[Pay Scale String Duplicates],PSPOINTS[[#This Row],[Pay Scale String Duplicates]])-1</f>
        <v>0</v>
      </c>
      <c r="E151" s="57">
        <f>IF((MONTH(_xlfn.XLOOKUP(PSPOINTS[[#This Row],[PayScaleCode]],'19_PayScales'!N:N,'19_PayScales'!R:R)))=MONTH(PSPOINTS[[#This Row],[RateDateFrom]]),0,1)</f>
        <v>0</v>
      </c>
      <c r="F151" s="57">
        <f>IF(ISBLANK(PSPOINTS[[#This Row],[RateDateTo]]),0,IF(PSPOINTS[[#This Row],[RateDateFrom]]&lt;PSPOINTS[[#This Row],[RateDateTo]],0,1))</f>
        <v>0</v>
      </c>
      <c r="G151" s="57" cm="1">
        <f t="array" aca="1" ref="G151" ca="1">IF(CELL("format",PSPOINTS[[#This Row],[RateDateFrom]])="D1",0,1)+IF(CELL("format",PSPOINTS[[#This Row],[RateDateTo]])="D1",0,1)</f>
        <v>0</v>
      </c>
      <c r="H151" s="57">
        <f>IF(OR(PSPOINTS[[#This Row],[Hourly]]=TRUE,PSPOINTS[[#This Row],[Hourly]]=FALSE),IF(OR(PSPOINTS[[#This Row],[PayScalePointEnabled]]=TRUE,PSPOINTS[[#This Row],[PayScalePointEnabled]]=FALSE),0,1),1)</f>
        <v>0</v>
      </c>
      <c r="I151" s="57">
        <f>IF(LEN(PSPOINTS[[#This Row],[PayScalePointCode]])&lt;100,0,1)</f>
        <v>0</v>
      </c>
      <c r="J151" s="57">
        <f>IF(LEN(PSPOINTS[[#This Row],[PayScalePointTitle]])&lt;100,0,1)</f>
        <v>0</v>
      </c>
      <c r="K151" s="57">
        <f>(COUNTBLANK(PSPOINTS[[#This Row],[PayScalePointCode]:[RateDateFrom]])+COUNTBLANK(PSPOINTS[[#This Row],[PayScaleRate]]))</f>
        <v>0</v>
      </c>
      <c r="L151" s="120">
        <f>IF(SUBSTITUTE(TEXT(PSPOINTS[[#This Row],[PayScaleCode]],10)," ","")=TEXT(PSPOINTS[[#This Row],[PayScaleCode]],10),0,1)+IF(SUBSTITUTE(TEXT(PSPOINTS[[#This Row],[PayScalePointCode]],10)," ","")=TEXT(PSPOINTS[[#This Row],[PayScalePointCode]],10),0,1)</f>
        <v>0</v>
      </c>
      <c r="M151" s="57">
        <f ca="1">SUM(PSPOINTS[[#This Row],[Scale Point Issue]:[Space in Code]])</f>
        <v>0</v>
      </c>
      <c r="N151" s="57" t="s">
        <v>1392</v>
      </c>
      <c r="P151" s="12" t="s">
        <v>1395</v>
      </c>
      <c r="Q151" s="57" t="str">
        <f>_xlfn.XLOOKUP(PSPOINTS[[#This Row],[PayScaleCode]],'19_PayScales'!N:N,'19_PayScales'!O:O)</f>
        <v>Lead Practitioner Fringe</v>
      </c>
      <c r="R151" s="12" t="s">
        <v>1530</v>
      </c>
      <c r="S151" s="12" t="s">
        <v>1530</v>
      </c>
      <c r="T151" s="12">
        <v>8</v>
      </c>
      <c r="U151" s="12" t="b">
        <v>0</v>
      </c>
      <c r="V151" s="15" t="b">
        <v>1</v>
      </c>
      <c r="W151" s="164">
        <v>45901</v>
      </c>
      <c r="X151" s="140"/>
      <c r="Y151" s="162">
        <v>63272</v>
      </c>
    </row>
    <row r="152" spans="1:25" x14ac:dyDescent="0.25">
      <c r="A152" s="158" t="str">
        <f>PSPOINTS[[#This Row],[PayScaleCode]]&amp;PSPOINTS[[#This Row],[RateDateFrom]]</f>
        <v>LP_FRI45901</v>
      </c>
      <c r="B152" s="57">
        <f t="shared" si="2"/>
        <v>0</v>
      </c>
      <c r="C152" s="57" t="str">
        <f>PSPOINTS[[#This Row],[PayScaleCode]]&amp;PSPOINTS[[#This Row],[PayScalePointCode]]&amp;PSPOINTS[[#This Row],[RateDateFrom]]</f>
        <v>LP_FRILP0945901</v>
      </c>
      <c r="D152" s="57">
        <f>COUNTIF(PSPOINTS[Pay Scale String Duplicates],PSPOINTS[[#This Row],[Pay Scale String Duplicates]])-1</f>
        <v>0</v>
      </c>
      <c r="E152" s="57">
        <f>IF((MONTH(_xlfn.XLOOKUP(PSPOINTS[[#This Row],[PayScaleCode]],'19_PayScales'!N:N,'19_PayScales'!R:R)))=MONTH(PSPOINTS[[#This Row],[RateDateFrom]]),0,1)</f>
        <v>0</v>
      </c>
      <c r="F152" s="57">
        <f>IF(ISBLANK(PSPOINTS[[#This Row],[RateDateTo]]),0,IF(PSPOINTS[[#This Row],[RateDateFrom]]&lt;PSPOINTS[[#This Row],[RateDateTo]],0,1))</f>
        <v>0</v>
      </c>
      <c r="G152" s="57" cm="1">
        <f t="array" aca="1" ref="G152" ca="1">IF(CELL("format",PSPOINTS[[#This Row],[RateDateFrom]])="D1",0,1)+IF(CELL("format",PSPOINTS[[#This Row],[RateDateTo]])="D1",0,1)</f>
        <v>0</v>
      </c>
      <c r="H152" s="57">
        <f>IF(OR(PSPOINTS[[#This Row],[Hourly]]=TRUE,PSPOINTS[[#This Row],[Hourly]]=FALSE),IF(OR(PSPOINTS[[#This Row],[PayScalePointEnabled]]=TRUE,PSPOINTS[[#This Row],[PayScalePointEnabled]]=FALSE),0,1),1)</f>
        <v>0</v>
      </c>
      <c r="I152" s="57">
        <f>IF(LEN(PSPOINTS[[#This Row],[PayScalePointCode]])&lt;100,0,1)</f>
        <v>0</v>
      </c>
      <c r="J152" s="57">
        <f>IF(LEN(PSPOINTS[[#This Row],[PayScalePointTitle]])&lt;100,0,1)</f>
        <v>0</v>
      </c>
      <c r="K152" s="57">
        <f>(COUNTBLANK(PSPOINTS[[#This Row],[PayScalePointCode]:[RateDateFrom]])+COUNTBLANK(PSPOINTS[[#This Row],[PayScaleRate]]))</f>
        <v>0</v>
      </c>
      <c r="L152" s="120">
        <f>IF(SUBSTITUTE(TEXT(PSPOINTS[[#This Row],[PayScaleCode]],10)," ","")=TEXT(PSPOINTS[[#This Row],[PayScaleCode]],10),0,1)+IF(SUBSTITUTE(TEXT(PSPOINTS[[#This Row],[PayScalePointCode]],10)," ","")=TEXT(PSPOINTS[[#This Row],[PayScalePointCode]],10),0,1)</f>
        <v>0</v>
      </c>
      <c r="M152" s="57">
        <f ca="1">SUM(PSPOINTS[[#This Row],[Scale Point Issue]:[Space in Code]])</f>
        <v>0</v>
      </c>
      <c r="N152" s="57" t="s">
        <v>1392</v>
      </c>
      <c r="P152" s="12" t="s">
        <v>1395</v>
      </c>
      <c r="Q152" s="57" t="str">
        <f>_xlfn.XLOOKUP(PSPOINTS[[#This Row],[PayScaleCode]],'19_PayScales'!N:N,'19_PayScales'!O:O)</f>
        <v>Lead Practitioner Fringe</v>
      </c>
      <c r="R152" s="12" t="s">
        <v>1531</v>
      </c>
      <c r="S152" s="12" t="s">
        <v>1531</v>
      </c>
      <c r="T152" s="12">
        <v>9</v>
      </c>
      <c r="U152" s="12" t="b">
        <v>0</v>
      </c>
      <c r="V152" s="15" t="b">
        <v>1</v>
      </c>
      <c r="W152" s="164">
        <v>45901</v>
      </c>
      <c r="X152" s="140"/>
      <c r="Y152" s="162">
        <v>64820</v>
      </c>
    </row>
    <row r="153" spans="1:25" x14ac:dyDescent="0.25">
      <c r="A153" s="158" t="str">
        <f>PSPOINTS[[#This Row],[PayScaleCode]]&amp;PSPOINTS[[#This Row],[RateDateFrom]]</f>
        <v>LP_FRI45901</v>
      </c>
      <c r="B153" s="57">
        <f t="shared" si="2"/>
        <v>0</v>
      </c>
      <c r="C153" s="57" t="str">
        <f>PSPOINTS[[#This Row],[PayScaleCode]]&amp;PSPOINTS[[#This Row],[PayScalePointCode]]&amp;PSPOINTS[[#This Row],[RateDateFrom]]</f>
        <v>LP_FRILP1045901</v>
      </c>
      <c r="D153" s="57">
        <f>COUNTIF(PSPOINTS[Pay Scale String Duplicates],PSPOINTS[[#This Row],[Pay Scale String Duplicates]])-1</f>
        <v>0</v>
      </c>
      <c r="E153" s="57">
        <f>IF((MONTH(_xlfn.XLOOKUP(PSPOINTS[[#This Row],[PayScaleCode]],'19_PayScales'!N:N,'19_PayScales'!R:R)))=MONTH(PSPOINTS[[#This Row],[RateDateFrom]]),0,1)</f>
        <v>0</v>
      </c>
      <c r="F153" s="57">
        <f>IF(ISBLANK(PSPOINTS[[#This Row],[RateDateTo]]),0,IF(PSPOINTS[[#This Row],[RateDateFrom]]&lt;PSPOINTS[[#This Row],[RateDateTo]],0,1))</f>
        <v>0</v>
      </c>
      <c r="G153" s="57" cm="1">
        <f t="array" aca="1" ref="G153" ca="1">IF(CELL("format",PSPOINTS[[#This Row],[RateDateFrom]])="D1",0,1)+IF(CELL("format",PSPOINTS[[#This Row],[RateDateTo]])="D1",0,1)</f>
        <v>0</v>
      </c>
      <c r="H153" s="57">
        <f>IF(OR(PSPOINTS[[#This Row],[Hourly]]=TRUE,PSPOINTS[[#This Row],[Hourly]]=FALSE),IF(OR(PSPOINTS[[#This Row],[PayScalePointEnabled]]=TRUE,PSPOINTS[[#This Row],[PayScalePointEnabled]]=FALSE),0,1),1)</f>
        <v>0</v>
      </c>
      <c r="I153" s="57">
        <f>IF(LEN(PSPOINTS[[#This Row],[PayScalePointCode]])&lt;100,0,1)</f>
        <v>0</v>
      </c>
      <c r="J153" s="57">
        <f>IF(LEN(PSPOINTS[[#This Row],[PayScalePointTitle]])&lt;100,0,1)</f>
        <v>0</v>
      </c>
      <c r="K153" s="57">
        <f>(COUNTBLANK(PSPOINTS[[#This Row],[PayScalePointCode]:[RateDateFrom]])+COUNTBLANK(PSPOINTS[[#This Row],[PayScaleRate]]))</f>
        <v>0</v>
      </c>
      <c r="L153" s="120">
        <f>IF(SUBSTITUTE(TEXT(PSPOINTS[[#This Row],[PayScaleCode]],10)," ","")=TEXT(PSPOINTS[[#This Row],[PayScaleCode]],10),0,1)+IF(SUBSTITUTE(TEXT(PSPOINTS[[#This Row],[PayScalePointCode]],10)," ","")=TEXT(PSPOINTS[[#This Row],[PayScalePointCode]],10),0,1)</f>
        <v>0</v>
      </c>
      <c r="M153" s="57">
        <f ca="1">SUM(PSPOINTS[[#This Row],[Scale Point Issue]:[Space in Code]])</f>
        <v>0</v>
      </c>
      <c r="N153" s="57" t="s">
        <v>1392</v>
      </c>
      <c r="P153" s="12" t="s">
        <v>1395</v>
      </c>
      <c r="Q153" s="57" t="str">
        <f>_xlfn.XLOOKUP(PSPOINTS[[#This Row],[PayScaleCode]],'19_PayScales'!N:N,'19_PayScales'!O:O)</f>
        <v>Lead Practitioner Fringe</v>
      </c>
      <c r="R153" s="12" t="s">
        <v>1532</v>
      </c>
      <c r="S153" s="12" t="s">
        <v>1532</v>
      </c>
      <c r="T153" s="12">
        <v>10</v>
      </c>
      <c r="U153" s="12" t="b">
        <v>0</v>
      </c>
      <c r="V153" s="15" t="b">
        <v>1</v>
      </c>
      <c r="W153" s="164">
        <v>45901</v>
      </c>
      <c r="X153" s="140"/>
      <c r="Y153" s="162">
        <v>66444</v>
      </c>
    </row>
    <row r="154" spans="1:25" x14ac:dyDescent="0.25">
      <c r="A154" s="158" t="str">
        <f>PSPOINTS[[#This Row],[PayScaleCode]]&amp;PSPOINTS[[#This Row],[RateDateFrom]]</f>
        <v>LP_FRI45901</v>
      </c>
      <c r="B154" s="57">
        <f t="shared" si="2"/>
        <v>0</v>
      </c>
      <c r="C154" s="57" t="str">
        <f>PSPOINTS[[#This Row],[PayScaleCode]]&amp;PSPOINTS[[#This Row],[PayScalePointCode]]&amp;PSPOINTS[[#This Row],[RateDateFrom]]</f>
        <v>LP_FRILP1145901</v>
      </c>
      <c r="D154" s="57">
        <f>COUNTIF(PSPOINTS[Pay Scale String Duplicates],PSPOINTS[[#This Row],[Pay Scale String Duplicates]])-1</f>
        <v>0</v>
      </c>
      <c r="E154" s="57">
        <f>IF((MONTH(_xlfn.XLOOKUP(PSPOINTS[[#This Row],[PayScaleCode]],'19_PayScales'!N:N,'19_PayScales'!R:R)))=MONTH(PSPOINTS[[#This Row],[RateDateFrom]]),0,1)</f>
        <v>0</v>
      </c>
      <c r="F154" s="57">
        <f>IF(ISBLANK(PSPOINTS[[#This Row],[RateDateTo]]),0,IF(PSPOINTS[[#This Row],[RateDateFrom]]&lt;PSPOINTS[[#This Row],[RateDateTo]],0,1))</f>
        <v>0</v>
      </c>
      <c r="G154" s="57" cm="1">
        <f t="array" aca="1" ref="G154" ca="1">IF(CELL("format",PSPOINTS[[#This Row],[RateDateFrom]])="D1",0,1)+IF(CELL("format",PSPOINTS[[#This Row],[RateDateTo]])="D1",0,1)</f>
        <v>0</v>
      </c>
      <c r="H154" s="57">
        <f>IF(OR(PSPOINTS[[#This Row],[Hourly]]=TRUE,PSPOINTS[[#This Row],[Hourly]]=FALSE),IF(OR(PSPOINTS[[#This Row],[PayScalePointEnabled]]=TRUE,PSPOINTS[[#This Row],[PayScalePointEnabled]]=FALSE),0,1),1)</f>
        <v>0</v>
      </c>
      <c r="I154" s="57">
        <f>IF(LEN(PSPOINTS[[#This Row],[PayScalePointCode]])&lt;100,0,1)</f>
        <v>0</v>
      </c>
      <c r="J154" s="57">
        <f>IF(LEN(PSPOINTS[[#This Row],[PayScalePointTitle]])&lt;100,0,1)</f>
        <v>0</v>
      </c>
      <c r="K154" s="57">
        <f>(COUNTBLANK(PSPOINTS[[#This Row],[PayScalePointCode]:[RateDateFrom]])+COUNTBLANK(PSPOINTS[[#This Row],[PayScaleRate]]))</f>
        <v>0</v>
      </c>
      <c r="L154" s="120">
        <f>IF(SUBSTITUTE(TEXT(PSPOINTS[[#This Row],[PayScaleCode]],10)," ","")=TEXT(PSPOINTS[[#This Row],[PayScaleCode]],10),0,1)+IF(SUBSTITUTE(TEXT(PSPOINTS[[#This Row],[PayScalePointCode]],10)," ","")=TEXT(PSPOINTS[[#This Row],[PayScalePointCode]],10),0,1)</f>
        <v>0</v>
      </c>
      <c r="M154" s="57">
        <f ca="1">SUM(PSPOINTS[[#This Row],[Scale Point Issue]:[Space in Code]])</f>
        <v>0</v>
      </c>
      <c r="N154" s="57" t="s">
        <v>1392</v>
      </c>
      <c r="P154" s="12" t="s">
        <v>1395</v>
      </c>
      <c r="Q154" s="57" t="str">
        <f>_xlfn.XLOOKUP(PSPOINTS[[#This Row],[PayScaleCode]],'19_PayScales'!N:N,'19_PayScales'!O:O)</f>
        <v>Lead Practitioner Fringe</v>
      </c>
      <c r="R154" s="12" t="s">
        <v>1533</v>
      </c>
      <c r="S154" s="12" t="s">
        <v>1533</v>
      </c>
      <c r="T154" s="12">
        <v>11</v>
      </c>
      <c r="U154" s="12" t="b">
        <v>0</v>
      </c>
      <c r="V154" s="15" t="b">
        <v>1</v>
      </c>
      <c r="W154" s="164">
        <v>45901</v>
      </c>
      <c r="X154" s="140"/>
      <c r="Y154" s="162">
        <v>68131</v>
      </c>
    </row>
    <row r="155" spans="1:25" x14ac:dyDescent="0.25">
      <c r="A155" s="158" t="str">
        <f>PSPOINTS[[#This Row],[PayScaleCode]]&amp;PSPOINTS[[#This Row],[RateDateFrom]]</f>
        <v>LP_FRI45901</v>
      </c>
      <c r="B155" s="57">
        <f t="shared" si="2"/>
        <v>0</v>
      </c>
      <c r="C155" s="57" t="str">
        <f>PSPOINTS[[#This Row],[PayScaleCode]]&amp;PSPOINTS[[#This Row],[PayScalePointCode]]&amp;PSPOINTS[[#This Row],[RateDateFrom]]</f>
        <v>LP_FRILP1245901</v>
      </c>
      <c r="D155" s="57">
        <f>COUNTIF(PSPOINTS[Pay Scale String Duplicates],PSPOINTS[[#This Row],[Pay Scale String Duplicates]])-1</f>
        <v>0</v>
      </c>
      <c r="E155" s="57">
        <f>IF((MONTH(_xlfn.XLOOKUP(PSPOINTS[[#This Row],[PayScaleCode]],'19_PayScales'!N:N,'19_PayScales'!R:R)))=MONTH(PSPOINTS[[#This Row],[RateDateFrom]]),0,1)</f>
        <v>0</v>
      </c>
      <c r="F155" s="57">
        <f>IF(ISBLANK(PSPOINTS[[#This Row],[RateDateTo]]),0,IF(PSPOINTS[[#This Row],[RateDateFrom]]&lt;PSPOINTS[[#This Row],[RateDateTo]],0,1))</f>
        <v>0</v>
      </c>
      <c r="G155" s="57" cm="1">
        <f t="array" aca="1" ref="G155" ca="1">IF(CELL("format",PSPOINTS[[#This Row],[RateDateFrom]])="D1",0,1)+IF(CELL("format",PSPOINTS[[#This Row],[RateDateTo]])="D1",0,1)</f>
        <v>0</v>
      </c>
      <c r="H155" s="57">
        <f>IF(OR(PSPOINTS[[#This Row],[Hourly]]=TRUE,PSPOINTS[[#This Row],[Hourly]]=FALSE),IF(OR(PSPOINTS[[#This Row],[PayScalePointEnabled]]=TRUE,PSPOINTS[[#This Row],[PayScalePointEnabled]]=FALSE),0,1),1)</f>
        <v>0</v>
      </c>
      <c r="I155" s="57">
        <f>IF(LEN(PSPOINTS[[#This Row],[PayScalePointCode]])&lt;100,0,1)</f>
        <v>0</v>
      </c>
      <c r="J155" s="57">
        <f>IF(LEN(PSPOINTS[[#This Row],[PayScalePointTitle]])&lt;100,0,1)</f>
        <v>0</v>
      </c>
      <c r="K155" s="57">
        <f>(COUNTBLANK(PSPOINTS[[#This Row],[PayScalePointCode]:[RateDateFrom]])+COUNTBLANK(PSPOINTS[[#This Row],[PayScaleRate]]))</f>
        <v>0</v>
      </c>
      <c r="L155" s="120">
        <f>IF(SUBSTITUTE(TEXT(PSPOINTS[[#This Row],[PayScaleCode]],10)," ","")=TEXT(PSPOINTS[[#This Row],[PayScaleCode]],10),0,1)+IF(SUBSTITUTE(TEXT(PSPOINTS[[#This Row],[PayScalePointCode]],10)," ","")=TEXT(PSPOINTS[[#This Row],[PayScalePointCode]],10),0,1)</f>
        <v>0</v>
      </c>
      <c r="M155" s="57">
        <f ca="1">SUM(PSPOINTS[[#This Row],[Scale Point Issue]:[Space in Code]])</f>
        <v>0</v>
      </c>
      <c r="N155" s="57" t="s">
        <v>1392</v>
      </c>
      <c r="P155" s="12" t="s">
        <v>1395</v>
      </c>
      <c r="Q155" s="57" t="str">
        <f>_xlfn.XLOOKUP(PSPOINTS[[#This Row],[PayScaleCode]],'19_PayScales'!N:N,'19_PayScales'!O:O)</f>
        <v>Lead Practitioner Fringe</v>
      </c>
      <c r="R155" s="12" t="s">
        <v>1534</v>
      </c>
      <c r="S155" s="12" t="s">
        <v>1534</v>
      </c>
      <c r="T155" s="12">
        <v>12</v>
      </c>
      <c r="U155" s="12" t="b">
        <v>0</v>
      </c>
      <c r="V155" s="15" t="b">
        <v>1</v>
      </c>
      <c r="W155" s="164">
        <v>45901</v>
      </c>
      <c r="X155" s="140"/>
      <c r="Y155" s="162">
        <v>69674</v>
      </c>
    </row>
    <row r="156" spans="1:25" x14ac:dyDescent="0.25">
      <c r="A156" s="158" t="str">
        <f>PSPOINTS[[#This Row],[PayScaleCode]]&amp;PSPOINTS[[#This Row],[RateDateFrom]]</f>
        <v>LP_FRI45901</v>
      </c>
      <c r="B156" s="57">
        <f t="shared" si="2"/>
        <v>0</v>
      </c>
      <c r="C156" s="57" t="str">
        <f>PSPOINTS[[#This Row],[PayScaleCode]]&amp;PSPOINTS[[#This Row],[PayScalePointCode]]&amp;PSPOINTS[[#This Row],[RateDateFrom]]</f>
        <v>LP_FRILP1345901</v>
      </c>
      <c r="D156" s="57">
        <f>COUNTIF(PSPOINTS[Pay Scale String Duplicates],PSPOINTS[[#This Row],[Pay Scale String Duplicates]])-1</f>
        <v>0</v>
      </c>
      <c r="E156" s="57">
        <f>IF((MONTH(_xlfn.XLOOKUP(PSPOINTS[[#This Row],[PayScaleCode]],'19_PayScales'!N:N,'19_PayScales'!R:R)))=MONTH(PSPOINTS[[#This Row],[RateDateFrom]]),0,1)</f>
        <v>0</v>
      </c>
      <c r="F156" s="57">
        <f>IF(ISBLANK(PSPOINTS[[#This Row],[RateDateTo]]),0,IF(PSPOINTS[[#This Row],[RateDateFrom]]&lt;PSPOINTS[[#This Row],[RateDateTo]],0,1))</f>
        <v>0</v>
      </c>
      <c r="G156" s="57" cm="1">
        <f t="array" aca="1" ref="G156" ca="1">IF(CELL("format",PSPOINTS[[#This Row],[RateDateFrom]])="D1",0,1)+IF(CELL("format",PSPOINTS[[#This Row],[RateDateTo]])="D1",0,1)</f>
        <v>0</v>
      </c>
      <c r="H156" s="57">
        <f>IF(OR(PSPOINTS[[#This Row],[Hourly]]=TRUE,PSPOINTS[[#This Row],[Hourly]]=FALSE),IF(OR(PSPOINTS[[#This Row],[PayScalePointEnabled]]=TRUE,PSPOINTS[[#This Row],[PayScalePointEnabled]]=FALSE),0,1),1)</f>
        <v>0</v>
      </c>
      <c r="I156" s="57">
        <f>IF(LEN(PSPOINTS[[#This Row],[PayScalePointCode]])&lt;100,0,1)</f>
        <v>0</v>
      </c>
      <c r="J156" s="57">
        <f>IF(LEN(PSPOINTS[[#This Row],[PayScalePointTitle]])&lt;100,0,1)</f>
        <v>0</v>
      </c>
      <c r="K156" s="57">
        <f>(COUNTBLANK(PSPOINTS[[#This Row],[PayScalePointCode]:[RateDateFrom]])+COUNTBLANK(PSPOINTS[[#This Row],[PayScaleRate]]))</f>
        <v>0</v>
      </c>
      <c r="L156" s="120">
        <f>IF(SUBSTITUTE(TEXT(PSPOINTS[[#This Row],[PayScaleCode]],10)," ","")=TEXT(PSPOINTS[[#This Row],[PayScaleCode]],10),0,1)+IF(SUBSTITUTE(TEXT(PSPOINTS[[#This Row],[PayScalePointCode]],10)," ","")=TEXT(PSPOINTS[[#This Row],[PayScalePointCode]],10),0,1)</f>
        <v>0</v>
      </c>
      <c r="M156" s="57">
        <f ca="1">SUM(PSPOINTS[[#This Row],[Scale Point Issue]:[Space in Code]])</f>
        <v>0</v>
      </c>
      <c r="N156" s="57" t="s">
        <v>1392</v>
      </c>
      <c r="P156" s="12" t="s">
        <v>1395</v>
      </c>
      <c r="Q156" s="57" t="str">
        <f>_xlfn.XLOOKUP(PSPOINTS[[#This Row],[PayScaleCode]],'19_PayScales'!N:N,'19_PayScales'!O:O)</f>
        <v>Lead Practitioner Fringe</v>
      </c>
      <c r="R156" s="12" t="s">
        <v>1535</v>
      </c>
      <c r="S156" s="12" t="s">
        <v>1535</v>
      </c>
      <c r="T156" s="12">
        <v>13</v>
      </c>
      <c r="U156" s="12" t="b">
        <v>0</v>
      </c>
      <c r="V156" s="15" t="b">
        <v>1</v>
      </c>
      <c r="W156" s="164">
        <v>45901</v>
      </c>
      <c r="X156" s="140"/>
      <c r="Y156" s="162">
        <v>71380</v>
      </c>
    </row>
    <row r="157" spans="1:25" x14ac:dyDescent="0.25">
      <c r="A157" s="158" t="str">
        <f>PSPOINTS[[#This Row],[PayScaleCode]]&amp;PSPOINTS[[#This Row],[RateDateFrom]]</f>
        <v>LP_FRI45901</v>
      </c>
      <c r="B157" s="57">
        <f t="shared" si="2"/>
        <v>0</v>
      </c>
      <c r="C157" s="57" t="str">
        <f>PSPOINTS[[#This Row],[PayScaleCode]]&amp;PSPOINTS[[#This Row],[PayScalePointCode]]&amp;PSPOINTS[[#This Row],[RateDateFrom]]</f>
        <v>LP_FRILP1445901</v>
      </c>
      <c r="D157" s="57">
        <f>COUNTIF(PSPOINTS[Pay Scale String Duplicates],PSPOINTS[[#This Row],[Pay Scale String Duplicates]])-1</f>
        <v>0</v>
      </c>
      <c r="E157" s="57">
        <f>IF((MONTH(_xlfn.XLOOKUP(PSPOINTS[[#This Row],[PayScaleCode]],'19_PayScales'!N:N,'19_PayScales'!R:R)))=MONTH(PSPOINTS[[#This Row],[RateDateFrom]]),0,1)</f>
        <v>0</v>
      </c>
      <c r="F157" s="57">
        <f>IF(ISBLANK(PSPOINTS[[#This Row],[RateDateTo]]),0,IF(PSPOINTS[[#This Row],[RateDateFrom]]&lt;PSPOINTS[[#This Row],[RateDateTo]],0,1))</f>
        <v>0</v>
      </c>
      <c r="G157" s="57" cm="1">
        <f t="array" aca="1" ref="G157" ca="1">IF(CELL("format",PSPOINTS[[#This Row],[RateDateFrom]])="D1",0,1)+IF(CELL("format",PSPOINTS[[#This Row],[RateDateTo]])="D1",0,1)</f>
        <v>0</v>
      </c>
      <c r="H157" s="57">
        <f>IF(OR(PSPOINTS[[#This Row],[Hourly]]=TRUE,PSPOINTS[[#This Row],[Hourly]]=FALSE),IF(OR(PSPOINTS[[#This Row],[PayScalePointEnabled]]=TRUE,PSPOINTS[[#This Row],[PayScalePointEnabled]]=FALSE),0,1),1)</f>
        <v>0</v>
      </c>
      <c r="I157" s="57">
        <f>IF(LEN(PSPOINTS[[#This Row],[PayScalePointCode]])&lt;100,0,1)</f>
        <v>0</v>
      </c>
      <c r="J157" s="57">
        <f>IF(LEN(PSPOINTS[[#This Row],[PayScalePointTitle]])&lt;100,0,1)</f>
        <v>0</v>
      </c>
      <c r="K157" s="57">
        <f>(COUNTBLANK(PSPOINTS[[#This Row],[PayScalePointCode]:[RateDateFrom]])+COUNTBLANK(PSPOINTS[[#This Row],[PayScaleRate]]))</f>
        <v>0</v>
      </c>
      <c r="L157" s="120">
        <f>IF(SUBSTITUTE(TEXT(PSPOINTS[[#This Row],[PayScaleCode]],10)," ","")=TEXT(PSPOINTS[[#This Row],[PayScaleCode]],10),0,1)+IF(SUBSTITUTE(TEXT(PSPOINTS[[#This Row],[PayScalePointCode]],10)," ","")=TEXT(PSPOINTS[[#This Row],[PayScalePointCode]],10),0,1)</f>
        <v>0</v>
      </c>
      <c r="M157" s="57">
        <f ca="1">SUM(PSPOINTS[[#This Row],[Scale Point Issue]:[Space in Code]])</f>
        <v>0</v>
      </c>
      <c r="N157" s="57" t="s">
        <v>1392</v>
      </c>
      <c r="P157" s="12" t="s">
        <v>1395</v>
      </c>
      <c r="Q157" s="57" t="str">
        <f>_xlfn.XLOOKUP(PSPOINTS[[#This Row],[PayScaleCode]],'19_PayScales'!N:N,'19_PayScales'!O:O)</f>
        <v>Lead Practitioner Fringe</v>
      </c>
      <c r="R157" s="12" t="s">
        <v>1536</v>
      </c>
      <c r="S157" s="12" t="s">
        <v>1536</v>
      </c>
      <c r="T157" s="12">
        <v>14</v>
      </c>
      <c r="U157" s="12" t="b">
        <v>0</v>
      </c>
      <c r="V157" s="15" t="b">
        <v>1</v>
      </c>
      <c r="W157" s="164">
        <v>45901</v>
      </c>
      <c r="X157" s="140"/>
      <c r="Y157" s="162">
        <v>73120</v>
      </c>
    </row>
    <row r="158" spans="1:25" x14ac:dyDescent="0.25">
      <c r="A158" s="158" t="str">
        <f>PSPOINTS[[#This Row],[PayScaleCode]]&amp;PSPOINTS[[#This Row],[RateDateFrom]]</f>
        <v>LP_FRI45901</v>
      </c>
      <c r="B158" s="57">
        <f t="shared" si="2"/>
        <v>0</v>
      </c>
      <c r="C158" s="57" t="str">
        <f>PSPOINTS[[#This Row],[PayScaleCode]]&amp;PSPOINTS[[#This Row],[PayScalePointCode]]&amp;PSPOINTS[[#This Row],[RateDateFrom]]</f>
        <v>LP_FRILP1545901</v>
      </c>
      <c r="D158" s="57">
        <f>COUNTIF(PSPOINTS[Pay Scale String Duplicates],PSPOINTS[[#This Row],[Pay Scale String Duplicates]])-1</f>
        <v>0</v>
      </c>
      <c r="E158" s="57">
        <f>IF((MONTH(_xlfn.XLOOKUP(PSPOINTS[[#This Row],[PayScaleCode]],'19_PayScales'!N:N,'19_PayScales'!R:R)))=MONTH(PSPOINTS[[#This Row],[RateDateFrom]]),0,1)</f>
        <v>0</v>
      </c>
      <c r="F158" s="57">
        <f>IF(ISBLANK(PSPOINTS[[#This Row],[RateDateTo]]),0,IF(PSPOINTS[[#This Row],[RateDateFrom]]&lt;PSPOINTS[[#This Row],[RateDateTo]],0,1))</f>
        <v>0</v>
      </c>
      <c r="G158" s="57" cm="1">
        <f t="array" aca="1" ref="G158" ca="1">IF(CELL("format",PSPOINTS[[#This Row],[RateDateFrom]])="D1",0,1)+IF(CELL("format",PSPOINTS[[#This Row],[RateDateTo]])="D1",0,1)</f>
        <v>0</v>
      </c>
      <c r="H158" s="57">
        <f>IF(OR(PSPOINTS[[#This Row],[Hourly]]=TRUE,PSPOINTS[[#This Row],[Hourly]]=FALSE),IF(OR(PSPOINTS[[#This Row],[PayScalePointEnabled]]=TRUE,PSPOINTS[[#This Row],[PayScalePointEnabled]]=FALSE),0,1),1)</f>
        <v>0</v>
      </c>
      <c r="I158" s="57">
        <f>IF(LEN(PSPOINTS[[#This Row],[PayScalePointCode]])&lt;100,0,1)</f>
        <v>0</v>
      </c>
      <c r="J158" s="57">
        <f>IF(LEN(PSPOINTS[[#This Row],[PayScalePointTitle]])&lt;100,0,1)</f>
        <v>0</v>
      </c>
      <c r="K158" s="57">
        <f>(COUNTBLANK(PSPOINTS[[#This Row],[PayScalePointCode]:[RateDateFrom]])+COUNTBLANK(PSPOINTS[[#This Row],[PayScaleRate]]))</f>
        <v>0</v>
      </c>
      <c r="L158" s="120">
        <f>IF(SUBSTITUTE(TEXT(PSPOINTS[[#This Row],[PayScaleCode]],10)," ","")=TEXT(PSPOINTS[[#This Row],[PayScaleCode]],10),0,1)+IF(SUBSTITUTE(TEXT(PSPOINTS[[#This Row],[PayScalePointCode]],10)," ","")=TEXT(PSPOINTS[[#This Row],[PayScalePointCode]],10),0,1)</f>
        <v>0</v>
      </c>
      <c r="M158" s="57">
        <f ca="1">SUM(PSPOINTS[[#This Row],[Scale Point Issue]:[Space in Code]])</f>
        <v>0</v>
      </c>
      <c r="N158" s="57" t="s">
        <v>1392</v>
      </c>
      <c r="P158" s="12" t="s">
        <v>1395</v>
      </c>
      <c r="Q158" s="57" t="str">
        <f>_xlfn.XLOOKUP(PSPOINTS[[#This Row],[PayScaleCode]],'19_PayScales'!N:N,'19_PayScales'!O:O)</f>
        <v>Lead Practitioner Fringe</v>
      </c>
      <c r="R158" s="12" t="s">
        <v>1537</v>
      </c>
      <c r="S158" s="12" t="s">
        <v>1537</v>
      </c>
      <c r="T158" s="12">
        <v>15</v>
      </c>
      <c r="U158" s="12" t="b">
        <v>0</v>
      </c>
      <c r="V158" s="15" t="b">
        <v>1</v>
      </c>
      <c r="W158" s="164">
        <v>45901</v>
      </c>
      <c r="X158" s="140"/>
      <c r="Y158" s="162">
        <v>74898</v>
      </c>
    </row>
    <row r="159" spans="1:25" x14ac:dyDescent="0.25">
      <c r="A159" s="158" t="str">
        <f>PSPOINTS[[#This Row],[PayScaleCode]]&amp;PSPOINTS[[#This Row],[RateDateFrom]]</f>
        <v>LP_FRI45901</v>
      </c>
      <c r="B159" s="57">
        <f t="shared" si="2"/>
        <v>0</v>
      </c>
      <c r="C159" s="57" t="str">
        <f>PSPOINTS[[#This Row],[PayScaleCode]]&amp;PSPOINTS[[#This Row],[PayScalePointCode]]&amp;PSPOINTS[[#This Row],[RateDateFrom]]</f>
        <v>LP_FRILP1645901</v>
      </c>
      <c r="D159" s="57">
        <f>COUNTIF(PSPOINTS[Pay Scale String Duplicates],PSPOINTS[[#This Row],[Pay Scale String Duplicates]])-1</f>
        <v>0</v>
      </c>
      <c r="E159" s="57">
        <f>IF((MONTH(_xlfn.XLOOKUP(PSPOINTS[[#This Row],[PayScaleCode]],'19_PayScales'!N:N,'19_PayScales'!R:R)))=MONTH(PSPOINTS[[#This Row],[RateDateFrom]]),0,1)</f>
        <v>0</v>
      </c>
      <c r="F159" s="57">
        <f>IF(ISBLANK(PSPOINTS[[#This Row],[RateDateTo]]),0,IF(PSPOINTS[[#This Row],[RateDateFrom]]&lt;PSPOINTS[[#This Row],[RateDateTo]],0,1))</f>
        <v>0</v>
      </c>
      <c r="G159" s="57" cm="1">
        <f t="array" aca="1" ref="G159" ca="1">IF(CELL("format",PSPOINTS[[#This Row],[RateDateFrom]])="D1",0,1)+IF(CELL("format",PSPOINTS[[#This Row],[RateDateTo]])="D1",0,1)</f>
        <v>0</v>
      </c>
      <c r="H159" s="57">
        <f>IF(OR(PSPOINTS[[#This Row],[Hourly]]=TRUE,PSPOINTS[[#This Row],[Hourly]]=FALSE),IF(OR(PSPOINTS[[#This Row],[PayScalePointEnabled]]=TRUE,PSPOINTS[[#This Row],[PayScalePointEnabled]]=FALSE),0,1),1)</f>
        <v>0</v>
      </c>
      <c r="I159" s="57">
        <f>IF(LEN(PSPOINTS[[#This Row],[PayScalePointCode]])&lt;100,0,1)</f>
        <v>0</v>
      </c>
      <c r="J159" s="57">
        <f>IF(LEN(PSPOINTS[[#This Row],[PayScalePointTitle]])&lt;100,0,1)</f>
        <v>0</v>
      </c>
      <c r="K159" s="57">
        <f>(COUNTBLANK(PSPOINTS[[#This Row],[PayScalePointCode]:[RateDateFrom]])+COUNTBLANK(PSPOINTS[[#This Row],[PayScaleRate]]))</f>
        <v>0</v>
      </c>
      <c r="L159" s="120">
        <f>IF(SUBSTITUTE(TEXT(PSPOINTS[[#This Row],[PayScaleCode]],10)," ","")=TEXT(PSPOINTS[[#This Row],[PayScaleCode]],10),0,1)+IF(SUBSTITUTE(TEXT(PSPOINTS[[#This Row],[PayScalePointCode]],10)," ","")=TEXT(PSPOINTS[[#This Row],[PayScalePointCode]],10),0,1)</f>
        <v>0</v>
      </c>
      <c r="M159" s="57">
        <f ca="1">SUM(PSPOINTS[[#This Row],[Scale Point Issue]:[Space in Code]])</f>
        <v>0</v>
      </c>
      <c r="N159" s="57" t="s">
        <v>1392</v>
      </c>
      <c r="P159" s="12" t="s">
        <v>1395</v>
      </c>
      <c r="Q159" s="57" t="str">
        <f>_xlfn.XLOOKUP(PSPOINTS[[#This Row],[PayScaleCode]],'19_PayScales'!N:N,'19_PayScales'!O:O)</f>
        <v>Lead Practitioner Fringe</v>
      </c>
      <c r="R159" s="12" t="s">
        <v>1538</v>
      </c>
      <c r="S159" s="12" t="s">
        <v>1538</v>
      </c>
      <c r="T159" s="12">
        <v>16</v>
      </c>
      <c r="U159" s="12" t="b">
        <v>0</v>
      </c>
      <c r="V159" s="15" t="b">
        <v>1</v>
      </c>
      <c r="W159" s="164">
        <v>45901</v>
      </c>
      <c r="X159" s="140"/>
      <c r="Y159" s="162">
        <v>76858</v>
      </c>
    </row>
    <row r="160" spans="1:25" x14ac:dyDescent="0.25">
      <c r="A160" s="158" t="str">
        <f>PSPOINTS[[#This Row],[PayScaleCode]]&amp;PSPOINTS[[#This Row],[RateDateFrom]]</f>
        <v>LP_FRI45901</v>
      </c>
      <c r="B160" s="57">
        <f t="shared" si="2"/>
        <v>0</v>
      </c>
      <c r="C160" s="57" t="str">
        <f>PSPOINTS[[#This Row],[PayScaleCode]]&amp;PSPOINTS[[#This Row],[PayScalePointCode]]&amp;PSPOINTS[[#This Row],[RateDateFrom]]</f>
        <v>LP_FRILP1745901</v>
      </c>
      <c r="D160" s="57">
        <f>COUNTIF(PSPOINTS[Pay Scale String Duplicates],PSPOINTS[[#This Row],[Pay Scale String Duplicates]])-1</f>
        <v>0</v>
      </c>
      <c r="E160" s="57">
        <f>IF((MONTH(_xlfn.XLOOKUP(PSPOINTS[[#This Row],[PayScaleCode]],'19_PayScales'!N:N,'19_PayScales'!R:R)))=MONTH(PSPOINTS[[#This Row],[RateDateFrom]]),0,1)</f>
        <v>0</v>
      </c>
      <c r="F160" s="57">
        <f>IF(ISBLANK(PSPOINTS[[#This Row],[RateDateTo]]),0,IF(PSPOINTS[[#This Row],[RateDateFrom]]&lt;PSPOINTS[[#This Row],[RateDateTo]],0,1))</f>
        <v>0</v>
      </c>
      <c r="G160" s="57" cm="1">
        <f t="array" aca="1" ref="G160" ca="1">IF(CELL("format",PSPOINTS[[#This Row],[RateDateFrom]])="D1",0,1)+IF(CELL("format",PSPOINTS[[#This Row],[RateDateTo]])="D1",0,1)</f>
        <v>0</v>
      </c>
      <c r="H160" s="57">
        <f>IF(OR(PSPOINTS[[#This Row],[Hourly]]=TRUE,PSPOINTS[[#This Row],[Hourly]]=FALSE),IF(OR(PSPOINTS[[#This Row],[PayScalePointEnabled]]=TRUE,PSPOINTS[[#This Row],[PayScalePointEnabled]]=FALSE),0,1),1)</f>
        <v>0</v>
      </c>
      <c r="I160" s="57">
        <f>IF(LEN(PSPOINTS[[#This Row],[PayScalePointCode]])&lt;100,0,1)</f>
        <v>0</v>
      </c>
      <c r="J160" s="57">
        <f>IF(LEN(PSPOINTS[[#This Row],[PayScalePointTitle]])&lt;100,0,1)</f>
        <v>0</v>
      </c>
      <c r="K160" s="57">
        <f>(COUNTBLANK(PSPOINTS[[#This Row],[PayScalePointCode]:[RateDateFrom]])+COUNTBLANK(PSPOINTS[[#This Row],[PayScaleRate]]))</f>
        <v>0</v>
      </c>
      <c r="L160" s="120">
        <f>IF(SUBSTITUTE(TEXT(PSPOINTS[[#This Row],[PayScaleCode]],10)," ","")=TEXT(PSPOINTS[[#This Row],[PayScaleCode]],10),0,1)+IF(SUBSTITUTE(TEXT(PSPOINTS[[#This Row],[PayScalePointCode]],10)," ","")=TEXT(PSPOINTS[[#This Row],[PayScalePointCode]],10),0,1)</f>
        <v>0</v>
      </c>
      <c r="M160" s="57">
        <f ca="1">SUM(PSPOINTS[[#This Row],[Scale Point Issue]:[Space in Code]])</f>
        <v>0</v>
      </c>
      <c r="N160" s="57" t="s">
        <v>1392</v>
      </c>
      <c r="P160" s="12" t="s">
        <v>1395</v>
      </c>
      <c r="Q160" s="57" t="str">
        <f>_xlfn.XLOOKUP(PSPOINTS[[#This Row],[PayScaleCode]],'19_PayScales'!N:N,'19_PayScales'!O:O)</f>
        <v>Lead Practitioner Fringe</v>
      </c>
      <c r="R160" s="12" t="s">
        <v>1539</v>
      </c>
      <c r="S160" s="12" t="s">
        <v>1539</v>
      </c>
      <c r="T160" s="12">
        <v>17</v>
      </c>
      <c r="U160" s="12" t="b">
        <v>0</v>
      </c>
      <c r="V160" s="15" t="b">
        <v>1</v>
      </c>
      <c r="W160" s="164">
        <v>45901</v>
      </c>
      <c r="X160" s="140"/>
      <c r="Y160" s="162">
        <v>78598</v>
      </c>
    </row>
    <row r="161" spans="1:25" x14ac:dyDescent="0.25">
      <c r="A161" s="158" t="str">
        <f>PSPOINTS[[#This Row],[PayScaleCode]]&amp;PSPOINTS[[#This Row],[RateDateFrom]]</f>
        <v>LP_FRI45901</v>
      </c>
      <c r="B161" s="57">
        <f t="shared" si="2"/>
        <v>0</v>
      </c>
      <c r="C161" s="57" t="str">
        <f>PSPOINTS[[#This Row],[PayScaleCode]]&amp;PSPOINTS[[#This Row],[PayScalePointCode]]&amp;PSPOINTS[[#This Row],[RateDateFrom]]</f>
        <v>LP_FRILP1845901</v>
      </c>
      <c r="D161" s="57">
        <f>COUNTIF(PSPOINTS[Pay Scale String Duplicates],PSPOINTS[[#This Row],[Pay Scale String Duplicates]])-1</f>
        <v>0</v>
      </c>
      <c r="E161" s="57">
        <f>IF((MONTH(_xlfn.XLOOKUP(PSPOINTS[[#This Row],[PayScaleCode]],'19_PayScales'!N:N,'19_PayScales'!R:R)))=MONTH(PSPOINTS[[#This Row],[RateDateFrom]]),0,1)</f>
        <v>0</v>
      </c>
      <c r="F161" s="57">
        <f>IF(ISBLANK(PSPOINTS[[#This Row],[RateDateTo]]),0,IF(PSPOINTS[[#This Row],[RateDateFrom]]&lt;PSPOINTS[[#This Row],[RateDateTo]],0,1))</f>
        <v>0</v>
      </c>
      <c r="G161" s="57" cm="1">
        <f t="array" aca="1" ref="G161" ca="1">IF(CELL("format",PSPOINTS[[#This Row],[RateDateFrom]])="D1",0,1)+IF(CELL("format",PSPOINTS[[#This Row],[RateDateTo]])="D1",0,1)</f>
        <v>0</v>
      </c>
      <c r="H161" s="57">
        <f>IF(OR(PSPOINTS[[#This Row],[Hourly]]=TRUE,PSPOINTS[[#This Row],[Hourly]]=FALSE),IF(OR(PSPOINTS[[#This Row],[PayScalePointEnabled]]=TRUE,PSPOINTS[[#This Row],[PayScalePointEnabled]]=FALSE),0,1),1)</f>
        <v>0</v>
      </c>
      <c r="I161" s="57">
        <f>IF(LEN(PSPOINTS[[#This Row],[PayScalePointCode]])&lt;100,0,1)</f>
        <v>0</v>
      </c>
      <c r="J161" s="57">
        <f>IF(LEN(PSPOINTS[[#This Row],[PayScalePointTitle]])&lt;100,0,1)</f>
        <v>0</v>
      </c>
      <c r="K161" s="57">
        <f>(COUNTBLANK(PSPOINTS[[#This Row],[PayScalePointCode]:[RateDateFrom]])+COUNTBLANK(PSPOINTS[[#This Row],[PayScaleRate]]))</f>
        <v>0</v>
      </c>
      <c r="L161" s="120">
        <f>IF(SUBSTITUTE(TEXT(PSPOINTS[[#This Row],[PayScaleCode]],10)," ","")=TEXT(PSPOINTS[[#This Row],[PayScaleCode]],10),0,1)+IF(SUBSTITUTE(TEXT(PSPOINTS[[#This Row],[PayScalePointCode]],10)," ","")=TEXT(PSPOINTS[[#This Row],[PayScalePointCode]],10),0,1)</f>
        <v>0</v>
      </c>
      <c r="M161" s="57">
        <f ca="1">SUM(PSPOINTS[[#This Row],[Scale Point Issue]:[Space in Code]])</f>
        <v>0</v>
      </c>
      <c r="N161" s="57" t="s">
        <v>1392</v>
      </c>
      <c r="P161" s="12" t="s">
        <v>1395</v>
      </c>
      <c r="Q161" s="57" t="str">
        <f>_xlfn.XLOOKUP(PSPOINTS[[#This Row],[PayScaleCode]],'19_PayScales'!N:N,'19_PayScales'!O:O)</f>
        <v>Lead Practitioner Fringe</v>
      </c>
      <c r="R161" s="12" t="s">
        <v>1460</v>
      </c>
      <c r="S161" s="12" t="s">
        <v>1460</v>
      </c>
      <c r="T161" s="12">
        <v>18</v>
      </c>
      <c r="U161" s="12" t="b">
        <v>0</v>
      </c>
      <c r="V161" s="15" t="b">
        <v>1</v>
      </c>
      <c r="W161" s="164">
        <v>45901</v>
      </c>
      <c r="X161" s="140"/>
      <c r="Y161" s="162">
        <v>80528</v>
      </c>
    </row>
    <row r="162" spans="1:25" hidden="1" x14ac:dyDescent="0.25">
      <c r="A162" s="158" t="str">
        <f>PSPOINTS[[#This Row],[PayScaleCode]]&amp;PSPOINTS[[#This Row],[RateDateFrom]]</f>
        <v>UQ_FRI45901</v>
      </c>
      <c r="B162" s="57">
        <f t="shared" si="2"/>
        <v>0</v>
      </c>
      <c r="C162" s="57" t="str">
        <f>PSPOINTS[[#This Row],[PayScaleCode]]&amp;PSPOINTS[[#This Row],[PayScalePointCode]]&amp;PSPOINTS[[#This Row],[RateDateFrom]]</f>
        <v>UQ_FRIUQ145901</v>
      </c>
      <c r="D162" s="57">
        <f>COUNTIF(PSPOINTS[Pay Scale String Duplicates],PSPOINTS[[#This Row],[Pay Scale String Duplicates]])-1</f>
        <v>0</v>
      </c>
      <c r="E162" s="57">
        <f>IF((MONTH(_xlfn.XLOOKUP(PSPOINTS[[#This Row],[PayScaleCode]],'19_PayScales'!N:N,'19_PayScales'!R:R)))=MONTH(PSPOINTS[[#This Row],[RateDateFrom]]),0,1)</f>
        <v>0</v>
      </c>
      <c r="F162" s="57">
        <f>IF(ISBLANK(PSPOINTS[[#This Row],[RateDateTo]]),0,IF(PSPOINTS[[#This Row],[RateDateFrom]]&lt;PSPOINTS[[#This Row],[RateDateTo]],0,1))</f>
        <v>0</v>
      </c>
      <c r="G162" s="57" cm="1">
        <f t="array" aca="1" ref="G162" ca="1">IF(CELL("format",PSPOINTS[[#This Row],[RateDateFrom]])="D1",0,1)+IF(CELL("format",PSPOINTS[[#This Row],[RateDateTo]])="D1",0,1)</f>
        <v>0</v>
      </c>
      <c r="H162" s="57">
        <f>IF(OR(PSPOINTS[[#This Row],[Hourly]]=TRUE,PSPOINTS[[#This Row],[Hourly]]=FALSE),IF(OR(PSPOINTS[[#This Row],[PayScalePointEnabled]]=TRUE,PSPOINTS[[#This Row],[PayScalePointEnabled]]=FALSE),0,1),1)</f>
        <v>0</v>
      </c>
      <c r="I162" s="57">
        <f>IF(LEN(PSPOINTS[[#This Row],[PayScalePointCode]])&lt;100,0,1)</f>
        <v>0</v>
      </c>
      <c r="J162" s="57">
        <f>IF(LEN(PSPOINTS[[#This Row],[PayScalePointTitle]])&lt;100,0,1)</f>
        <v>0</v>
      </c>
      <c r="K162" s="57">
        <f>(COUNTBLANK(PSPOINTS[[#This Row],[PayScalePointCode]:[RateDateFrom]])+COUNTBLANK(PSPOINTS[[#This Row],[PayScaleRate]]))</f>
        <v>0</v>
      </c>
      <c r="L162" s="120">
        <f>IF(SUBSTITUTE(TEXT(PSPOINTS[[#This Row],[PayScaleCode]],10)," ","")=TEXT(PSPOINTS[[#This Row],[PayScaleCode]],10),0,1)+IF(SUBSTITUTE(TEXT(PSPOINTS[[#This Row],[PayScalePointCode]],10)," ","")=TEXT(PSPOINTS[[#This Row],[PayScalePointCode]],10),0,1)</f>
        <v>0</v>
      </c>
      <c r="M162" s="57">
        <f ca="1">SUM(PSPOINTS[[#This Row],[Scale Point Issue]:[Space in Code]])</f>
        <v>0</v>
      </c>
      <c r="N162" s="57" t="s">
        <v>1392</v>
      </c>
      <c r="P162" s="12" t="s">
        <v>1397</v>
      </c>
      <c r="Q162" s="57" t="str">
        <f>_xlfn.XLOOKUP(PSPOINTS[[#This Row],[PayScaleCode]],'19_PayScales'!N:N,'19_PayScales'!O:O)</f>
        <v>Teachers Unqualified Fringe</v>
      </c>
      <c r="R162" s="12" t="s">
        <v>1451</v>
      </c>
      <c r="S162" s="12" t="s">
        <v>1451</v>
      </c>
      <c r="T162" s="12">
        <v>1</v>
      </c>
      <c r="U162" s="12" t="b">
        <v>0</v>
      </c>
      <c r="V162" s="15" t="b">
        <v>1</v>
      </c>
      <c r="W162" s="164">
        <v>45901</v>
      </c>
      <c r="X162" s="140"/>
      <c r="Y162" s="162">
        <v>24066</v>
      </c>
    </row>
    <row r="163" spans="1:25" hidden="1" x14ac:dyDescent="0.25">
      <c r="A163" s="158" t="str">
        <f>PSPOINTS[[#This Row],[PayScaleCode]]&amp;PSPOINTS[[#This Row],[RateDateFrom]]</f>
        <v>UQ_FRI45901</v>
      </c>
      <c r="B163" s="57">
        <f t="shared" si="2"/>
        <v>0</v>
      </c>
      <c r="C163" s="57" t="str">
        <f>PSPOINTS[[#This Row],[PayScaleCode]]&amp;PSPOINTS[[#This Row],[PayScalePointCode]]&amp;PSPOINTS[[#This Row],[RateDateFrom]]</f>
        <v>UQ_FRIUQ245901</v>
      </c>
      <c r="D163" s="57">
        <f>COUNTIF(PSPOINTS[Pay Scale String Duplicates],PSPOINTS[[#This Row],[Pay Scale String Duplicates]])-1</f>
        <v>0</v>
      </c>
      <c r="E163" s="57">
        <f>IF((MONTH(_xlfn.XLOOKUP(PSPOINTS[[#This Row],[PayScaleCode]],'19_PayScales'!N:N,'19_PayScales'!R:R)))=MONTH(PSPOINTS[[#This Row],[RateDateFrom]]),0,1)</f>
        <v>0</v>
      </c>
      <c r="F163" s="57">
        <f>IF(ISBLANK(PSPOINTS[[#This Row],[RateDateTo]]),0,IF(PSPOINTS[[#This Row],[RateDateFrom]]&lt;PSPOINTS[[#This Row],[RateDateTo]],0,1))</f>
        <v>0</v>
      </c>
      <c r="G163" s="57" cm="1">
        <f t="array" aca="1" ref="G163" ca="1">IF(CELL("format",PSPOINTS[[#This Row],[RateDateFrom]])="D1",0,1)+IF(CELL("format",PSPOINTS[[#This Row],[RateDateTo]])="D1",0,1)</f>
        <v>0</v>
      </c>
      <c r="H163" s="57">
        <f>IF(OR(PSPOINTS[[#This Row],[Hourly]]=TRUE,PSPOINTS[[#This Row],[Hourly]]=FALSE),IF(OR(PSPOINTS[[#This Row],[PayScalePointEnabled]]=TRUE,PSPOINTS[[#This Row],[PayScalePointEnabled]]=FALSE),0,1),1)</f>
        <v>0</v>
      </c>
      <c r="I163" s="57">
        <f>IF(LEN(PSPOINTS[[#This Row],[PayScalePointCode]])&lt;100,0,1)</f>
        <v>0</v>
      </c>
      <c r="J163" s="57">
        <f>IF(LEN(PSPOINTS[[#This Row],[PayScalePointTitle]])&lt;100,0,1)</f>
        <v>0</v>
      </c>
      <c r="K163" s="57">
        <f>(COUNTBLANK(PSPOINTS[[#This Row],[PayScalePointCode]:[RateDateFrom]])+COUNTBLANK(PSPOINTS[[#This Row],[PayScaleRate]]))</f>
        <v>0</v>
      </c>
      <c r="L163" s="120">
        <f>IF(SUBSTITUTE(TEXT(PSPOINTS[[#This Row],[PayScaleCode]],10)," ","")=TEXT(PSPOINTS[[#This Row],[PayScaleCode]],10),0,1)+IF(SUBSTITUTE(TEXT(PSPOINTS[[#This Row],[PayScalePointCode]],10)," ","")=TEXT(PSPOINTS[[#This Row],[PayScalePointCode]],10),0,1)</f>
        <v>0</v>
      </c>
      <c r="M163" s="57">
        <f ca="1">SUM(PSPOINTS[[#This Row],[Scale Point Issue]:[Space in Code]])</f>
        <v>0</v>
      </c>
      <c r="N163" s="57" t="s">
        <v>1392</v>
      </c>
      <c r="P163" s="12" t="s">
        <v>1397</v>
      </c>
      <c r="Q163" s="57" t="str">
        <f>_xlfn.XLOOKUP(PSPOINTS[[#This Row],[PayScaleCode]],'19_PayScales'!N:N,'19_PayScales'!O:O)</f>
        <v>Teachers Unqualified Fringe</v>
      </c>
      <c r="R163" s="12" t="s">
        <v>1540</v>
      </c>
      <c r="S163" s="12" t="s">
        <v>1540</v>
      </c>
      <c r="T163" s="12">
        <v>2</v>
      </c>
      <c r="U163" s="12" t="b">
        <v>0</v>
      </c>
      <c r="V163" s="15" t="b">
        <v>1</v>
      </c>
      <c r="W163" s="164">
        <v>45901</v>
      </c>
      <c r="X163" s="140"/>
      <c r="Y163" s="162">
        <v>26656</v>
      </c>
    </row>
    <row r="164" spans="1:25" hidden="1" x14ac:dyDescent="0.25">
      <c r="A164" s="158" t="str">
        <f>PSPOINTS[[#This Row],[PayScaleCode]]&amp;PSPOINTS[[#This Row],[RateDateFrom]]</f>
        <v>UQ_FRI45901</v>
      </c>
      <c r="B164" s="57">
        <f t="shared" si="2"/>
        <v>0</v>
      </c>
      <c r="C164" s="57" t="str">
        <f>PSPOINTS[[#This Row],[PayScaleCode]]&amp;PSPOINTS[[#This Row],[PayScalePointCode]]&amp;PSPOINTS[[#This Row],[RateDateFrom]]</f>
        <v>UQ_FRIUQ345901</v>
      </c>
      <c r="D164" s="57">
        <f>COUNTIF(PSPOINTS[Pay Scale String Duplicates],PSPOINTS[[#This Row],[Pay Scale String Duplicates]])-1</f>
        <v>0</v>
      </c>
      <c r="E164" s="57">
        <f>IF((MONTH(_xlfn.XLOOKUP(PSPOINTS[[#This Row],[PayScaleCode]],'19_PayScales'!N:N,'19_PayScales'!R:R)))=MONTH(PSPOINTS[[#This Row],[RateDateFrom]]),0,1)</f>
        <v>0</v>
      </c>
      <c r="F164" s="57">
        <f>IF(ISBLANK(PSPOINTS[[#This Row],[RateDateTo]]),0,IF(PSPOINTS[[#This Row],[RateDateFrom]]&lt;PSPOINTS[[#This Row],[RateDateTo]],0,1))</f>
        <v>0</v>
      </c>
      <c r="G164" s="57" cm="1">
        <f t="array" aca="1" ref="G164" ca="1">IF(CELL("format",PSPOINTS[[#This Row],[RateDateFrom]])="D1",0,1)+IF(CELL("format",PSPOINTS[[#This Row],[RateDateTo]])="D1",0,1)</f>
        <v>0</v>
      </c>
      <c r="H164" s="57">
        <f>IF(OR(PSPOINTS[[#This Row],[Hourly]]=TRUE,PSPOINTS[[#This Row],[Hourly]]=FALSE),IF(OR(PSPOINTS[[#This Row],[PayScalePointEnabled]]=TRUE,PSPOINTS[[#This Row],[PayScalePointEnabled]]=FALSE),0,1),1)</f>
        <v>0</v>
      </c>
      <c r="I164" s="57">
        <f>IF(LEN(PSPOINTS[[#This Row],[PayScalePointCode]])&lt;100,0,1)</f>
        <v>0</v>
      </c>
      <c r="J164" s="57">
        <f>IF(LEN(PSPOINTS[[#This Row],[PayScalePointTitle]])&lt;100,0,1)</f>
        <v>0</v>
      </c>
      <c r="K164" s="57">
        <f>(COUNTBLANK(PSPOINTS[[#This Row],[PayScalePointCode]:[RateDateFrom]])+COUNTBLANK(PSPOINTS[[#This Row],[PayScaleRate]]))</f>
        <v>0</v>
      </c>
      <c r="L164" s="120">
        <f>IF(SUBSTITUTE(TEXT(PSPOINTS[[#This Row],[PayScaleCode]],10)," ","")=TEXT(PSPOINTS[[#This Row],[PayScaleCode]],10),0,1)+IF(SUBSTITUTE(TEXT(PSPOINTS[[#This Row],[PayScalePointCode]],10)," ","")=TEXT(PSPOINTS[[#This Row],[PayScalePointCode]],10),0,1)</f>
        <v>0</v>
      </c>
      <c r="M164" s="57">
        <f ca="1">SUM(PSPOINTS[[#This Row],[Scale Point Issue]:[Space in Code]])</f>
        <v>0</v>
      </c>
      <c r="N164" s="57" t="s">
        <v>1392</v>
      </c>
      <c r="P164" s="12" t="s">
        <v>1397</v>
      </c>
      <c r="Q164" s="57" t="str">
        <f>_xlfn.XLOOKUP(PSPOINTS[[#This Row],[PayScaleCode]],'19_PayScales'!N:N,'19_PayScales'!O:O)</f>
        <v>Teachers Unqualified Fringe</v>
      </c>
      <c r="R164" s="12" t="s">
        <v>1541</v>
      </c>
      <c r="S164" s="12" t="s">
        <v>1541</v>
      </c>
      <c r="T164" s="12">
        <v>3</v>
      </c>
      <c r="U164" s="12" t="b">
        <v>0</v>
      </c>
      <c r="V164" s="15" t="b">
        <v>1</v>
      </c>
      <c r="W164" s="164">
        <v>45901</v>
      </c>
      <c r="X164" s="140"/>
      <c r="Y164" s="162">
        <v>29248</v>
      </c>
    </row>
    <row r="165" spans="1:25" hidden="1" x14ac:dyDescent="0.25">
      <c r="A165" s="158" t="str">
        <f>PSPOINTS[[#This Row],[PayScaleCode]]&amp;PSPOINTS[[#This Row],[RateDateFrom]]</f>
        <v>UQ_FRI45901</v>
      </c>
      <c r="B165" s="57">
        <f t="shared" si="2"/>
        <v>0</v>
      </c>
      <c r="C165" s="57" t="str">
        <f>PSPOINTS[[#This Row],[PayScaleCode]]&amp;PSPOINTS[[#This Row],[PayScalePointCode]]&amp;PSPOINTS[[#This Row],[RateDateFrom]]</f>
        <v>UQ_FRIUQ445901</v>
      </c>
      <c r="D165" s="57">
        <f>COUNTIF(PSPOINTS[Pay Scale String Duplicates],PSPOINTS[[#This Row],[Pay Scale String Duplicates]])-1</f>
        <v>0</v>
      </c>
      <c r="E165" s="57">
        <f>IF((MONTH(_xlfn.XLOOKUP(PSPOINTS[[#This Row],[PayScaleCode]],'19_PayScales'!N:N,'19_PayScales'!R:R)))=MONTH(PSPOINTS[[#This Row],[RateDateFrom]]),0,1)</f>
        <v>0</v>
      </c>
      <c r="F165" s="57">
        <f>IF(ISBLANK(PSPOINTS[[#This Row],[RateDateTo]]),0,IF(PSPOINTS[[#This Row],[RateDateFrom]]&lt;PSPOINTS[[#This Row],[RateDateTo]],0,1))</f>
        <v>0</v>
      </c>
      <c r="G165" s="57" cm="1">
        <f t="array" aca="1" ref="G165" ca="1">IF(CELL("format",PSPOINTS[[#This Row],[RateDateFrom]])="D1",0,1)+IF(CELL("format",PSPOINTS[[#This Row],[RateDateTo]])="D1",0,1)</f>
        <v>0</v>
      </c>
      <c r="H165" s="57">
        <f>IF(OR(PSPOINTS[[#This Row],[Hourly]]=TRUE,PSPOINTS[[#This Row],[Hourly]]=FALSE),IF(OR(PSPOINTS[[#This Row],[PayScalePointEnabled]]=TRUE,PSPOINTS[[#This Row],[PayScalePointEnabled]]=FALSE),0,1),1)</f>
        <v>0</v>
      </c>
      <c r="I165" s="57">
        <f>IF(LEN(PSPOINTS[[#This Row],[PayScalePointCode]])&lt;100,0,1)</f>
        <v>0</v>
      </c>
      <c r="J165" s="57">
        <f>IF(LEN(PSPOINTS[[#This Row],[PayScalePointTitle]])&lt;100,0,1)</f>
        <v>0</v>
      </c>
      <c r="K165" s="57">
        <f>(COUNTBLANK(PSPOINTS[[#This Row],[PayScalePointCode]:[RateDateFrom]])+COUNTBLANK(PSPOINTS[[#This Row],[PayScaleRate]]))</f>
        <v>0</v>
      </c>
      <c r="L165" s="120">
        <f>IF(SUBSTITUTE(TEXT(PSPOINTS[[#This Row],[PayScaleCode]],10)," ","")=TEXT(PSPOINTS[[#This Row],[PayScaleCode]],10),0,1)+IF(SUBSTITUTE(TEXT(PSPOINTS[[#This Row],[PayScalePointCode]],10)," ","")=TEXT(PSPOINTS[[#This Row],[PayScalePointCode]],10),0,1)</f>
        <v>0</v>
      </c>
      <c r="M165" s="57">
        <f ca="1">SUM(PSPOINTS[[#This Row],[Scale Point Issue]:[Space in Code]])</f>
        <v>0</v>
      </c>
      <c r="N165" s="57" t="s">
        <v>1392</v>
      </c>
      <c r="P165" s="12" t="s">
        <v>1397</v>
      </c>
      <c r="Q165" s="57" t="str">
        <f>_xlfn.XLOOKUP(PSPOINTS[[#This Row],[PayScaleCode]],'19_PayScales'!N:N,'19_PayScales'!O:O)</f>
        <v>Teachers Unqualified Fringe</v>
      </c>
      <c r="R165" s="12" t="s">
        <v>1542</v>
      </c>
      <c r="S165" s="12" t="s">
        <v>1542</v>
      </c>
      <c r="T165" s="12">
        <v>4</v>
      </c>
      <c r="U165" s="12" t="b">
        <v>0</v>
      </c>
      <c r="V165" s="15" t="b">
        <v>1</v>
      </c>
      <c r="W165" s="164">
        <v>45901</v>
      </c>
      <c r="X165" s="140"/>
      <c r="Y165" s="162">
        <v>31532</v>
      </c>
    </row>
    <row r="166" spans="1:25" hidden="1" x14ac:dyDescent="0.25">
      <c r="A166" s="158" t="str">
        <f>PSPOINTS[[#This Row],[PayScaleCode]]&amp;PSPOINTS[[#This Row],[RateDateFrom]]</f>
        <v>UQ_FRI45901</v>
      </c>
      <c r="B166" s="57">
        <f t="shared" si="2"/>
        <v>0</v>
      </c>
      <c r="C166" s="57" t="str">
        <f>PSPOINTS[[#This Row],[PayScaleCode]]&amp;PSPOINTS[[#This Row],[PayScalePointCode]]&amp;PSPOINTS[[#This Row],[RateDateFrom]]</f>
        <v>UQ_FRIUQ545901</v>
      </c>
      <c r="D166" s="57">
        <f>COUNTIF(PSPOINTS[Pay Scale String Duplicates],PSPOINTS[[#This Row],[Pay Scale String Duplicates]])-1</f>
        <v>0</v>
      </c>
      <c r="E166" s="57">
        <f>IF((MONTH(_xlfn.XLOOKUP(PSPOINTS[[#This Row],[PayScaleCode]],'19_PayScales'!N:N,'19_PayScales'!R:R)))=MONTH(PSPOINTS[[#This Row],[RateDateFrom]]),0,1)</f>
        <v>0</v>
      </c>
      <c r="F166" s="57">
        <f>IF(ISBLANK(PSPOINTS[[#This Row],[RateDateTo]]),0,IF(PSPOINTS[[#This Row],[RateDateFrom]]&lt;PSPOINTS[[#This Row],[RateDateTo]],0,1))</f>
        <v>0</v>
      </c>
      <c r="G166" s="57" cm="1">
        <f t="array" aca="1" ref="G166" ca="1">IF(CELL("format",PSPOINTS[[#This Row],[RateDateFrom]])="D1",0,1)+IF(CELL("format",PSPOINTS[[#This Row],[RateDateTo]])="D1",0,1)</f>
        <v>0</v>
      </c>
      <c r="H166" s="57">
        <f>IF(OR(PSPOINTS[[#This Row],[Hourly]]=TRUE,PSPOINTS[[#This Row],[Hourly]]=FALSE),IF(OR(PSPOINTS[[#This Row],[PayScalePointEnabled]]=TRUE,PSPOINTS[[#This Row],[PayScalePointEnabled]]=FALSE),0,1),1)</f>
        <v>0</v>
      </c>
      <c r="I166" s="57">
        <f>IF(LEN(PSPOINTS[[#This Row],[PayScalePointCode]])&lt;100,0,1)</f>
        <v>0</v>
      </c>
      <c r="J166" s="57">
        <f>IF(LEN(PSPOINTS[[#This Row],[PayScalePointTitle]])&lt;100,0,1)</f>
        <v>0</v>
      </c>
      <c r="K166" s="57">
        <f>(COUNTBLANK(PSPOINTS[[#This Row],[PayScalePointCode]:[RateDateFrom]])+COUNTBLANK(PSPOINTS[[#This Row],[PayScaleRate]]))</f>
        <v>0</v>
      </c>
      <c r="L166" s="120">
        <f>IF(SUBSTITUTE(TEXT(PSPOINTS[[#This Row],[PayScaleCode]],10)," ","")=TEXT(PSPOINTS[[#This Row],[PayScaleCode]],10),0,1)+IF(SUBSTITUTE(TEXT(PSPOINTS[[#This Row],[PayScalePointCode]],10)," ","")=TEXT(PSPOINTS[[#This Row],[PayScalePointCode]],10),0,1)</f>
        <v>0</v>
      </c>
      <c r="M166" s="57">
        <f ca="1">SUM(PSPOINTS[[#This Row],[Scale Point Issue]:[Space in Code]])</f>
        <v>0</v>
      </c>
      <c r="N166" s="57" t="s">
        <v>1392</v>
      </c>
      <c r="P166" s="12" t="s">
        <v>1397</v>
      </c>
      <c r="Q166" s="57" t="str">
        <f>_xlfn.XLOOKUP(PSPOINTS[[#This Row],[PayScaleCode]],'19_PayScales'!N:N,'19_PayScales'!O:O)</f>
        <v>Teachers Unqualified Fringe</v>
      </c>
      <c r="R166" s="12" t="s">
        <v>1543</v>
      </c>
      <c r="S166" s="12" t="s">
        <v>1543</v>
      </c>
      <c r="T166" s="12">
        <v>5</v>
      </c>
      <c r="U166" s="12" t="b">
        <v>0</v>
      </c>
      <c r="V166" s="15" t="b">
        <v>1</v>
      </c>
      <c r="W166" s="164">
        <v>45901</v>
      </c>
      <c r="X166" s="140"/>
      <c r="Y166" s="162">
        <v>34126</v>
      </c>
    </row>
    <row r="167" spans="1:25" hidden="1" x14ac:dyDescent="0.25">
      <c r="A167" s="158" t="str">
        <f>PSPOINTS[[#This Row],[PayScaleCode]]&amp;PSPOINTS[[#This Row],[RateDateFrom]]</f>
        <v>UQ_FRI45901</v>
      </c>
      <c r="B167" s="57">
        <f t="shared" si="2"/>
        <v>0</v>
      </c>
      <c r="C167" s="57" t="str">
        <f>PSPOINTS[[#This Row],[PayScaleCode]]&amp;PSPOINTS[[#This Row],[PayScalePointCode]]&amp;PSPOINTS[[#This Row],[RateDateFrom]]</f>
        <v>UQ_FRIUQ645901</v>
      </c>
      <c r="D167" s="57">
        <f>COUNTIF(PSPOINTS[Pay Scale String Duplicates],PSPOINTS[[#This Row],[Pay Scale String Duplicates]])-1</f>
        <v>0</v>
      </c>
      <c r="E167" s="57">
        <f>IF((MONTH(_xlfn.XLOOKUP(PSPOINTS[[#This Row],[PayScaleCode]],'19_PayScales'!N:N,'19_PayScales'!R:R)))=MONTH(PSPOINTS[[#This Row],[RateDateFrom]]),0,1)</f>
        <v>0</v>
      </c>
      <c r="F167" s="57">
        <f>IF(ISBLANK(PSPOINTS[[#This Row],[RateDateTo]]),0,IF(PSPOINTS[[#This Row],[RateDateFrom]]&lt;PSPOINTS[[#This Row],[RateDateTo]],0,1))</f>
        <v>0</v>
      </c>
      <c r="G167" s="57" cm="1">
        <f t="array" aca="1" ref="G167" ca="1">IF(CELL("format",PSPOINTS[[#This Row],[RateDateFrom]])="D1",0,1)+IF(CELL("format",PSPOINTS[[#This Row],[RateDateTo]])="D1",0,1)</f>
        <v>0</v>
      </c>
      <c r="H167" s="57">
        <f>IF(OR(PSPOINTS[[#This Row],[Hourly]]=TRUE,PSPOINTS[[#This Row],[Hourly]]=FALSE),IF(OR(PSPOINTS[[#This Row],[PayScalePointEnabled]]=TRUE,PSPOINTS[[#This Row],[PayScalePointEnabled]]=FALSE),0,1),1)</f>
        <v>0</v>
      </c>
      <c r="I167" s="57">
        <f>IF(LEN(PSPOINTS[[#This Row],[PayScalePointCode]])&lt;100,0,1)</f>
        <v>0</v>
      </c>
      <c r="J167" s="57">
        <f>IF(LEN(PSPOINTS[[#This Row],[PayScalePointTitle]])&lt;100,0,1)</f>
        <v>0</v>
      </c>
      <c r="K167" s="57">
        <f>(COUNTBLANK(PSPOINTS[[#This Row],[PayScalePointCode]:[RateDateFrom]])+COUNTBLANK(PSPOINTS[[#This Row],[PayScaleRate]]))</f>
        <v>0</v>
      </c>
      <c r="L167" s="120">
        <f>IF(SUBSTITUTE(TEXT(PSPOINTS[[#This Row],[PayScaleCode]],10)," ","")=TEXT(PSPOINTS[[#This Row],[PayScaleCode]],10),0,1)+IF(SUBSTITUTE(TEXT(PSPOINTS[[#This Row],[PayScalePointCode]],10)," ","")=TEXT(PSPOINTS[[#This Row],[PayScalePointCode]],10),0,1)</f>
        <v>0</v>
      </c>
      <c r="M167" s="57">
        <f ca="1">SUM(PSPOINTS[[#This Row],[Scale Point Issue]:[Space in Code]])</f>
        <v>0</v>
      </c>
      <c r="N167" s="57" t="s">
        <v>1392</v>
      </c>
      <c r="P167" s="12" t="s">
        <v>1397</v>
      </c>
      <c r="Q167" s="57" t="str">
        <f>_xlfn.XLOOKUP(PSPOINTS[[#This Row],[PayScaleCode]],'19_PayScales'!N:N,'19_PayScales'!O:O)</f>
        <v>Teachers Unqualified Fringe</v>
      </c>
      <c r="R167" s="12" t="s">
        <v>1452</v>
      </c>
      <c r="S167" s="12" t="s">
        <v>1452</v>
      </c>
      <c r="T167" s="12">
        <v>6</v>
      </c>
      <c r="U167" s="12" t="b">
        <v>0</v>
      </c>
      <c r="V167" s="15" t="b">
        <v>1</v>
      </c>
      <c r="W167" s="164">
        <v>45901</v>
      </c>
      <c r="X167" s="140"/>
      <c r="Y167" s="162">
        <v>36718</v>
      </c>
    </row>
    <row r="168" spans="1:25" hidden="1" x14ac:dyDescent="0.25">
      <c r="A168" s="158" t="str">
        <f>PSPOINTS[[#This Row],[PayScaleCode]]&amp;PSPOINTS[[#This Row],[RateDateFrom]]</f>
        <v>LS_FRI45901</v>
      </c>
      <c r="B168" s="57">
        <f t="shared" si="2"/>
        <v>0</v>
      </c>
      <c r="C168" s="57" t="str">
        <f>PSPOINTS[[#This Row],[PayScaleCode]]&amp;PSPOINTS[[#This Row],[PayScalePointCode]]&amp;PSPOINTS[[#This Row],[RateDateFrom]]</f>
        <v>LS_FRIL0145901</v>
      </c>
      <c r="D168" s="57">
        <f>COUNTIF(PSPOINTS[Pay Scale String Duplicates],PSPOINTS[[#This Row],[Pay Scale String Duplicates]])-1</f>
        <v>0</v>
      </c>
      <c r="E168" s="57">
        <f>IF((MONTH(_xlfn.XLOOKUP(PSPOINTS[[#This Row],[PayScaleCode]],'19_PayScales'!N:N,'19_PayScales'!R:R)))=MONTH(PSPOINTS[[#This Row],[RateDateFrom]]),0,1)</f>
        <v>0</v>
      </c>
      <c r="F168" s="57">
        <f>IF(ISBLANK(PSPOINTS[[#This Row],[RateDateTo]]),0,IF(PSPOINTS[[#This Row],[RateDateFrom]]&lt;PSPOINTS[[#This Row],[RateDateTo]],0,1))</f>
        <v>0</v>
      </c>
      <c r="G168" s="57" cm="1">
        <f t="array" aca="1" ref="G168" ca="1">IF(CELL("format",PSPOINTS[[#This Row],[RateDateFrom]])="D1",0,1)+IF(CELL("format",PSPOINTS[[#This Row],[RateDateTo]])="D1",0,1)</f>
        <v>0</v>
      </c>
      <c r="H168" s="57">
        <f>IF(OR(PSPOINTS[[#This Row],[Hourly]]=TRUE,PSPOINTS[[#This Row],[Hourly]]=FALSE),IF(OR(PSPOINTS[[#This Row],[PayScalePointEnabled]]=TRUE,PSPOINTS[[#This Row],[PayScalePointEnabled]]=FALSE),0,1),1)</f>
        <v>0</v>
      </c>
      <c r="I168" s="57">
        <f>IF(LEN(PSPOINTS[[#This Row],[PayScalePointCode]])&lt;100,0,1)</f>
        <v>0</v>
      </c>
      <c r="J168" s="57">
        <f>IF(LEN(PSPOINTS[[#This Row],[PayScalePointTitle]])&lt;100,0,1)</f>
        <v>0</v>
      </c>
      <c r="K168" s="57">
        <f>(COUNTBLANK(PSPOINTS[[#This Row],[PayScalePointCode]:[RateDateFrom]])+COUNTBLANK(PSPOINTS[[#This Row],[PayScaleRate]]))</f>
        <v>0</v>
      </c>
      <c r="L168" s="120">
        <f>IF(SUBSTITUTE(TEXT(PSPOINTS[[#This Row],[PayScaleCode]],10)," ","")=TEXT(PSPOINTS[[#This Row],[PayScaleCode]],10),0,1)+IF(SUBSTITUTE(TEXT(PSPOINTS[[#This Row],[PayScalePointCode]],10)," ","")=TEXT(PSPOINTS[[#This Row],[PayScalePointCode]],10),0,1)</f>
        <v>0</v>
      </c>
      <c r="M168" s="57">
        <f ca="1">SUM(PSPOINTS[[#This Row],[Scale Point Issue]:[Space in Code]])</f>
        <v>0</v>
      </c>
      <c r="N168" s="57" t="s">
        <v>1392</v>
      </c>
      <c r="P168" s="12" t="s">
        <v>1399</v>
      </c>
      <c r="Q168" s="57" t="str">
        <f>_xlfn.XLOOKUP(PSPOINTS[[#This Row],[PayScaleCode]],'19_PayScales'!N:N,'19_PayScales'!O:O)</f>
        <v>Leadership Group Fringe</v>
      </c>
      <c r="R168" s="12" t="s">
        <v>1455</v>
      </c>
      <c r="S168" s="12" t="s">
        <v>1455</v>
      </c>
      <c r="T168" s="12">
        <v>1</v>
      </c>
      <c r="U168" s="12" t="b">
        <v>0</v>
      </c>
      <c r="V168" s="15" t="b">
        <v>1</v>
      </c>
      <c r="W168" s="164">
        <v>45901</v>
      </c>
      <c r="X168" s="140"/>
      <c r="Y168" s="162">
        <v>53198</v>
      </c>
    </row>
    <row r="169" spans="1:25" hidden="1" x14ac:dyDescent="0.25">
      <c r="A169" s="158" t="str">
        <f>PSPOINTS[[#This Row],[PayScaleCode]]&amp;PSPOINTS[[#This Row],[RateDateFrom]]</f>
        <v>LS_FRI45901</v>
      </c>
      <c r="B169" s="57">
        <f t="shared" si="2"/>
        <v>0</v>
      </c>
      <c r="C169" s="57" t="str">
        <f>PSPOINTS[[#This Row],[PayScaleCode]]&amp;PSPOINTS[[#This Row],[PayScalePointCode]]&amp;PSPOINTS[[#This Row],[RateDateFrom]]</f>
        <v>LS_FRIL0245901</v>
      </c>
      <c r="D169" s="57">
        <f>COUNTIF(PSPOINTS[Pay Scale String Duplicates],PSPOINTS[[#This Row],[Pay Scale String Duplicates]])-1</f>
        <v>0</v>
      </c>
      <c r="E169" s="57">
        <f>IF((MONTH(_xlfn.XLOOKUP(PSPOINTS[[#This Row],[PayScaleCode]],'19_PayScales'!N:N,'19_PayScales'!R:R)))=MONTH(PSPOINTS[[#This Row],[RateDateFrom]]),0,1)</f>
        <v>0</v>
      </c>
      <c r="F169" s="57">
        <f>IF(ISBLANK(PSPOINTS[[#This Row],[RateDateTo]]),0,IF(PSPOINTS[[#This Row],[RateDateFrom]]&lt;PSPOINTS[[#This Row],[RateDateTo]],0,1))</f>
        <v>0</v>
      </c>
      <c r="G169" s="57" cm="1">
        <f t="array" aca="1" ref="G169" ca="1">IF(CELL("format",PSPOINTS[[#This Row],[RateDateFrom]])="D1",0,1)+IF(CELL("format",PSPOINTS[[#This Row],[RateDateTo]])="D1",0,1)</f>
        <v>0</v>
      </c>
      <c r="H169" s="57">
        <f>IF(OR(PSPOINTS[[#This Row],[Hourly]]=TRUE,PSPOINTS[[#This Row],[Hourly]]=FALSE),IF(OR(PSPOINTS[[#This Row],[PayScalePointEnabled]]=TRUE,PSPOINTS[[#This Row],[PayScalePointEnabled]]=FALSE),0,1),1)</f>
        <v>0</v>
      </c>
      <c r="I169" s="57">
        <f>IF(LEN(PSPOINTS[[#This Row],[PayScalePointCode]])&lt;100,0,1)</f>
        <v>0</v>
      </c>
      <c r="J169" s="57">
        <f>IF(LEN(PSPOINTS[[#This Row],[PayScalePointTitle]])&lt;100,0,1)</f>
        <v>0</v>
      </c>
      <c r="K169" s="57">
        <f>(COUNTBLANK(PSPOINTS[[#This Row],[PayScalePointCode]:[RateDateFrom]])+COUNTBLANK(PSPOINTS[[#This Row],[PayScaleRate]]))</f>
        <v>0</v>
      </c>
      <c r="L169" s="120">
        <f>IF(SUBSTITUTE(TEXT(PSPOINTS[[#This Row],[PayScaleCode]],10)," ","")=TEXT(PSPOINTS[[#This Row],[PayScaleCode]],10),0,1)+IF(SUBSTITUTE(TEXT(PSPOINTS[[#This Row],[PayScalePointCode]],10)," ","")=TEXT(PSPOINTS[[#This Row],[PayScalePointCode]],10),0,1)</f>
        <v>0</v>
      </c>
      <c r="M169" s="57">
        <f ca="1">SUM(PSPOINTS[[#This Row],[Scale Point Issue]:[Space in Code]])</f>
        <v>0</v>
      </c>
      <c r="N169" s="57" t="s">
        <v>1392</v>
      </c>
      <c r="P169" s="12" t="s">
        <v>1399</v>
      </c>
      <c r="Q169" s="57" t="str">
        <f>_xlfn.XLOOKUP(PSPOINTS[[#This Row],[PayScaleCode]],'19_PayScales'!N:N,'19_PayScales'!O:O)</f>
        <v>Leadership Group Fringe</v>
      </c>
      <c r="R169" s="12" t="s">
        <v>1544</v>
      </c>
      <c r="S169" s="12" t="s">
        <v>1544</v>
      </c>
      <c r="T169" s="12">
        <v>2</v>
      </c>
      <c r="U169" s="12" t="b">
        <v>0</v>
      </c>
      <c r="V169" s="15" t="b">
        <v>1</v>
      </c>
      <c r="W169" s="164">
        <v>45901</v>
      </c>
      <c r="X169" s="140"/>
      <c r="Y169" s="162">
        <v>54496</v>
      </c>
    </row>
    <row r="170" spans="1:25" hidden="1" x14ac:dyDescent="0.25">
      <c r="A170" s="158" t="str">
        <f>PSPOINTS[[#This Row],[PayScaleCode]]&amp;PSPOINTS[[#This Row],[RateDateFrom]]</f>
        <v>LS_FRI45901</v>
      </c>
      <c r="B170" s="57">
        <f t="shared" si="2"/>
        <v>0</v>
      </c>
      <c r="C170" s="57" t="str">
        <f>PSPOINTS[[#This Row],[PayScaleCode]]&amp;PSPOINTS[[#This Row],[PayScalePointCode]]&amp;PSPOINTS[[#This Row],[RateDateFrom]]</f>
        <v>LS_FRIL0345901</v>
      </c>
      <c r="D170" s="57">
        <f>COUNTIF(PSPOINTS[Pay Scale String Duplicates],PSPOINTS[[#This Row],[Pay Scale String Duplicates]])-1</f>
        <v>0</v>
      </c>
      <c r="E170" s="57">
        <f>IF((MONTH(_xlfn.XLOOKUP(PSPOINTS[[#This Row],[PayScaleCode]],'19_PayScales'!N:N,'19_PayScales'!R:R)))=MONTH(PSPOINTS[[#This Row],[RateDateFrom]]),0,1)</f>
        <v>0</v>
      </c>
      <c r="F170" s="57">
        <f>IF(ISBLANK(PSPOINTS[[#This Row],[RateDateTo]]),0,IF(PSPOINTS[[#This Row],[RateDateFrom]]&lt;PSPOINTS[[#This Row],[RateDateTo]],0,1))</f>
        <v>0</v>
      </c>
      <c r="G170" s="57" cm="1">
        <f t="array" aca="1" ref="G170" ca="1">IF(CELL("format",PSPOINTS[[#This Row],[RateDateFrom]])="D1",0,1)+IF(CELL("format",PSPOINTS[[#This Row],[RateDateTo]])="D1",0,1)</f>
        <v>0</v>
      </c>
      <c r="H170" s="57">
        <f>IF(OR(PSPOINTS[[#This Row],[Hourly]]=TRUE,PSPOINTS[[#This Row],[Hourly]]=FALSE),IF(OR(PSPOINTS[[#This Row],[PayScalePointEnabled]]=TRUE,PSPOINTS[[#This Row],[PayScalePointEnabled]]=FALSE),0,1),1)</f>
        <v>0</v>
      </c>
      <c r="I170" s="57">
        <f>IF(LEN(PSPOINTS[[#This Row],[PayScalePointCode]])&lt;100,0,1)</f>
        <v>0</v>
      </c>
      <c r="J170" s="57">
        <f>IF(LEN(PSPOINTS[[#This Row],[PayScalePointTitle]])&lt;100,0,1)</f>
        <v>0</v>
      </c>
      <c r="K170" s="57">
        <f>(COUNTBLANK(PSPOINTS[[#This Row],[PayScalePointCode]:[RateDateFrom]])+COUNTBLANK(PSPOINTS[[#This Row],[PayScaleRate]]))</f>
        <v>0</v>
      </c>
      <c r="L170" s="120">
        <f>IF(SUBSTITUTE(TEXT(PSPOINTS[[#This Row],[PayScaleCode]],10)," ","")=TEXT(PSPOINTS[[#This Row],[PayScaleCode]],10),0,1)+IF(SUBSTITUTE(TEXT(PSPOINTS[[#This Row],[PayScalePointCode]],10)," ","")=TEXT(PSPOINTS[[#This Row],[PayScalePointCode]],10),0,1)</f>
        <v>0</v>
      </c>
      <c r="M170" s="57">
        <f ca="1">SUM(PSPOINTS[[#This Row],[Scale Point Issue]:[Space in Code]])</f>
        <v>0</v>
      </c>
      <c r="N170" s="57" t="s">
        <v>1392</v>
      </c>
      <c r="P170" s="12" t="s">
        <v>1399</v>
      </c>
      <c r="Q170" s="57" t="str">
        <f>_xlfn.XLOOKUP(PSPOINTS[[#This Row],[PayScaleCode]],'19_PayScales'!N:N,'19_PayScales'!O:O)</f>
        <v>Leadership Group Fringe</v>
      </c>
      <c r="R170" s="12" t="s">
        <v>1545</v>
      </c>
      <c r="S170" s="12" t="s">
        <v>1545</v>
      </c>
      <c r="T170" s="12">
        <v>3</v>
      </c>
      <c r="U170" s="12" t="b">
        <v>0</v>
      </c>
      <c r="V170" s="15" t="b">
        <v>1</v>
      </c>
      <c r="W170" s="164">
        <v>45901</v>
      </c>
      <c r="X170" s="140"/>
      <c r="Y170" s="162">
        <v>55822</v>
      </c>
    </row>
    <row r="171" spans="1:25" hidden="1" x14ac:dyDescent="0.25">
      <c r="A171" s="158" t="str">
        <f>PSPOINTS[[#This Row],[PayScaleCode]]&amp;PSPOINTS[[#This Row],[RateDateFrom]]</f>
        <v>LS_FRI45901</v>
      </c>
      <c r="B171" s="57">
        <f t="shared" si="2"/>
        <v>0</v>
      </c>
      <c r="C171" s="57" t="str">
        <f>PSPOINTS[[#This Row],[PayScaleCode]]&amp;PSPOINTS[[#This Row],[PayScalePointCode]]&amp;PSPOINTS[[#This Row],[RateDateFrom]]</f>
        <v>LS_FRIL0445901</v>
      </c>
      <c r="D171" s="57">
        <f>COUNTIF(PSPOINTS[Pay Scale String Duplicates],PSPOINTS[[#This Row],[Pay Scale String Duplicates]])-1</f>
        <v>0</v>
      </c>
      <c r="E171" s="57">
        <f>IF((MONTH(_xlfn.XLOOKUP(PSPOINTS[[#This Row],[PayScaleCode]],'19_PayScales'!N:N,'19_PayScales'!R:R)))=MONTH(PSPOINTS[[#This Row],[RateDateFrom]]),0,1)</f>
        <v>0</v>
      </c>
      <c r="F171" s="57">
        <f>IF(ISBLANK(PSPOINTS[[#This Row],[RateDateTo]]),0,IF(PSPOINTS[[#This Row],[RateDateFrom]]&lt;PSPOINTS[[#This Row],[RateDateTo]],0,1))</f>
        <v>0</v>
      </c>
      <c r="G171" s="57" cm="1">
        <f t="array" aca="1" ref="G171" ca="1">IF(CELL("format",PSPOINTS[[#This Row],[RateDateFrom]])="D1",0,1)+IF(CELL("format",PSPOINTS[[#This Row],[RateDateTo]])="D1",0,1)</f>
        <v>0</v>
      </c>
      <c r="H171" s="57">
        <f>IF(OR(PSPOINTS[[#This Row],[Hourly]]=TRUE,PSPOINTS[[#This Row],[Hourly]]=FALSE),IF(OR(PSPOINTS[[#This Row],[PayScalePointEnabled]]=TRUE,PSPOINTS[[#This Row],[PayScalePointEnabled]]=FALSE),0,1),1)</f>
        <v>0</v>
      </c>
      <c r="I171" s="57">
        <f>IF(LEN(PSPOINTS[[#This Row],[PayScalePointCode]])&lt;100,0,1)</f>
        <v>0</v>
      </c>
      <c r="J171" s="57">
        <f>IF(LEN(PSPOINTS[[#This Row],[PayScalePointTitle]])&lt;100,0,1)</f>
        <v>0</v>
      </c>
      <c r="K171" s="57">
        <f>(COUNTBLANK(PSPOINTS[[#This Row],[PayScalePointCode]:[RateDateFrom]])+COUNTBLANK(PSPOINTS[[#This Row],[PayScaleRate]]))</f>
        <v>0</v>
      </c>
      <c r="L171" s="120">
        <f>IF(SUBSTITUTE(TEXT(PSPOINTS[[#This Row],[PayScaleCode]],10)," ","")=TEXT(PSPOINTS[[#This Row],[PayScaleCode]],10),0,1)+IF(SUBSTITUTE(TEXT(PSPOINTS[[#This Row],[PayScalePointCode]],10)," ","")=TEXT(PSPOINTS[[#This Row],[PayScalePointCode]],10),0,1)</f>
        <v>0</v>
      </c>
      <c r="M171" s="57">
        <f ca="1">SUM(PSPOINTS[[#This Row],[Scale Point Issue]:[Space in Code]])</f>
        <v>0</v>
      </c>
      <c r="N171" s="57" t="s">
        <v>1392</v>
      </c>
      <c r="P171" s="12" t="s">
        <v>1399</v>
      </c>
      <c r="Q171" s="57" t="str">
        <f>_xlfn.XLOOKUP(PSPOINTS[[#This Row],[PayScaleCode]],'19_PayScales'!N:N,'19_PayScales'!O:O)</f>
        <v>Leadership Group Fringe</v>
      </c>
      <c r="R171" s="12" t="s">
        <v>1546</v>
      </c>
      <c r="S171" s="12" t="s">
        <v>1546</v>
      </c>
      <c r="T171" s="12">
        <v>4</v>
      </c>
      <c r="U171" s="12" t="b">
        <v>0</v>
      </c>
      <c r="V171" s="15" t="b">
        <v>1</v>
      </c>
      <c r="W171" s="164">
        <v>45901</v>
      </c>
      <c r="X171" s="140"/>
      <c r="Y171" s="162">
        <v>57183</v>
      </c>
    </row>
    <row r="172" spans="1:25" hidden="1" x14ac:dyDescent="0.25">
      <c r="A172" s="158" t="str">
        <f>PSPOINTS[[#This Row],[PayScaleCode]]&amp;PSPOINTS[[#This Row],[RateDateFrom]]</f>
        <v>LS_FRI45901</v>
      </c>
      <c r="B172" s="57">
        <f t="shared" si="2"/>
        <v>0</v>
      </c>
      <c r="C172" s="57" t="str">
        <f>PSPOINTS[[#This Row],[PayScaleCode]]&amp;PSPOINTS[[#This Row],[PayScalePointCode]]&amp;PSPOINTS[[#This Row],[RateDateFrom]]</f>
        <v>LS_FRIL0545901</v>
      </c>
      <c r="D172" s="57">
        <f>COUNTIF(PSPOINTS[Pay Scale String Duplicates],PSPOINTS[[#This Row],[Pay Scale String Duplicates]])-1</f>
        <v>0</v>
      </c>
      <c r="E172" s="57">
        <f>IF((MONTH(_xlfn.XLOOKUP(PSPOINTS[[#This Row],[PayScaleCode]],'19_PayScales'!N:N,'19_PayScales'!R:R)))=MONTH(PSPOINTS[[#This Row],[RateDateFrom]]),0,1)</f>
        <v>0</v>
      </c>
      <c r="F172" s="57">
        <f>IF(ISBLANK(PSPOINTS[[#This Row],[RateDateTo]]),0,IF(PSPOINTS[[#This Row],[RateDateFrom]]&lt;PSPOINTS[[#This Row],[RateDateTo]],0,1))</f>
        <v>0</v>
      </c>
      <c r="G172" s="57" cm="1">
        <f t="array" aca="1" ref="G172" ca="1">IF(CELL("format",PSPOINTS[[#This Row],[RateDateFrom]])="D1",0,1)+IF(CELL("format",PSPOINTS[[#This Row],[RateDateTo]])="D1",0,1)</f>
        <v>0</v>
      </c>
      <c r="H172" s="57">
        <f>IF(OR(PSPOINTS[[#This Row],[Hourly]]=TRUE,PSPOINTS[[#This Row],[Hourly]]=FALSE),IF(OR(PSPOINTS[[#This Row],[PayScalePointEnabled]]=TRUE,PSPOINTS[[#This Row],[PayScalePointEnabled]]=FALSE),0,1),1)</f>
        <v>0</v>
      </c>
      <c r="I172" s="57">
        <f>IF(LEN(PSPOINTS[[#This Row],[PayScalePointCode]])&lt;100,0,1)</f>
        <v>0</v>
      </c>
      <c r="J172" s="57">
        <f>IF(LEN(PSPOINTS[[#This Row],[PayScalePointTitle]])&lt;100,0,1)</f>
        <v>0</v>
      </c>
      <c r="K172" s="57">
        <f>(COUNTBLANK(PSPOINTS[[#This Row],[PayScalePointCode]:[RateDateFrom]])+COUNTBLANK(PSPOINTS[[#This Row],[PayScaleRate]]))</f>
        <v>0</v>
      </c>
      <c r="L172" s="120">
        <f>IF(SUBSTITUTE(TEXT(PSPOINTS[[#This Row],[PayScaleCode]],10)," ","")=TEXT(PSPOINTS[[#This Row],[PayScaleCode]],10),0,1)+IF(SUBSTITUTE(TEXT(PSPOINTS[[#This Row],[PayScalePointCode]],10)," ","")=TEXT(PSPOINTS[[#This Row],[PayScalePointCode]],10),0,1)</f>
        <v>0</v>
      </c>
      <c r="M172" s="57">
        <f ca="1">SUM(PSPOINTS[[#This Row],[Scale Point Issue]:[Space in Code]])</f>
        <v>0</v>
      </c>
      <c r="N172" s="57" t="s">
        <v>1392</v>
      </c>
      <c r="P172" s="12" t="s">
        <v>1399</v>
      </c>
      <c r="Q172" s="57" t="str">
        <f>_xlfn.XLOOKUP(PSPOINTS[[#This Row],[PayScaleCode]],'19_PayScales'!N:N,'19_PayScales'!O:O)</f>
        <v>Leadership Group Fringe</v>
      </c>
      <c r="R172" s="12" t="s">
        <v>1547</v>
      </c>
      <c r="S172" s="12" t="s">
        <v>1547</v>
      </c>
      <c r="T172" s="12">
        <v>5</v>
      </c>
      <c r="U172" s="12" t="b">
        <v>0</v>
      </c>
      <c r="V172" s="15" t="b">
        <v>1</v>
      </c>
      <c r="W172" s="164">
        <v>45901</v>
      </c>
      <c r="X172" s="140"/>
      <c r="Y172" s="162">
        <v>58573</v>
      </c>
    </row>
    <row r="173" spans="1:25" hidden="1" x14ac:dyDescent="0.25">
      <c r="A173" s="158" t="str">
        <f>PSPOINTS[[#This Row],[PayScaleCode]]&amp;PSPOINTS[[#This Row],[RateDateFrom]]</f>
        <v>LS_FRI45901</v>
      </c>
      <c r="B173" s="57">
        <f t="shared" si="2"/>
        <v>0</v>
      </c>
      <c r="C173" s="57" t="str">
        <f>PSPOINTS[[#This Row],[PayScaleCode]]&amp;PSPOINTS[[#This Row],[PayScalePointCode]]&amp;PSPOINTS[[#This Row],[RateDateFrom]]</f>
        <v>LS_FRIL0645901</v>
      </c>
      <c r="D173" s="57">
        <f>COUNTIF(PSPOINTS[Pay Scale String Duplicates],PSPOINTS[[#This Row],[Pay Scale String Duplicates]])-1</f>
        <v>0</v>
      </c>
      <c r="E173" s="57">
        <f>IF((MONTH(_xlfn.XLOOKUP(PSPOINTS[[#This Row],[PayScaleCode]],'19_PayScales'!N:N,'19_PayScales'!R:R)))=MONTH(PSPOINTS[[#This Row],[RateDateFrom]]),0,1)</f>
        <v>0</v>
      </c>
      <c r="F173" s="57">
        <f>IF(ISBLANK(PSPOINTS[[#This Row],[RateDateTo]]),0,IF(PSPOINTS[[#This Row],[RateDateFrom]]&lt;PSPOINTS[[#This Row],[RateDateTo]],0,1))</f>
        <v>0</v>
      </c>
      <c r="G173" s="57" cm="1">
        <f t="array" aca="1" ref="G173" ca="1">IF(CELL("format",PSPOINTS[[#This Row],[RateDateFrom]])="D1",0,1)+IF(CELL("format",PSPOINTS[[#This Row],[RateDateTo]])="D1",0,1)</f>
        <v>0</v>
      </c>
      <c r="H173" s="57">
        <f>IF(OR(PSPOINTS[[#This Row],[Hourly]]=TRUE,PSPOINTS[[#This Row],[Hourly]]=FALSE),IF(OR(PSPOINTS[[#This Row],[PayScalePointEnabled]]=TRUE,PSPOINTS[[#This Row],[PayScalePointEnabled]]=FALSE),0,1),1)</f>
        <v>0</v>
      </c>
      <c r="I173" s="57">
        <f>IF(LEN(PSPOINTS[[#This Row],[PayScalePointCode]])&lt;100,0,1)</f>
        <v>0</v>
      </c>
      <c r="J173" s="57">
        <f>IF(LEN(PSPOINTS[[#This Row],[PayScalePointTitle]])&lt;100,0,1)</f>
        <v>0</v>
      </c>
      <c r="K173" s="57">
        <f>(COUNTBLANK(PSPOINTS[[#This Row],[PayScalePointCode]:[RateDateFrom]])+COUNTBLANK(PSPOINTS[[#This Row],[PayScaleRate]]))</f>
        <v>0</v>
      </c>
      <c r="L173" s="120">
        <f>IF(SUBSTITUTE(TEXT(PSPOINTS[[#This Row],[PayScaleCode]],10)," ","")=TEXT(PSPOINTS[[#This Row],[PayScaleCode]],10),0,1)+IF(SUBSTITUTE(TEXT(PSPOINTS[[#This Row],[PayScalePointCode]],10)," ","")=TEXT(PSPOINTS[[#This Row],[PayScalePointCode]],10),0,1)</f>
        <v>0</v>
      </c>
      <c r="M173" s="57">
        <f ca="1">SUM(PSPOINTS[[#This Row],[Scale Point Issue]:[Space in Code]])</f>
        <v>0</v>
      </c>
      <c r="N173" s="57" t="s">
        <v>1392</v>
      </c>
      <c r="P173" s="12" t="s">
        <v>1399</v>
      </c>
      <c r="Q173" s="57" t="str">
        <f>_xlfn.XLOOKUP(PSPOINTS[[#This Row],[PayScaleCode]],'19_PayScales'!N:N,'19_PayScales'!O:O)</f>
        <v>Leadership Group Fringe</v>
      </c>
      <c r="R173" s="12" t="s">
        <v>1548</v>
      </c>
      <c r="S173" s="12" t="s">
        <v>1548</v>
      </c>
      <c r="T173" s="12">
        <v>6</v>
      </c>
      <c r="U173" s="12" t="b">
        <v>0</v>
      </c>
      <c r="V173" s="15" t="b">
        <v>1</v>
      </c>
      <c r="W173" s="164">
        <v>45901</v>
      </c>
      <c r="X173" s="140"/>
      <c r="Y173" s="162">
        <v>60001</v>
      </c>
    </row>
    <row r="174" spans="1:25" hidden="1" x14ac:dyDescent="0.25">
      <c r="A174" s="158" t="str">
        <f>PSPOINTS[[#This Row],[PayScaleCode]]&amp;PSPOINTS[[#This Row],[RateDateFrom]]</f>
        <v>LS_FRI45901</v>
      </c>
      <c r="B174" s="57">
        <f t="shared" si="2"/>
        <v>0</v>
      </c>
      <c r="C174" s="57" t="str">
        <f>PSPOINTS[[#This Row],[PayScaleCode]]&amp;PSPOINTS[[#This Row],[PayScalePointCode]]&amp;PSPOINTS[[#This Row],[RateDateFrom]]</f>
        <v>LS_FRIL0745901</v>
      </c>
      <c r="D174" s="57">
        <f>COUNTIF(PSPOINTS[Pay Scale String Duplicates],PSPOINTS[[#This Row],[Pay Scale String Duplicates]])-1</f>
        <v>0</v>
      </c>
      <c r="E174" s="57">
        <f>IF((MONTH(_xlfn.XLOOKUP(PSPOINTS[[#This Row],[PayScaleCode]],'19_PayScales'!N:N,'19_PayScales'!R:R)))=MONTH(PSPOINTS[[#This Row],[RateDateFrom]]),0,1)</f>
        <v>0</v>
      </c>
      <c r="F174" s="57">
        <f>IF(ISBLANK(PSPOINTS[[#This Row],[RateDateTo]]),0,IF(PSPOINTS[[#This Row],[RateDateFrom]]&lt;PSPOINTS[[#This Row],[RateDateTo]],0,1))</f>
        <v>0</v>
      </c>
      <c r="G174" s="57" cm="1">
        <f t="array" aca="1" ref="G174" ca="1">IF(CELL("format",PSPOINTS[[#This Row],[RateDateFrom]])="D1",0,1)+IF(CELL("format",PSPOINTS[[#This Row],[RateDateTo]])="D1",0,1)</f>
        <v>0</v>
      </c>
      <c r="H174" s="57">
        <f>IF(OR(PSPOINTS[[#This Row],[Hourly]]=TRUE,PSPOINTS[[#This Row],[Hourly]]=FALSE),IF(OR(PSPOINTS[[#This Row],[PayScalePointEnabled]]=TRUE,PSPOINTS[[#This Row],[PayScalePointEnabled]]=FALSE),0,1),1)</f>
        <v>0</v>
      </c>
      <c r="I174" s="57">
        <f>IF(LEN(PSPOINTS[[#This Row],[PayScalePointCode]])&lt;100,0,1)</f>
        <v>0</v>
      </c>
      <c r="J174" s="57">
        <f>IF(LEN(PSPOINTS[[#This Row],[PayScalePointTitle]])&lt;100,0,1)</f>
        <v>0</v>
      </c>
      <c r="K174" s="57">
        <f>(COUNTBLANK(PSPOINTS[[#This Row],[PayScalePointCode]:[RateDateFrom]])+COUNTBLANK(PSPOINTS[[#This Row],[PayScaleRate]]))</f>
        <v>0</v>
      </c>
      <c r="L174" s="120">
        <f>IF(SUBSTITUTE(TEXT(PSPOINTS[[#This Row],[PayScaleCode]],10)," ","")=TEXT(PSPOINTS[[#This Row],[PayScaleCode]],10),0,1)+IF(SUBSTITUTE(TEXT(PSPOINTS[[#This Row],[PayScalePointCode]],10)," ","")=TEXT(PSPOINTS[[#This Row],[PayScalePointCode]],10),0,1)</f>
        <v>0</v>
      </c>
      <c r="M174" s="57">
        <f ca="1">SUM(PSPOINTS[[#This Row],[Scale Point Issue]:[Space in Code]])</f>
        <v>0</v>
      </c>
      <c r="N174" s="57" t="s">
        <v>1392</v>
      </c>
      <c r="P174" s="12" t="s">
        <v>1399</v>
      </c>
      <c r="Q174" s="57" t="str">
        <f>_xlfn.XLOOKUP(PSPOINTS[[#This Row],[PayScaleCode]],'19_PayScales'!N:N,'19_PayScales'!O:O)</f>
        <v>Leadership Group Fringe</v>
      </c>
      <c r="R174" s="12" t="s">
        <v>1549</v>
      </c>
      <c r="S174" s="12" t="s">
        <v>1549</v>
      </c>
      <c r="T174" s="12">
        <v>7</v>
      </c>
      <c r="U174" s="12" t="b">
        <v>0</v>
      </c>
      <c r="V174" s="15" t="b">
        <v>1</v>
      </c>
      <c r="W174" s="164">
        <v>45901</v>
      </c>
      <c r="X174" s="140"/>
      <c r="Y174" s="162">
        <v>61582</v>
      </c>
    </row>
    <row r="175" spans="1:25" hidden="1" x14ac:dyDescent="0.25">
      <c r="A175" s="158" t="str">
        <f>PSPOINTS[[#This Row],[PayScaleCode]]&amp;PSPOINTS[[#This Row],[RateDateFrom]]</f>
        <v>LS_FRI45901</v>
      </c>
      <c r="B175" s="57">
        <f t="shared" si="2"/>
        <v>0</v>
      </c>
      <c r="C175" s="57" t="str">
        <f>PSPOINTS[[#This Row],[PayScaleCode]]&amp;PSPOINTS[[#This Row],[PayScalePointCode]]&amp;PSPOINTS[[#This Row],[RateDateFrom]]</f>
        <v>LS_FRIL0845901</v>
      </c>
      <c r="D175" s="57">
        <f>COUNTIF(PSPOINTS[Pay Scale String Duplicates],PSPOINTS[[#This Row],[Pay Scale String Duplicates]])-1</f>
        <v>0</v>
      </c>
      <c r="E175" s="57">
        <f>IF((MONTH(_xlfn.XLOOKUP(PSPOINTS[[#This Row],[PayScaleCode]],'19_PayScales'!N:N,'19_PayScales'!R:R)))=MONTH(PSPOINTS[[#This Row],[RateDateFrom]]),0,1)</f>
        <v>0</v>
      </c>
      <c r="F175" s="57">
        <f>IF(ISBLANK(PSPOINTS[[#This Row],[RateDateTo]]),0,IF(PSPOINTS[[#This Row],[RateDateFrom]]&lt;PSPOINTS[[#This Row],[RateDateTo]],0,1))</f>
        <v>0</v>
      </c>
      <c r="G175" s="57" cm="1">
        <f t="array" aca="1" ref="G175" ca="1">IF(CELL("format",PSPOINTS[[#This Row],[RateDateFrom]])="D1",0,1)+IF(CELL("format",PSPOINTS[[#This Row],[RateDateTo]])="D1",0,1)</f>
        <v>0</v>
      </c>
      <c r="H175" s="57">
        <f>IF(OR(PSPOINTS[[#This Row],[Hourly]]=TRUE,PSPOINTS[[#This Row],[Hourly]]=FALSE),IF(OR(PSPOINTS[[#This Row],[PayScalePointEnabled]]=TRUE,PSPOINTS[[#This Row],[PayScalePointEnabled]]=FALSE),0,1),1)</f>
        <v>0</v>
      </c>
      <c r="I175" s="57">
        <f>IF(LEN(PSPOINTS[[#This Row],[PayScalePointCode]])&lt;100,0,1)</f>
        <v>0</v>
      </c>
      <c r="J175" s="57">
        <f>IF(LEN(PSPOINTS[[#This Row],[PayScalePointTitle]])&lt;100,0,1)</f>
        <v>0</v>
      </c>
      <c r="K175" s="57">
        <f>(COUNTBLANK(PSPOINTS[[#This Row],[PayScalePointCode]:[RateDateFrom]])+COUNTBLANK(PSPOINTS[[#This Row],[PayScaleRate]]))</f>
        <v>0</v>
      </c>
      <c r="L175" s="120">
        <f>IF(SUBSTITUTE(TEXT(PSPOINTS[[#This Row],[PayScaleCode]],10)," ","")=TEXT(PSPOINTS[[#This Row],[PayScaleCode]],10),0,1)+IF(SUBSTITUTE(TEXT(PSPOINTS[[#This Row],[PayScalePointCode]],10)," ","")=TEXT(PSPOINTS[[#This Row],[PayScalePointCode]],10),0,1)</f>
        <v>0</v>
      </c>
      <c r="M175" s="57">
        <f ca="1">SUM(PSPOINTS[[#This Row],[Scale Point Issue]:[Space in Code]])</f>
        <v>0</v>
      </c>
      <c r="N175" s="57" t="s">
        <v>1392</v>
      </c>
      <c r="P175" s="12" t="s">
        <v>1399</v>
      </c>
      <c r="Q175" s="57" t="str">
        <f>_xlfn.XLOOKUP(PSPOINTS[[#This Row],[PayScaleCode]],'19_PayScales'!N:N,'19_PayScales'!O:O)</f>
        <v>Leadership Group Fringe</v>
      </c>
      <c r="R175" s="12" t="s">
        <v>1550</v>
      </c>
      <c r="S175" s="12" t="s">
        <v>1550</v>
      </c>
      <c r="T175" s="12">
        <v>8</v>
      </c>
      <c r="U175" s="12" t="b">
        <v>0</v>
      </c>
      <c r="V175" s="15" t="b">
        <v>1</v>
      </c>
      <c r="W175" s="164">
        <v>45901</v>
      </c>
      <c r="X175" s="140"/>
      <c r="Y175" s="162">
        <v>62962</v>
      </c>
    </row>
    <row r="176" spans="1:25" hidden="1" x14ac:dyDescent="0.25">
      <c r="A176" s="158" t="str">
        <f>PSPOINTS[[#This Row],[PayScaleCode]]&amp;PSPOINTS[[#This Row],[RateDateFrom]]</f>
        <v>LS_FRI45901</v>
      </c>
      <c r="B176" s="57">
        <f t="shared" si="2"/>
        <v>0</v>
      </c>
      <c r="C176" s="57" t="str">
        <f>PSPOINTS[[#This Row],[PayScaleCode]]&amp;PSPOINTS[[#This Row],[PayScalePointCode]]&amp;PSPOINTS[[#This Row],[RateDateFrom]]</f>
        <v>LS_FRIL0945901</v>
      </c>
      <c r="D176" s="57">
        <f>COUNTIF(PSPOINTS[Pay Scale String Duplicates],PSPOINTS[[#This Row],[Pay Scale String Duplicates]])-1</f>
        <v>0</v>
      </c>
      <c r="E176" s="57">
        <f>IF((MONTH(_xlfn.XLOOKUP(PSPOINTS[[#This Row],[PayScaleCode]],'19_PayScales'!N:N,'19_PayScales'!R:R)))=MONTH(PSPOINTS[[#This Row],[RateDateFrom]]),0,1)</f>
        <v>0</v>
      </c>
      <c r="F176" s="57">
        <f>IF(ISBLANK(PSPOINTS[[#This Row],[RateDateTo]]),0,IF(PSPOINTS[[#This Row],[RateDateFrom]]&lt;PSPOINTS[[#This Row],[RateDateTo]],0,1))</f>
        <v>0</v>
      </c>
      <c r="G176" s="57" cm="1">
        <f t="array" aca="1" ref="G176" ca="1">IF(CELL("format",PSPOINTS[[#This Row],[RateDateFrom]])="D1",0,1)+IF(CELL("format",PSPOINTS[[#This Row],[RateDateTo]])="D1",0,1)</f>
        <v>0</v>
      </c>
      <c r="H176" s="57">
        <f>IF(OR(PSPOINTS[[#This Row],[Hourly]]=TRUE,PSPOINTS[[#This Row],[Hourly]]=FALSE),IF(OR(PSPOINTS[[#This Row],[PayScalePointEnabled]]=TRUE,PSPOINTS[[#This Row],[PayScalePointEnabled]]=FALSE),0,1),1)</f>
        <v>0</v>
      </c>
      <c r="I176" s="57">
        <f>IF(LEN(PSPOINTS[[#This Row],[PayScalePointCode]])&lt;100,0,1)</f>
        <v>0</v>
      </c>
      <c r="J176" s="57">
        <f>IF(LEN(PSPOINTS[[#This Row],[PayScalePointTitle]])&lt;100,0,1)</f>
        <v>0</v>
      </c>
      <c r="K176" s="57">
        <f>(COUNTBLANK(PSPOINTS[[#This Row],[PayScalePointCode]:[RateDateFrom]])+COUNTBLANK(PSPOINTS[[#This Row],[PayScaleRate]]))</f>
        <v>0</v>
      </c>
      <c r="L176" s="120">
        <f>IF(SUBSTITUTE(TEXT(PSPOINTS[[#This Row],[PayScaleCode]],10)," ","")=TEXT(PSPOINTS[[#This Row],[PayScaleCode]],10),0,1)+IF(SUBSTITUTE(TEXT(PSPOINTS[[#This Row],[PayScalePointCode]],10)," ","")=TEXT(PSPOINTS[[#This Row],[PayScalePointCode]],10),0,1)</f>
        <v>0</v>
      </c>
      <c r="M176" s="57">
        <f ca="1">SUM(PSPOINTS[[#This Row],[Scale Point Issue]:[Space in Code]])</f>
        <v>0</v>
      </c>
      <c r="N176" s="57" t="s">
        <v>1392</v>
      </c>
      <c r="P176" s="12" t="s">
        <v>1399</v>
      </c>
      <c r="Q176" s="57" t="str">
        <f>_xlfn.XLOOKUP(PSPOINTS[[#This Row],[PayScaleCode]],'19_PayScales'!N:N,'19_PayScales'!O:O)</f>
        <v>Leadership Group Fringe</v>
      </c>
      <c r="R176" s="12" t="s">
        <v>1551</v>
      </c>
      <c r="S176" s="12" t="s">
        <v>1551</v>
      </c>
      <c r="T176" s="12">
        <v>9</v>
      </c>
      <c r="U176" s="12" t="b">
        <v>0</v>
      </c>
      <c r="V176" s="15" t="b">
        <v>1</v>
      </c>
      <c r="W176" s="164">
        <v>45901</v>
      </c>
      <c r="X176" s="140"/>
      <c r="Y176" s="162">
        <v>64500</v>
      </c>
    </row>
    <row r="177" spans="1:25" hidden="1" x14ac:dyDescent="0.25">
      <c r="A177" s="158" t="str">
        <f>PSPOINTS[[#This Row],[PayScaleCode]]&amp;PSPOINTS[[#This Row],[RateDateFrom]]</f>
        <v>LS_FRI45901</v>
      </c>
      <c r="B177" s="57">
        <f t="shared" si="2"/>
        <v>0</v>
      </c>
      <c r="C177" s="57" t="str">
        <f>PSPOINTS[[#This Row],[PayScaleCode]]&amp;PSPOINTS[[#This Row],[PayScalePointCode]]&amp;PSPOINTS[[#This Row],[RateDateFrom]]</f>
        <v>LS_FRIL1045901</v>
      </c>
      <c r="D177" s="57">
        <f>COUNTIF(PSPOINTS[Pay Scale String Duplicates],PSPOINTS[[#This Row],[Pay Scale String Duplicates]])-1</f>
        <v>0</v>
      </c>
      <c r="E177" s="57">
        <f>IF((MONTH(_xlfn.XLOOKUP(PSPOINTS[[#This Row],[PayScaleCode]],'19_PayScales'!N:N,'19_PayScales'!R:R)))=MONTH(PSPOINTS[[#This Row],[RateDateFrom]]),0,1)</f>
        <v>0</v>
      </c>
      <c r="F177" s="57">
        <f>IF(ISBLANK(PSPOINTS[[#This Row],[RateDateTo]]),0,IF(PSPOINTS[[#This Row],[RateDateFrom]]&lt;PSPOINTS[[#This Row],[RateDateTo]],0,1))</f>
        <v>0</v>
      </c>
      <c r="G177" s="57" cm="1">
        <f t="array" aca="1" ref="G177" ca="1">IF(CELL("format",PSPOINTS[[#This Row],[RateDateFrom]])="D1",0,1)+IF(CELL("format",PSPOINTS[[#This Row],[RateDateTo]])="D1",0,1)</f>
        <v>0</v>
      </c>
      <c r="H177" s="57">
        <f>IF(OR(PSPOINTS[[#This Row],[Hourly]]=TRUE,PSPOINTS[[#This Row],[Hourly]]=FALSE),IF(OR(PSPOINTS[[#This Row],[PayScalePointEnabled]]=TRUE,PSPOINTS[[#This Row],[PayScalePointEnabled]]=FALSE),0,1),1)</f>
        <v>0</v>
      </c>
      <c r="I177" s="57">
        <f>IF(LEN(PSPOINTS[[#This Row],[PayScalePointCode]])&lt;100,0,1)</f>
        <v>0</v>
      </c>
      <c r="J177" s="57">
        <f>IF(LEN(PSPOINTS[[#This Row],[PayScalePointTitle]])&lt;100,0,1)</f>
        <v>0</v>
      </c>
      <c r="K177" s="57">
        <f>(COUNTBLANK(PSPOINTS[[#This Row],[PayScalePointCode]:[RateDateFrom]])+COUNTBLANK(PSPOINTS[[#This Row],[PayScaleRate]]))</f>
        <v>0</v>
      </c>
      <c r="L177" s="120">
        <f>IF(SUBSTITUTE(TEXT(PSPOINTS[[#This Row],[PayScaleCode]],10)," ","")=TEXT(PSPOINTS[[#This Row],[PayScaleCode]],10),0,1)+IF(SUBSTITUTE(TEXT(PSPOINTS[[#This Row],[PayScalePointCode]],10)," ","")=TEXT(PSPOINTS[[#This Row],[PayScalePointCode]],10),0,1)</f>
        <v>0</v>
      </c>
      <c r="M177" s="57">
        <f ca="1">SUM(PSPOINTS[[#This Row],[Scale Point Issue]:[Space in Code]])</f>
        <v>0</v>
      </c>
      <c r="N177" s="57" t="s">
        <v>1392</v>
      </c>
      <c r="P177" s="12" t="s">
        <v>1399</v>
      </c>
      <c r="Q177" s="57" t="str">
        <f>_xlfn.XLOOKUP(PSPOINTS[[#This Row],[PayScaleCode]],'19_PayScales'!N:N,'19_PayScales'!O:O)</f>
        <v>Leadership Group Fringe</v>
      </c>
      <c r="R177" s="12" t="s">
        <v>1552</v>
      </c>
      <c r="S177" s="12" t="s">
        <v>1552</v>
      </c>
      <c r="T177" s="12">
        <v>10</v>
      </c>
      <c r="U177" s="12" t="b">
        <v>0</v>
      </c>
      <c r="V177" s="15" t="b">
        <v>1</v>
      </c>
      <c r="W177" s="164">
        <v>45901</v>
      </c>
      <c r="X177" s="140"/>
      <c r="Y177" s="162">
        <v>66120</v>
      </c>
    </row>
    <row r="178" spans="1:25" hidden="1" x14ac:dyDescent="0.25">
      <c r="A178" s="158" t="str">
        <f>PSPOINTS[[#This Row],[PayScaleCode]]&amp;PSPOINTS[[#This Row],[RateDateFrom]]</f>
        <v>LS_FRI45901</v>
      </c>
      <c r="B178" s="57">
        <f t="shared" si="2"/>
        <v>0</v>
      </c>
      <c r="C178" s="57" t="str">
        <f>PSPOINTS[[#This Row],[PayScaleCode]]&amp;PSPOINTS[[#This Row],[PayScalePointCode]]&amp;PSPOINTS[[#This Row],[RateDateFrom]]</f>
        <v>LS_FRIL1145901</v>
      </c>
      <c r="D178" s="57">
        <f>COUNTIF(PSPOINTS[Pay Scale String Duplicates],PSPOINTS[[#This Row],[Pay Scale String Duplicates]])-1</f>
        <v>0</v>
      </c>
      <c r="E178" s="57">
        <f>IF((MONTH(_xlfn.XLOOKUP(PSPOINTS[[#This Row],[PayScaleCode]],'19_PayScales'!N:N,'19_PayScales'!R:R)))=MONTH(PSPOINTS[[#This Row],[RateDateFrom]]),0,1)</f>
        <v>0</v>
      </c>
      <c r="F178" s="57">
        <f>IF(ISBLANK(PSPOINTS[[#This Row],[RateDateTo]]),0,IF(PSPOINTS[[#This Row],[RateDateFrom]]&lt;PSPOINTS[[#This Row],[RateDateTo]],0,1))</f>
        <v>0</v>
      </c>
      <c r="G178" s="57" cm="1">
        <f t="array" aca="1" ref="G178" ca="1">IF(CELL("format",PSPOINTS[[#This Row],[RateDateFrom]])="D1",0,1)+IF(CELL("format",PSPOINTS[[#This Row],[RateDateTo]])="D1",0,1)</f>
        <v>0</v>
      </c>
      <c r="H178" s="57">
        <f>IF(OR(PSPOINTS[[#This Row],[Hourly]]=TRUE,PSPOINTS[[#This Row],[Hourly]]=FALSE),IF(OR(PSPOINTS[[#This Row],[PayScalePointEnabled]]=TRUE,PSPOINTS[[#This Row],[PayScalePointEnabled]]=FALSE),0,1),1)</f>
        <v>0</v>
      </c>
      <c r="I178" s="57">
        <f>IF(LEN(PSPOINTS[[#This Row],[PayScalePointCode]])&lt;100,0,1)</f>
        <v>0</v>
      </c>
      <c r="J178" s="57">
        <f>IF(LEN(PSPOINTS[[#This Row],[PayScalePointTitle]])&lt;100,0,1)</f>
        <v>0</v>
      </c>
      <c r="K178" s="57">
        <f>(COUNTBLANK(PSPOINTS[[#This Row],[PayScalePointCode]:[RateDateFrom]])+COUNTBLANK(PSPOINTS[[#This Row],[PayScaleRate]]))</f>
        <v>0</v>
      </c>
      <c r="L178" s="120">
        <f>IF(SUBSTITUTE(TEXT(PSPOINTS[[#This Row],[PayScaleCode]],10)," ","")=TEXT(PSPOINTS[[#This Row],[PayScaleCode]],10),0,1)+IF(SUBSTITUTE(TEXT(PSPOINTS[[#This Row],[PayScalePointCode]],10)," ","")=TEXT(PSPOINTS[[#This Row],[PayScalePointCode]],10),0,1)</f>
        <v>0</v>
      </c>
      <c r="M178" s="57">
        <f ca="1">SUM(PSPOINTS[[#This Row],[Scale Point Issue]:[Space in Code]])</f>
        <v>0</v>
      </c>
      <c r="N178" s="57" t="s">
        <v>1392</v>
      </c>
      <c r="P178" s="12" t="s">
        <v>1399</v>
      </c>
      <c r="Q178" s="57" t="str">
        <f>_xlfn.XLOOKUP(PSPOINTS[[#This Row],[PayScaleCode]],'19_PayScales'!N:N,'19_PayScales'!O:O)</f>
        <v>Leadership Group Fringe</v>
      </c>
      <c r="R178" s="12" t="s">
        <v>1553</v>
      </c>
      <c r="S178" s="12" t="s">
        <v>1553</v>
      </c>
      <c r="T178" s="12">
        <v>11</v>
      </c>
      <c r="U178" s="12" t="b">
        <v>0</v>
      </c>
      <c r="V178" s="15" t="b">
        <v>1</v>
      </c>
      <c r="W178" s="164">
        <v>45901</v>
      </c>
      <c r="X178" s="140"/>
      <c r="Y178" s="162">
        <v>67796</v>
      </c>
    </row>
    <row r="179" spans="1:25" hidden="1" x14ac:dyDescent="0.25">
      <c r="A179" s="158" t="str">
        <f>PSPOINTS[[#This Row],[PayScaleCode]]&amp;PSPOINTS[[#This Row],[RateDateFrom]]</f>
        <v>LS_FRI45901</v>
      </c>
      <c r="B179" s="57">
        <f t="shared" si="2"/>
        <v>0</v>
      </c>
      <c r="C179" s="57" t="str">
        <f>PSPOINTS[[#This Row],[PayScaleCode]]&amp;PSPOINTS[[#This Row],[PayScalePointCode]]&amp;PSPOINTS[[#This Row],[RateDateFrom]]</f>
        <v>LS_FRIL1245901</v>
      </c>
      <c r="D179" s="57">
        <f>COUNTIF(PSPOINTS[Pay Scale String Duplicates],PSPOINTS[[#This Row],[Pay Scale String Duplicates]])-1</f>
        <v>0</v>
      </c>
      <c r="E179" s="57">
        <f>IF((MONTH(_xlfn.XLOOKUP(PSPOINTS[[#This Row],[PayScaleCode]],'19_PayScales'!N:N,'19_PayScales'!R:R)))=MONTH(PSPOINTS[[#This Row],[RateDateFrom]]),0,1)</f>
        <v>0</v>
      </c>
      <c r="F179" s="57">
        <f>IF(ISBLANK(PSPOINTS[[#This Row],[RateDateTo]]),0,IF(PSPOINTS[[#This Row],[RateDateFrom]]&lt;PSPOINTS[[#This Row],[RateDateTo]],0,1))</f>
        <v>0</v>
      </c>
      <c r="G179" s="57" cm="1">
        <f t="array" aca="1" ref="G179" ca="1">IF(CELL("format",PSPOINTS[[#This Row],[RateDateFrom]])="D1",0,1)+IF(CELL("format",PSPOINTS[[#This Row],[RateDateTo]])="D1",0,1)</f>
        <v>0</v>
      </c>
      <c r="H179" s="57">
        <f>IF(OR(PSPOINTS[[#This Row],[Hourly]]=TRUE,PSPOINTS[[#This Row],[Hourly]]=FALSE),IF(OR(PSPOINTS[[#This Row],[PayScalePointEnabled]]=TRUE,PSPOINTS[[#This Row],[PayScalePointEnabled]]=FALSE),0,1),1)</f>
        <v>0</v>
      </c>
      <c r="I179" s="57">
        <f>IF(LEN(PSPOINTS[[#This Row],[PayScalePointCode]])&lt;100,0,1)</f>
        <v>0</v>
      </c>
      <c r="J179" s="57">
        <f>IF(LEN(PSPOINTS[[#This Row],[PayScalePointTitle]])&lt;100,0,1)</f>
        <v>0</v>
      </c>
      <c r="K179" s="57">
        <f>(COUNTBLANK(PSPOINTS[[#This Row],[PayScalePointCode]:[RateDateFrom]])+COUNTBLANK(PSPOINTS[[#This Row],[PayScaleRate]]))</f>
        <v>0</v>
      </c>
      <c r="L179" s="120">
        <f>IF(SUBSTITUTE(TEXT(PSPOINTS[[#This Row],[PayScaleCode]],10)," ","")=TEXT(PSPOINTS[[#This Row],[PayScaleCode]],10),0,1)+IF(SUBSTITUTE(TEXT(PSPOINTS[[#This Row],[PayScalePointCode]],10)," ","")=TEXT(PSPOINTS[[#This Row],[PayScalePointCode]],10),0,1)</f>
        <v>0</v>
      </c>
      <c r="M179" s="57">
        <f ca="1">SUM(PSPOINTS[[#This Row],[Scale Point Issue]:[Space in Code]])</f>
        <v>0</v>
      </c>
      <c r="N179" s="57" t="s">
        <v>1392</v>
      </c>
      <c r="P179" s="12" t="s">
        <v>1399</v>
      </c>
      <c r="Q179" s="57" t="str">
        <f>_xlfn.XLOOKUP(PSPOINTS[[#This Row],[PayScaleCode]],'19_PayScales'!N:N,'19_PayScales'!O:O)</f>
        <v>Leadership Group Fringe</v>
      </c>
      <c r="R179" s="12" t="s">
        <v>1554</v>
      </c>
      <c r="S179" s="12" t="s">
        <v>1554</v>
      </c>
      <c r="T179" s="12">
        <v>12</v>
      </c>
      <c r="U179" s="12" t="b">
        <v>0</v>
      </c>
      <c r="V179" s="15" t="b">
        <v>1</v>
      </c>
      <c r="W179" s="164">
        <v>45901</v>
      </c>
      <c r="X179" s="140"/>
      <c r="Y179" s="162">
        <v>69332</v>
      </c>
    </row>
    <row r="180" spans="1:25" hidden="1" x14ac:dyDescent="0.25">
      <c r="A180" s="158" t="str">
        <f>PSPOINTS[[#This Row],[PayScaleCode]]&amp;PSPOINTS[[#This Row],[RateDateFrom]]</f>
        <v>LS_FRI45901</v>
      </c>
      <c r="B180" s="57">
        <f t="shared" si="2"/>
        <v>0</v>
      </c>
      <c r="C180" s="57" t="str">
        <f>PSPOINTS[[#This Row],[PayScaleCode]]&amp;PSPOINTS[[#This Row],[PayScalePointCode]]&amp;PSPOINTS[[#This Row],[RateDateFrom]]</f>
        <v>LS_FRIL1345901</v>
      </c>
      <c r="D180" s="57">
        <f>COUNTIF(PSPOINTS[Pay Scale String Duplicates],PSPOINTS[[#This Row],[Pay Scale String Duplicates]])-1</f>
        <v>0</v>
      </c>
      <c r="E180" s="57">
        <f>IF((MONTH(_xlfn.XLOOKUP(PSPOINTS[[#This Row],[PayScaleCode]],'19_PayScales'!N:N,'19_PayScales'!R:R)))=MONTH(PSPOINTS[[#This Row],[RateDateFrom]]),0,1)</f>
        <v>0</v>
      </c>
      <c r="F180" s="57">
        <f>IF(ISBLANK(PSPOINTS[[#This Row],[RateDateTo]]),0,IF(PSPOINTS[[#This Row],[RateDateFrom]]&lt;PSPOINTS[[#This Row],[RateDateTo]],0,1))</f>
        <v>0</v>
      </c>
      <c r="G180" s="57" cm="1">
        <f t="array" aca="1" ref="G180" ca="1">IF(CELL("format",PSPOINTS[[#This Row],[RateDateFrom]])="D1",0,1)+IF(CELL("format",PSPOINTS[[#This Row],[RateDateTo]])="D1",0,1)</f>
        <v>0</v>
      </c>
      <c r="H180" s="57">
        <f>IF(OR(PSPOINTS[[#This Row],[Hourly]]=TRUE,PSPOINTS[[#This Row],[Hourly]]=FALSE),IF(OR(PSPOINTS[[#This Row],[PayScalePointEnabled]]=TRUE,PSPOINTS[[#This Row],[PayScalePointEnabled]]=FALSE),0,1),1)</f>
        <v>0</v>
      </c>
      <c r="I180" s="57">
        <f>IF(LEN(PSPOINTS[[#This Row],[PayScalePointCode]])&lt;100,0,1)</f>
        <v>0</v>
      </c>
      <c r="J180" s="57">
        <f>IF(LEN(PSPOINTS[[#This Row],[PayScalePointTitle]])&lt;100,0,1)</f>
        <v>0</v>
      </c>
      <c r="K180" s="57">
        <f>(COUNTBLANK(PSPOINTS[[#This Row],[PayScalePointCode]:[RateDateFrom]])+COUNTBLANK(PSPOINTS[[#This Row],[PayScaleRate]]))</f>
        <v>0</v>
      </c>
      <c r="L180" s="120">
        <f>IF(SUBSTITUTE(TEXT(PSPOINTS[[#This Row],[PayScaleCode]],10)," ","")=TEXT(PSPOINTS[[#This Row],[PayScaleCode]],10),0,1)+IF(SUBSTITUTE(TEXT(PSPOINTS[[#This Row],[PayScalePointCode]],10)," ","")=TEXT(PSPOINTS[[#This Row],[PayScalePointCode]],10),0,1)</f>
        <v>0</v>
      </c>
      <c r="M180" s="57">
        <f ca="1">SUM(PSPOINTS[[#This Row],[Scale Point Issue]:[Space in Code]])</f>
        <v>0</v>
      </c>
      <c r="N180" s="57" t="s">
        <v>1392</v>
      </c>
      <c r="P180" s="12" t="s">
        <v>1399</v>
      </c>
      <c r="Q180" s="57" t="str">
        <f>_xlfn.XLOOKUP(PSPOINTS[[#This Row],[PayScaleCode]],'19_PayScales'!N:N,'19_PayScales'!O:O)</f>
        <v>Leadership Group Fringe</v>
      </c>
      <c r="R180" s="12" t="s">
        <v>1555</v>
      </c>
      <c r="S180" s="12" t="s">
        <v>1555</v>
      </c>
      <c r="T180" s="12">
        <v>13</v>
      </c>
      <c r="U180" s="12" t="b">
        <v>0</v>
      </c>
      <c r="V180" s="15" t="b">
        <v>1</v>
      </c>
      <c r="W180" s="164">
        <v>45901</v>
      </c>
      <c r="X180" s="140"/>
      <c r="Y180" s="162">
        <v>71030</v>
      </c>
    </row>
    <row r="181" spans="1:25" hidden="1" x14ac:dyDescent="0.25">
      <c r="A181" s="158" t="str">
        <f>PSPOINTS[[#This Row],[PayScaleCode]]&amp;PSPOINTS[[#This Row],[RateDateFrom]]</f>
        <v>LS_FRI45901</v>
      </c>
      <c r="B181" s="57">
        <f t="shared" si="2"/>
        <v>0</v>
      </c>
      <c r="C181" s="57" t="str">
        <f>PSPOINTS[[#This Row],[PayScaleCode]]&amp;PSPOINTS[[#This Row],[PayScalePointCode]]&amp;PSPOINTS[[#This Row],[RateDateFrom]]</f>
        <v>LS_FRIL1445901</v>
      </c>
      <c r="D181" s="57">
        <f>COUNTIF(PSPOINTS[Pay Scale String Duplicates],PSPOINTS[[#This Row],[Pay Scale String Duplicates]])-1</f>
        <v>0</v>
      </c>
      <c r="E181" s="57">
        <f>IF((MONTH(_xlfn.XLOOKUP(PSPOINTS[[#This Row],[PayScaleCode]],'19_PayScales'!N:N,'19_PayScales'!R:R)))=MONTH(PSPOINTS[[#This Row],[RateDateFrom]]),0,1)</f>
        <v>0</v>
      </c>
      <c r="F181" s="57">
        <f>IF(ISBLANK(PSPOINTS[[#This Row],[RateDateTo]]),0,IF(PSPOINTS[[#This Row],[RateDateFrom]]&lt;PSPOINTS[[#This Row],[RateDateTo]],0,1))</f>
        <v>0</v>
      </c>
      <c r="G181" s="57" cm="1">
        <f t="array" aca="1" ref="G181" ca="1">IF(CELL("format",PSPOINTS[[#This Row],[RateDateFrom]])="D1",0,1)+IF(CELL("format",PSPOINTS[[#This Row],[RateDateTo]])="D1",0,1)</f>
        <v>0</v>
      </c>
      <c r="H181" s="57">
        <f>IF(OR(PSPOINTS[[#This Row],[Hourly]]=TRUE,PSPOINTS[[#This Row],[Hourly]]=FALSE),IF(OR(PSPOINTS[[#This Row],[PayScalePointEnabled]]=TRUE,PSPOINTS[[#This Row],[PayScalePointEnabled]]=FALSE),0,1),1)</f>
        <v>0</v>
      </c>
      <c r="I181" s="57">
        <f>IF(LEN(PSPOINTS[[#This Row],[PayScalePointCode]])&lt;100,0,1)</f>
        <v>0</v>
      </c>
      <c r="J181" s="57">
        <f>IF(LEN(PSPOINTS[[#This Row],[PayScalePointTitle]])&lt;100,0,1)</f>
        <v>0</v>
      </c>
      <c r="K181" s="57">
        <f>(COUNTBLANK(PSPOINTS[[#This Row],[PayScalePointCode]:[RateDateFrom]])+COUNTBLANK(PSPOINTS[[#This Row],[PayScaleRate]]))</f>
        <v>0</v>
      </c>
      <c r="L181" s="120">
        <f>IF(SUBSTITUTE(TEXT(PSPOINTS[[#This Row],[PayScaleCode]],10)," ","")=TEXT(PSPOINTS[[#This Row],[PayScaleCode]],10),0,1)+IF(SUBSTITUTE(TEXT(PSPOINTS[[#This Row],[PayScalePointCode]],10)," ","")=TEXT(PSPOINTS[[#This Row],[PayScalePointCode]],10),0,1)</f>
        <v>0</v>
      </c>
      <c r="M181" s="57">
        <f ca="1">SUM(PSPOINTS[[#This Row],[Scale Point Issue]:[Space in Code]])</f>
        <v>0</v>
      </c>
      <c r="N181" s="57" t="s">
        <v>1392</v>
      </c>
      <c r="P181" s="12" t="s">
        <v>1399</v>
      </c>
      <c r="Q181" s="57" t="str">
        <f>_xlfn.XLOOKUP(PSPOINTS[[#This Row],[PayScaleCode]],'19_PayScales'!N:N,'19_PayScales'!O:O)</f>
        <v>Leadership Group Fringe</v>
      </c>
      <c r="R181" s="12" t="s">
        <v>1556</v>
      </c>
      <c r="S181" s="12" t="s">
        <v>1556</v>
      </c>
      <c r="T181" s="12">
        <v>14</v>
      </c>
      <c r="U181" s="12" t="b">
        <v>0</v>
      </c>
      <c r="V181" s="15" t="b">
        <v>1</v>
      </c>
      <c r="W181" s="164">
        <v>45901</v>
      </c>
      <c r="X181" s="140"/>
      <c r="Y181" s="162">
        <v>72763</v>
      </c>
    </row>
    <row r="182" spans="1:25" hidden="1" x14ac:dyDescent="0.25">
      <c r="A182" s="158" t="str">
        <f>PSPOINTS[[#This Row],[PayScaleCode]]&amp;PSPOINTS[[#This Row],[RateDateFrom]]</f>
        <v>LS_FRI45901</v>
      </c>
      <c r="B182" s="57">
        <f t="shared" si="2"/>
        <v>0</v>
      </c>
      <c r="C182" s="57" t="str">
        <f>PSPOINTS[[#This Row],[PayScaleCode]]&amp;PSPOINTS[[#This Row],[PayScalePointCode]]&amp;PSPOINTS[[#This Row],[RateDateFrom]]</f>
        <v>LS_FRIL1545901</v>
      </c>
      <c r="D182" s="57">
        <f>COUNTIF(PSPOINTS[Pay Scale String Duplicates],PSPOINTS[[#This Row],[Pay Scale String Duplicates]])-1</f>
        <v>0</v>
      </c>
      <c r="E182" s="57">
        <f>IF((MONTH(_xlfn.XLOOKUP(PSPOINTS[[#This Row],[PayScaleCode]],'19_PayScales'!N:N,'19_PayScales'!R:R)))=MONTH(PSPOINTS[[#This Row],[RateDateFrom]]),0,1)</f>
        <v>0</v>
      </c>
      <c r="F182" s="57">
        <f>IF(ISBLANK(PSPOINTS[[#This Row],[RateDateTo]]),0,IF(PSPOINTS[[#This Row],[RateDateFrom]]&lt;PSPOINTS[[#This Row],[RateDateTo]],0,1))</f>
        <v>0</v>
      </c>
      <c r="G182" s="57" cm="1">
        <f t="array" aca="1" ref="G182" ca="1">IF(CELL("format",PSPOINTS[[#This Row],[RateDateFrom]])="D1",0,1)+IF(CELL("format",PSPOINTS[[#This Row],[RateDateTo]])="D1",0,1)</f>
        <v>0</v>
      </c>
      <c r="H182" s="57">
        <f>IF(OR(PSPOINTS[[#This Row],[Hourly]]=TRUE,PSPOINTS[[#This Row],[Hourly]]=FALSE),IF(OR(PSPOINTS[[#This Row],[PayScalePointEnabled]]=TRUE,PSPOINTS[[#This Row],[PayScalePointEnabled]]=FALSE),0,1),1)</f>
        <v>0</v>
      </c>
      <c r="I182" s="57">
        <f>IF(LEN(PSPOINTS[[#This Row],[PayScalePointCode]])&lt;100,0,1)</f>
        <v>0</v>
      </c>
      <c r="J182" s="57">
        <f>IF(LEN(PSPOINTS[[#This Row],[PayScalePointTitle]])&lt;100,0,1)</f>
        <v>0</v>
      </c>
      <c r="K182" s="57">
        <f>(COUNTBLANK(PSPOINTS[[#This Row],[PayScalePointCode]:[RateDateFrom]])+COUNTBLANK(PSPOINTS[[#This Row],[PayScaleRate]]))</f>
        <v>0</v>
      </c>
      <c r="L182" s="120">
        <f>IF(SUBSTITUTE(TEXT(PSPOINTS[[#This Row],[PayScaleCode]],10)," ","")=TEXT(PSPOINTS[[#This Row],[PayScaleCode]],10),0,1)+IF(SUBSTITUTE(TEXT(PSPOINTS[[#This Row],[PayScalePointCode]],10)," ","")=TEXT(PSPOINTS[[#This Row],[PayScalePointCode]],10),0,1)</f>
        <v>0</v>
      </c>
      <c r="M182" s="57">
        <f ca="1">SUM(PSPOINTS[[#This Row],[Scale Point Issue]:[Space in Code]])</f>
        <v>0</v>
      </c>
      <c r="N182" s="57" t="s">
        <v>1392</v>
      </c>
      <c r="P182" s="12" t="s">
        <v>1399</v>
      </c>
      <c r="Q182" s="57" t="str">
        <f>_xlfn.XLOOKUP(PSPOINTS[[#This Row],[PayScaleCode]],'19_PayScales'!N:N,'19_PayScales'!O:O)</f>
        <v>Leadership Group Fringe</v>
      </c>
      <c r="R182" s="12" t="s">
        <v>1557</v>
      </c>
      <c r="S182" s="12" t="s">
        <v>1557</v>
      </c>
      <c r="T182" s="12">
        <v>15</v>
      </c>
      <c r="U182" s="12" t="b">
        <v>0</v>
      </c>
      <c r="V182" s="15" t="b">
        <v>1</v>
      </c>
      <c r="W182" s="164">
        <v>45901</v>
      </c>
      <c r="X182" s="140"/>
      <c r="Y182" s="162">
        <v>74532</v>
      </c>
    </row>
    <row r="183" spans="1:25" hidden="1" x14ac:dyDescent="0.25">
      <c r="A183" s="158" t="str">
        <f>PSPOINTS[[#This Row],[PayScaleCode]]&amp;PSPOINTS[[#This Row],[RateDateFrom]]</f>
        <v>LS_FRI45901</v>
      </c>
      <c r="B183" s="57">
        <f t="shared" si="2"/>
        <v>0</v>
      </c>
      <c r="C183" s="57" t="str">
        <f>PSPOINTS[[#This Row],[PayScaleCode]]&amp;PSPOINTS[[#This Row],[PayScalePointCode]]&amp;PSPOINTS[[#This Row],[RateDateFrom]]</f>
        <v>LS_FRIL1645901</v>
      </c>
      <c r="D183" s="57">
        <f>COUNTIF(PSPOINTS[Pay Scale String Duplicates],PSPOINTS[[#This Row],[Pay Scale String Duplicates]])-1</f>
        <v>0</v>
      </c>
      <c r="E183" s="57">
        <f>IF((MONTH(_xlfn.XLOOKUP(PSPOINTS[[#This Row],[PayScaleCode]],'19_PayScales'!N:N,'19_PayScales'!R:R)))=MONTH(PSPOINTS[[#This Row],[RateDateFrom]]),0,1)</f>
        <v>0</v>
      </c>
      <c r="F183" s="57">
        <f>IF(ISBLANK(PSPOINTS[[#This Row],[RateDateTo]]),0,IF(PSPOINTS[[#This Row],[RateDateFrom]]&lt;PSPOINTS[[#This Row],[RateDateTo]],0,1))</f>
        <v>0</v>
      </c>
      <c r="G183" s="57" cm="1">
        <f t="array" aca="1" ref="G183" ca="1">IF(CELL("format",PSPOINTS[[#This Row],[RateDateFrom]])="D1",0,1)+IF(CELL("format",PSPOINTS[[#This Row],[RateDateTo]])="D1",0,1)</f>
        <v>0</v>
      </c>
      <c r="H183" s="57">
        <f>IF(OR(PSPOINTS[[#This Row],[Hourly]]=TRUE,PSPOINTS[[#This Row],[Hourly]]=FALSE),IF(OR(PSPOINTS[[#This Row],[PayScalePointEnabled]]=TRUE,PSPOINTS[[#This Row],[PayScalePointEnabled]]=FALSE),0,1),1)</f>
        <v>0</v>
      </c>
      <c r="I183" s="57">
        <f>IF(LEN(PSPOINTS[[#This Row],[PayScalePointCode]])&lt;100,0,1)</f>
        <v>0</v>
      </c>
      <c r="J183" s="57">
        <f>IF(LEN(PSPOINTS[[#This Row],[PayScalePointTitle]])&lt;100,0,1)</f>
        <v>0</v>
      </c>
      <c r="K183" s="57">
        <f>(COUNTBLANK(PSPOINTS[[#This Row],[PayScalePointCode]:[RateDateFrom]])+COUNTBLANK(PSPOINTS[[#This Row],[PayScaleRate]]))</f>
        <v>0</v>
      </c>
      <c r="L183" s="120">
        <f>IF(SUBSTITUTE(TEXT(PSPOINTS[[#This Row],[PayScaleCode]],10)," ","")=TEXT(PSPOINTS[[#This Row],[PayScaleCode]],10),0,1)+IF(SUBSTITUTE(TEXT(PSPOINTS[[#This Row],[PayScalePointCode]],10)," ","")=TEXT(PSPOINTS[[#This Row],[PayScalePointCode]],10),0,1)</f>
        <v>0</v>
      </c>
      <c r="M183" s="57">
        <f ca="1">SUM(PSPOINTS[[#This Row],[Scale Point Issue]:[Space in Code]])</f>
        <v>0</v>
      </c>
      <c r="N183" s="57" t="s">
        <v>1392</v>
      </c>
      <c r="P183" s="12" t="s">
        <v>1399</v>
      </c>
      <c r="Q183" s="57" t="str">
        <f>_xlfn.XLOOKUP(PSPOINTS[[#This Row],[PayScaleCode]],'19_PayScales'!N:N,'19_PayScales'!O:O)</f>
        <v>Leadership Group Fringe</v>
      </c>
      <c r="R183" s="12" t="s">
        <v>1558</v>
      </c>
      <c r="S183" s="12" t="s">
        <v>1558</v>
      </c>
      <c r="T183" s="12">
        <v>16</v>
      </c>
      <c r="U183" s="12" t="b">
        <v>0</v>
      </c>
      <c r="V183" s="15" t="b">
        <v>1</v>
      </c>
      <c r="W183" s="164">
        <v>45901</v>
      </c>
      <c r="X183" s="140"/>
      <c r="Y183" s="162">
        <v>76481</v>
      </c>
    </row>
    <row r="184" spans="1:25" hidden="1" x14ac:dyDescent="0.25">
      <c r="A184" s="158" t="str">
        <f>PSPOINTS[[#This Row],[PayScaleCode]]&amp;PSPOINTS[[#This Row],[RateDateFrom]]</f>
        <v>LS_FRI45901</v>
      </c>
      <c r="B184" s="57">
        <f t="shared" si="2"/>
        <v>0</v>
      </c>
      <c r="C184" s="57" t="str">
        <f>PSPOINTS[[#This Row],[PayScaleCode]]&amp;PSPOINTS[[#This Row],[PayScalePointCode]]&amp;PSPOINTS[[#This Row],[RateDateFrom]]</f>
        <v>LS_FRIL1745901</v>
      </c>
      <c r="D184" s="57">
        <f>COUNTIF(PSPOINTS[Pay Scale String Duplicates],PSPOINTS[[#This Row],[Pay Scale String Duplicates]])-1</f>
        <v>0</v>
      </c>
      <c r="E184" s="57">
        <f>IF((MONTH(_xlfn.XLOOKUP(PSPOINTS[[#This Row],[PayScaleCode]],'19_PayScales'!N:N,'19_PayScales'!R:R)))=MONTH(PSPOINTS[[#This Row],[RateDateFrom]]),0,1)</f>
        <v>0</v>
      </c>
      <c r="F184" s="57">
        <f>IF(ISBLANK(PSPOINTS[[#This Row],[RateDateTo]]),0,IF(PSPOINTS[[#This Row],[RateDateFrom]]&lt;PSPOINTS[[#This Row],[RateDateTo]],0,1))</f>
        <v>0</v>
      </c>
      <c r="G184" s="57" cm="1">
        <f t="array" aca="1" ref="G184" ca="1">IF(CELL("format",PSPOINTS[[#This Row],[RateDateFrom]])="D1",0,1)+IF(CELL("format",PSPOINTS[[#This Row],[RateDateTo]])="D1",0,1)</f>
        <v>0</v>
      </c>
      <c r="H184" s="57">
        <f>IF(OR(PSPOINTS[[#This Row],[Hourly]]=TRUE,PSPOINTS[[#This Row],[Hourly]]=FALSE),IF(OR(PSPOINTS[[#This Row],[PayScalePointEnabled]]=TRUE,PSPOINTS[[#This Row],[PayScalePointEnabled]]=FALSE),0,1),1)</f>
        <v>0</v>
      </c>
      <c r="I184" s="57">
        <f>IF(LEN(PSPOINTS[[#This Row],[PayScalePointCode]])&lt;100,0,1)</f>
        <v>0</v>
      </c>
      <c r="J184" s="57">
        <f>IF(LEN(PSPOINTS[[#This Row],[PayScalePointTitle]])&lt;100,0,1)</f>
        <v>0</v>
      </c>
      <c r="K184" s="57">
        <f>(COUNTBLANK(PSPOINTS[[#This Row],[PayScalePointCode]:[RateDateFrom]])+COUNTBLANK(PSPOINTS[[#This Row],[PayScaleRate]]))</f>
        <v>0</v>
      </c>
      <c r="L184" s="120">
        <f>IF(SUBSTITUTE(TEXT(PSPOINTS[[#This Row],[PayScaleCode]],10)," ","")=TEXT(PSPOINTS[[#This Row],[PayScaleCode]],10),0,1)+IF(SUBSTITUTE(TEXT(PSPOINTS[[#This Row],[PayScalePointCode]],10)," ","")=TEXT(PSPOINTS[[#This Row],[PayScalePointCode]],10),0,1)</f>
        <v>0</v>
      </c>
      <c r="M184" s="57">
        <f ca="1">SUM(PSPOINTS[[#This Row],[Scale Point Issue]:[Space in Code]])</f>
        <v>0</v>
      </c>
      <c r="N184" s="57" t="s">
        <v>1392</v>
      </c>
      <c r="P184" s="12" t="s">
        <v>1399</v>
      </c>
      <c r="Q184" s="57" t="str">
        <f>_xlfn.XLOOKUP(PSPOINTS[[#This Row],[PayScaleCode]],'19_PayScales'!N:N,'19_PayScales'!O:O)</f>
        <v>Leadership Group Fringe</v>
      </c>
      <c r="R184" s="12" t="s">
        <v>1559</v>
      </c>
      <c r="S184" s="12" t="s">
        <v>1559</v>
      </c>
      <c r="T184" s="12">
        <v>17</v>
      </c>
      <c r="U184" s="12" t="b">
        <v>0</v>
      </c>
      <c r="V184" s="15" t="b">
        <v>1</v>
      </c>
      <c r="W184" s="164">
        <v>45901</v>
      </c>
      <c r="X184" s="140"/>
      <c r="Y184" s="162">
        <v>78215</v>
      </c>
    </row>
    <row r="185" spans="1:25" hidden="1" x14ac:dyDescent="0.25">
      <c r="A185" s="158" t="str">
        <f>PSPOINTS[[#This Row],[PayScaleCode]]&amp;PSPOINTS[[#This Row],[RateDateFrom]]</f>
        <v>LS_FRI45901</v>
      </c>
      <c r="B185" s="57">
        <f t="shared" si="2"/>
        <v>0</v>
      </c>
      <c r="C185" s="57" t="str">
        <f>PSPOINTS[[#This Row],[PayScaleCode]]&amp;PSPOINTS[[#This Row],[PayScalePointCode]]&amp;PSPOINTS[[#This Row],[RateDateFrom]]</f>
        <v>LS_FRIL1845901</v>
      </c>
      <c r="D185" s="57">
        <f>COUNTIF(PSPOINTS[Pay Scale String Duplicates],PSPOINTS[[#This Row],[Pay Scale String Duplicates]])-1</f>
        <v>0</v>
      </c>
      <c r="E185" s="57">
        <f>IF((MONTH(_xlfn.XLOOKUP(PSPOINTS[[#This Row],[PayScaleCode]],'19_PayScales'!N:N,'19_PayScales'!R:R)))=MONTH(PSPOINTS[[#This Row],[RateDateFrom]]),0,1)</f>
        <v>0</v>
      </c>
      <c r="F185" s="57">
        <f>IF(ISBLANK(PSPOINTS[[#This Row],[RateDateTo]]),0,IF(PSPOINTS[[#This Row],[RateDateFrom]]&lt;PSPOINTS[[#This Row],[RateDateTo]],0,1))</f>
        <v>0</v>
      </c>
      <c r="G185" s="57" cm="1">
        <f t="array" aca="1" ref="G185" ca="1">IF(CELL("format",PSPOINTS[[#This Row],[RateDateFrom]])="D1",0,1)+IF(CELL("format",PSPOINTS[[#This Row],[RateDateTo]])="D1",0,1)</f>
        <v>0</v>
      </c>
      <c r="H185" s="57">
        <f>IF(OR(PSPOINTS[[#This Row],[Hourly]]=TRUE,PSPOINTS[[#This Row],[Hourly]]=FALSE),IF(OR(PSPOINTS[[#This Row],[PayScalePointEnabled]]=TRUE,PSPOINTS[[#This Row],[PayScalePointEnabled]]=FALSE),0,1),1)</f>
        <v>0</v>
      </c>
      <c r="I185" s="57">
        <f>IF(LEN(PSPOINTS[[#This Row],[PayScalePointCode]])&lt;100,0,1)</f>
        <v>0</v>
      </c>
      <c r="J185" s="57">
        <f>IF(LEN(PSPOINTS[[#This Row],[PayScalePointTitle]])&lt;100,0,1)</f>
        <v>0</v>
      </c>
      <c r="K185" s="57">
        <f>(COUNTBLANK(PSPOINTS[[#This Row],[PayScalePointCode]:[RateDateFrom]])+COUNTBLANK(PSPOINTS[[#This Row],[PayScaleRate]]))</f>
        <v>0</v>
      </c>
      <c r="L185" s="120">
        <f>IF(SUBSTITUTE(TEXT(PSPOINTS[[#This Row],[PayScaleCode]],10)," ","")=TEXT(PSPOINTS[[#This Row],[PayScaleCode]],10),0,1)+IF(SUBSTITUTE(TEXT(PSPOINTS[[#This Row],[PayScalePointCode]],10)," ","")=TEXT(PSPOINTS[[#This Row],[PayScalePointCode]],10),0,1)</f>
        <v>0</v>
      </c>
      <c r="M185" s="57">
        <f ca="1">SUM(PSPOINTS[[#This Row],[Scale Point Issue]:[Space in Code]])</f>
        <v>0</v>
      </c>
      <c r="N185" s="57" t="s">
        <v>1392</v>
      </c>
      <c r="P185" s="12" t="s">
        <v>1399</v>
      </c>
      <c r="Q185" s="57" t="str">
        <f>_xlfn.XLOOKUP(PSPOINTS[[#This Row],[PayScaleCode]],'19_PayScales'!N:N,'19_PayScales'!O:O)</f>
        <v>Leadership Group Fringe</v>
      </c>
      <c r="R185" s="12" t="s">
        <v>1560</v>
      </c>
      <c r="S185" s="12" t="s">
        <v>1560</v>
      </c>
      <c r="T185" s="12">
        <v>18</v>
      </c>
      <c r="U185" s="12" t="b">
        <v>0</v>
      </c>
      <c r="V185" s="15" t="b">
        <v>1</v>
      </c>
      <c r="W185" s="164">
        <v>45901</v>
      </c>
      <c r="X185" s="140"/>
      <c r="Y185" s="162">
        <v>80134</v>
      </c>
    </row>
    <row r="186" spans="1:25" hidden="1" x14ac:dyDescent="0.25">
      <c r="A186" s="158" t="str">
        <f>PSPOINTS[[#This Row],[PayScaleCode]]&amp;PSPOINTS[[#This Row],[RateDateFrom]]</f>
        <v>LS_FRI45901</v>
      </c>
      <c r="B186" s="57">
        <f t="shared" si="2"/>
        <v>0</v>
      </c>
      <c r="C186" s="57" t="str">
        <f>PSPOINTS[[#This Row],[PayScaleCode]]&amp;PSPOINTS[[#This Row],[PayScalePointCode]]&amp;PSPOINTS[[#This Row],[RateDateFrom]]</f>
        <v>LS_FRIL1945901</v>
      </c>
      <c r="D186" s="57">
        <f>COUNTIF(PSPOINTS[Pay Scale String Duplicates],PSPOINTS[[#This Row],[Pay Scale String Duplicates]])-1</f>
        <v>0</v>
      </c>
      <c r="E186" s="57">
        <f>IF((MONTH(_xlfn.XLOOKUP(PSPOINTS[[#This Row],[PayScaleCode]],'19_PayScales'!N:N,'19_PayScales'!R:R)))=MONTH(PSPOINTS[[#This Row],[RateDateFrom]]),0,1)</f>
        <v>0</v>
      </c>
      <c r="F186" s="57">
        <f>IF(ISBLANK(PSPOINTS[[#This Row],[RateDateTo]]),0,IF(PSPOINTS[[#This Row],[RateDateFrom]]&lt;PSPOINTS[[#This Row],[RateDateTo]],0,1))</f>
        <v>0</v>
      </c>
      <c r="G186" s="57" cm="1">
        <f t="array" aca="1" ref="G186" ca="1">IF(CELL("format",PSPOINTS[[#This Row],[RateDateFrom]])="D1",0,1)+IF(CELL("format",PSPOINTS[[#This Row],[RateDateTo]])="D1",0,1)</f>
        <v>0</v>
      </c>
      <c r="H186" s="57">
        <f>IF(OR(PSPOINTS[[#This Row],[Hourly]]=TRUE,PSPOINTS[[#This Row],[Hourly]]=FALSE),IF(OR(PSPOINTS[[#This Row],[PayScalePointEnabled]]=TRUE,PSPOINTS[[#This Row],[PayScalePointEnabled]]=FALSE),0,1),1)</f>
        <v>0</v>
      </c>
      <c r="I186" s="57">
        <f>IF(LEN(PSPOINTS[[#This Row],[PayScalePointCode]])&lt;100,0,1)</f>
        <v>0</v>
      </c>
      <c r="J186" s="57">
        <f>IF(LEN(PSPOINTS[[#This Row],[PayScalePointTitle]])&lt;100,0,1)</f>
        <v>0</v>
      </c>
      <c r="K186" s="57">
        <f>(COUNTBLANK(PSPOINTS[[#This Row],[PayScalePointCode]:[RateDateFrom]])+COUNTBLANK(PSPOINTS[[#This Row],[PayScaleRate]]))</f>
        <v>0</v>
      </c>
      <c r="L186" s="120">
        <f>IF(SUBSTITUTE(TEXT(PSPOINTS[[#This Row],[PayScaleCode]],10)," ","")=TEXT(PSPOINTS[[#This Row],[PayScaleCode]],10),0,1)+IF(SUBSTITUTE(TEXT(PSPOINTS[[#This Row],[PayScalePointCode]],10)," ","")=TEXT(PSPOINTS[[#This Row],[PayScalePointCode]],10),0,1)</f>
        <v>0</v>
      </c>
      <c r="M186" s="57">
        <f ca="1">SUM(PSPOINTS[[#This Row],[Scale Point Issue]:[Space in Code]])</f>
        <v>0</v>
      </c>
      <c r="N186" s="57" t="s">
        <v>1392</v>
      </c>
      <c r="P186" s="12" t="s">
        <v>1399</v>
      </c>
      <c r="Q186" s="57" t="str">
        <f>_xlfn.XLOOKUP(PSPOINTS[[#This Row],[PayScaleCode]],'19_PayScales'!N:N,'19_PayScales'!O:O)</f>
        <v>Leadership Group Fringe</v>
      </c>
      <c r="R186" s="12" t="s">
        <v>1561</v>
      </c>
      <c r="S186" s="12" t="s">
        <v>1561</v>
      </c>
      <c r="T186" s="12">
        <v>19</v>
      </c>
      <c r="U186" s="12" t="b">
        <v>0</v>
      </c>
      <c r="V186" s="15" t="b">
        <v>1</v>
      </c>
      <c r="W186" s="164">
        <v>45901</v>
      </c>
      <c r="X186" s="140"/>
      <c r="Y186" s="162">
        <v>82084</v>
      </c>
    </row>
    <row r="187" spans="1:25" hidden="1" x14ac:dyDescent="0.25">
      <c r="A187" s="158" t="str">
        <f>PSPOINTS[[#This Row],[PayScaleCode]]&amp;PSPOINTS[[#This Row],[RateDateFrom]]</f>
        <v>LS_FRI45901</v>
      </c>
      <c r="B187" s="57">
        <f t="shared" si="2"/>
        <v>0</v>
      </c>
      <c r="C187" s="57" t="str">
        <f>PSPOINTS[[#This Row],[PayScaleCode]]&amp;PSPOINTS[[#This Row],[PayScalePointCode]]&amp;PSPOINTS[[#This Row],[RateDateFrom]]</f>
        <v>LS_FRIL2045901</v>
      </c>
      <c r="D187" s="57">
        <f>COUNTIF(PSPOINTS[Pay Scale String Duplicates],PSPOINTS[[#This Row],[Pay Scale String Duplicates]])-1</f>
        <v>0</v>
      </c>
      <c r="E187" s="57">
        <f>IF((MONTH(_xlfn.XLOOKUP(PSPOINTS[[#This Row],[PayScaleCode]],'19_PayScales'!N:N,'19_PayScales'!R:R)))=MONTH(PSPOINTS[[#This Row],[RateDateFrom]]),0,1)</f>
        <v>0</v>
      </c>
      <c r="F187" s="57">
        <f>IF(ISBLANK(PSPOINTS[[#This Row],[RateDateTo]]),0,IF(PSPOINTS[[#This Row],[RateDateFrom]]&lt;PSPOINTS[[#This Row],[RateDateTo]],0,1))</f>
        <v>0</v>
      </c>
      <c r="G187" s="57" cm="1">
        <f t="array" aca="1" ref="G187" ca="1">IF(CELL("format",PSPOINTS[[#This Row],[RateDateFrom]])="D1",0,1)+IF(CELL("format",PSPOINTS[[#This Row],[RateDateTo]])="D1",0,1)</f>
        <v>0</v>
      </c>
      <c r="H187" s="57">
        <f>IF(OR(PSPOINTS[[#This Row],[Hourly]]=TRUE,PSPOINTS[[#This Row],[Hourly]]=FALSE),IF(OR(PSPOINTS[[#This Row],[PayScalePointEnabled]]=TRUE,PSPOINTS[[#This Row],[PayScalePointEnabled]]=FALSE),0,1),1)</f>
        <v>0</v>
      </c>
      <c r="I187" s="57">
        <f>IF(LEN(PSPOINTS[[#This Row],[PayScalePointCode]])&lt;100,0,1)</f>
        <v>0</v>
      </c>
      <c r="J187" s="57">
        <f>IF(LEN(PSPOINTS[[#This Row],[PayScalePointTitle]])&lt;100,0,1)</f>
        <v>0</v>
      </c>
      <c r="K187" s="57">
        <f>(COUNTBLANK(PSPOINTS[[#This Row],[PayScalePointCode]:[RateDateFrom]])+COUNTBLANK(PSPOINTS[[#This Row],[PayScaleRate]]))</f>
        <v>0</v>
      </c>
      <c r="L187" s="120">
        <f>IF(SUBSTITUTE(TEXT(PSPOINTS[[#This Row],[PayScaleCode]],10)," ","")=TEXT(PSPOINTS[[#This Row],[PayScaleCode]],10),0,1)+IF(SUBSTITUTE(TEXT(PSPOINTS[[#This Row],[PayScalePointCode]],10)," ","")=TEXT(PSPOINTS[[#This Row],[PayScalePointCode]],10),0,1)</f>
        <v>0</v>
      </c>
      <c r="M187" s="57">
        <f ca="1">SUM(PSPOINTS[[#This Row],[Scale Point Issue]:[Space in Code]])</f>
        <v>0</v>
      </c>
      <c r="N187" s="57" t="s">
        <v>1392</v>
      </c>
      <c r="P187" s="12" t="s">
        <v>1399</v>
      </c>
      <c r="Q187" s="57" t="str">
        <f>_xlfn.XLOOKUP(PSPOINTS[[#This Row],[PayScaleCode]],'19_PayScales'!N:N,'19_PayScales'!O:O)</f>
        <v>Leadership Group Fringe</v>
      </c>
      <c r="R187" s="12" t="s">
        <v>1562</v>
      </c>
      <c r="S187" s="12" t="s">
        <v>1562</v>
      </c>
      <c r="T187" s="12">
        <v>20</v>
      </c>
      <c r="U187" s="12" t="b">
        <v>0</v>
      </c>
      <c r="V187" s="15" t="b">
        <v>1</v>
      </c>
      <c r="W187" s="164">
        <v>45901</v>
      </c>
      <c r="X187" s="140"/>
      <c r="Y187" s="162">
        <v>84092</v>
      </c>
    </row>
    <row r="188" spans="1:25" hidden="1" x14ac:dyDescent="0.25">
      <c r="A188" s="158" t="str">
        <f>PSPOINTS[[#This Row],[PayScaleCode]]&amp;PSPOINTS[[#This Row],[RateDateFrom]]</f>
        <v>LS_FRI45901</v>
      </c>
      <c r="B188" s="57">
        <f t="shared" si="2"/>
        <v>0</v>
      </c>
      <c r="C188" s="57" t="str">
        <f>PSPOINTS[[#This Row],[PayScaleCode]]&amp;PSPOINTS[[#This Row],[PayScalePointCode]]&amp;PSPOINTS[[#This Row],[RateDateFrom]]</f>
        <v>LS_FRIL2145901</v>
      </c>
      <c r="D188" s="57">
        <f>COUNTIF(PSPOINTS[Pay Scale String Duplicates],PSPOINTS[[#This Row],[Pay Scale String Duplicates]])-1</f>
        <v>0</v>
      </c>
      <c r="E188" s="57">
        <f>IF((MONTH(_xlfn.XLOOKUP(PSPOINTS[[#This Row],[PayScaleCode]],'19_PayScales'!N:N,'19_PayScales'!R:R)))=MONTH(PSPOINTS[[#This Row],[RateDateFrom]]),0,1)</f>
        <v>0</v>
      </c>
      <c r="F188" s="57">
        <f>IF(ISBLANK(PSPOINTS[[#This Row],[RateDateTo]]),0,IF(PSPOINTS[[#This Row],[RateDateFrom]]&lt;PSPOINTS[[#This Row],[RateDateTo]],0,1))</f>
        <v>0</v>
      </c>
      <c r="G188" s="57" cm="1">
        <f t="array" aca="1" ref="G188" ca="1">IF(CELL("format",PSPOINTS[[#This Row],[RateDateFrom]])="D1",0,1)+IF(CELL("format",PSPOINTS[[#This Row],[RateDateTo]])="D1",0,1)</f>
        <v>0</v>
      </c>
      <c r="H188" s="57">
        <f>IF(OR(PSPOINTS[[#This Row],[Hourly]]=TRUE,PSPOINTS[[#This Row],[Hourly]]=FALSE),IF(OR(PSPOINTS[[#This Row],[PayScalePointEnabled]]=TRUE,PSPOINTS[[#This Row],[PayScalePointEnabled]]=FALSE),0,1),1)</f>
        <v>0</v>
      </c>
      <c r="I188" s="57">
        <f>IF(LEN(PSPOINTS[[#This Row],[PayScalePointCode]])&lt;100,0,1)</f>
        <v>0</v>
      </c>
      <c r="J188" s="57">
        <f>IF(LEN(PSPOINTS[[#This Row],[PayScalePointTitle]])&lt;100,0,1)</f>
        <v>0</v>
      </c>
      <c r="K188" s="57">
        <f>(COUNTBLANK(PSPOINTS[[#This Row],[PayScalePointCode]:[RateDateFrom]])+COUNTBLANK(PSPOINTS[[#This Row],[PayScaleRate]]))</f>
        <v>0</v>
      </c>
      <c r="L188" s="120">
        <f>IF(SUBSTITUTE(TEXT(PSPOINTS[[#This Row],[PayScaleCode]],10)," ","")=TEXT(PSPOINTS[[#This Row],[PayScaleCode]],10),0,1)+IF(SUBSTITUTE(TEXT(PSPOINTS[[#This Row],[PayScalePointCode]],10)," ","")=TEXT(PSPOINTS[[#This Row],[PayScalePointCode]],10),0,1)</f>
        <v>0</v>
      </c>
      <c r="M188" s="57">
        <f ca="1">SUM(PSPOINTS[[#This Row],[Scale Point Issue]:[Space in Code]])</f>
        <v>0</v>
      </c>
      <c r="N188" s="57" t="s">
        <v>1392</v>
      </c>
      <c r="P188" s="12" t="s">
        <v>1399</v>
      </c>
      <c r="Q188" s="57" t="str">
        <f>_xlfn.XLOOKUP(PSPOINTS[[#This Row],[PayScaleCode]],'19_PayScales'!N:N,'19_PayScales'!O:O)</f>
        <v>Leadership Group Fringe</v>
      </c>
      <c r="R188" s="12" t="s">
        <v>1563</v>
      </c>
      <c r="S188" s="12" t="s">
        <v>1563</v>
      </c>
      <c r="T188" s="12">
        <v>21</v>
      </c>
      <c r="U188" s="12" t="b">
        <v>0</v>
      </c>
      <c r="V188" s="15" t="b">
        <v>1</v>
      </c>
      <c r="W188" s="164">
        <v>45901</v>
      </c>
      <c r="X188" s="140"/>
      <c r="Y188" s="162">
        <v>86138</v>
      </c>
    </row>
    <row r="189" spans="1:25" hidden="1" x14ac:dyDescent="0.25">
      <c r="A189" s="158" t="str">
        <f>PSPOINTS[[#This Row],[PayScaleCode]]&amp;PSPOINTS[[#This Row],[RateDateFrom]]</f>
        <v>LS_FRI45901</v>
      </c>
      <c r="B189" s="57">
        <f t="shared" si="2"/>
        <v>0</v>
      </c>
      <c r="C189" s="57" t="str">
        <f>PSPOINTS[[#This Row],[PayScaleCode]]&amp;PSPOINTS[[#This Row],[PayScalePointCode]]&amp;PSPOINTS[[#This Row],[RateDateFrom]]</f>
        <v>LS_FRIL2245901</v>
      </c>
      <c r="D189" s="57">
        <f>COUNTIF(PSPOINTS[Pay Scale String Duplicates],PSPOINTS[[#This Row],[Pay Scale String Duplicates]])-1</f>
        <v>0</v>
      </c>
      <c r="E189" s="57">
        <f>IF((MONTH(_xlfn.XLOOKUP(PSPOINTS[[#This Row],[PayScaleCode]],'19_PayScales'!N:N,'19_PayScales'!R:R)))=MONTH(PSPOINTS[[#This Row],[RateDateFrom]]),0,1)</f>
        <v>0</v>
      </c>
      <c r="F189" s="57">
        <f>IF(ISBLANK(PSPOINTS[[#This Row],[RateDateTo]]),0,IF(PSPOINTS[[#This Row],[RateDateFrom]]&lt;PSPOINTS[[#This Row],[RateDateTo]],0,1))</f>
        <v>0</v>
      </c>
      <c r="G189" s="57" cm="1">
        <f t="array" aca="1" ref="G189" ca="1">IF(CELL("format",PSPOINTS[[#This Row],[RateDateFrom]])="D1",0,1)+IF(CELL("format",PSPOINTS[[#This Row],[RateDateTo]])="D1",0,1)</f>
        <v>0</v>
      </c>
      <c r="H189" s="57">
        <f>IF(OR(PSPOINTS[[#This Row],[Hourly]]=TRUE,PSPOINTS[[#This Row],[Hourly]]=FALSE),IF(OR(PSPOINTS[[#This Row],[PayScalePointEnabled]]=TRUE,PSPOINTS[[#This Row],[PayScalePointEnabled]]=FALSE),0,1),1)</f>
        <v>0</v>
      </c>
      <c r="I189" s="57">
        <f>IF(LEN(PSPOINTS[[#This Row],[PayScalePointCode]])&lt;100,0,1)</f>
        <v>0</v>
      </c>
      <c r="J189" s="57">
        <f>IF(LEN(PSPOINTS[[#This Row],[PayScalePointTitle]])&lt;100,0,1)</f>
        <v>0</v>
      </c>
      <c r="K189" s="57">
        <f>(COUNTBLANK(PSPOINTS[[#This Row],[PayScalePointCode]:[RateDateFrom]])+COUNTBLANK(PSPOINTS[[#This Row],[PayScaleRate]]))</f>
        <v>0</v>
      </c>
      <c r="L189" s="120">
        <f>IF(SUBSTITUTE(TEXT(PSPOINTS[[#This Row],[PayScaleCode]],10)," ","")=TEXT(PSPOINTS[[#This Row],[PayScaleCode]],10),0,1)+IF(SUBSTITUTE(TEXT(PSPOINTS[[#This Row],[PayScalePointCode]],10)," ","")=TEXT(PSPOINTS[[#This Row],[PayScalePointCode]],10),0,1)</f>
        <v>0</v>
      </c>
      <c r="M189" s="57">
        <f ca="1">SUM(PSPOINTS[[#This Row],[Scale Point Issue]:[Space in Code]])</f>
        <v>0</v>
      </c>
      <c r="N189" s="57" t="s">
        <v>1392</v>
      </c>
      <c r="P189" s="12" t="s">
        <v>1399</v>
      </c>
      <c r="Q189" s="57" t="str">
        <f>_xlfn.XLOOKUP(PSPOINTS[[#This Row],[PayScaleCode]],'19_PayScales'!N:N,'19_PayScales'!O:O)</f>
        <v>Leadership Group Fringe</v>
      </c>
      <c r="R189" s="12" t="s">
        <v>1564</v>
      </c>
      <c r="S189" s="12" t="s">
        <v>1564</v>
      </c>
      <c r="T189" s="12">
        <v>22</v>
      </c>
      <c r="U189" s="12" t="b">
        <v>0</v>
      </c>
      <c r="V189" s="15" t="b">
        <v>1</v>
      </c>
      <c r="W189" s="164">
        <v>45901</v>
      </c>
      <c r="X189" s="140"/>
      <c r="Y189" s="162">
        <v>88237</v>
      </c>
    </row>
    <row r="190" spans="1:25" hidden="1" x14ac:dyDescent="0.25">
      <c r="A190" s="158" t="str">
        <f>PSPOINTS[[#This Row],[PayScaleCode]]&amp;PSPOINTS[[#This Row],[RateDateFrom]]</f>
        <v>LS_FRI45901</v>
      </c>
      <c r="B190" s="57">
        <f t="shared" si="2"/>
        <v>0</v>
      </c>
      <c r="C190" s="57" t="str">
        <f>PSPOINTS[[#This Row],[PayScaleCode]]&amp;PSPOINTS[[#This Row],[PayScalePointCode]]&amp;PSPOINTS[[#This Row],[RateDateFrom]]</f>
        <v>LS_FRIL2345901</v>
      </c>
      <c r="D190" s="57">
        <f>COUNTIF(PSPOINTS[Pay Scale String Duplicates],PSPOINTS[[#This Row],[Pay Scale String Duplicates]])-1</f>
        <v>0</v>
      </c>
      <c r="E190" s="57">
        <f>IF((MONTH(_xlfn.XLOOKUP(PSPOINTS[[#This Row],[PayScaleCode]],'19_PayScales'!N:N,'19_PayScales'!R:R)))=MONTH(PSPOINTS[[#This Row],[RateDateFrom]]),0,1)</f>
        <v>0</v>
      </c>
      <c r="F190" s="57">
        <f>IF(ISBLANK(PSPOINTS[[#This Row],[RateDateTo]]),0,IF(PSPOINTS[[#This Row],[RateDateFrom]]&lt;PSPOINTS[[#This Row],[RateDateTo]],0,1))</f>
        <v>0</v>
      </c>
      <c r="G190" s="57" cm="1">
        <f t="array" aca="1" ref="G190" ca="1">IF(CELL("format",PSPOINTS[[#This Row],[RateDateFrom]])="D1",0,1)+IF(CELL("format",PSPOINTS[[#This Row],[RateDateTo]])="D1",0,1)</f>
        <v>0</v>
      </c>
      <c r="H190" s="57">
        <f>IF(OR(PSPOINTS[[#This Row],[Hourly]]=TRUE,PSPOINTS[[#This Row],[Hourly]]=FALSE),IF(OR(PSPOINTS[[#This Row],[PayScalePointEnabled]]=TRUE,PSPOINTS[[#This Row],[PayScalePointEnabled]]=FALSE),0,1),1)</f>
        <v>0</v>
      </c>
      <c r="I190" s="57">
        <f>IF(LEN(PSPOINTS[[#This Row],[PayScalePointCode]])&lt;100,0,1)</f>
        <v>0</v>
      </c>
      <c r="J190" s="57">
        <f>IF(LEN(PSPOINTS[[#This Row],[PayScalePointTitle]])&lt;100,0,1)</f>
        <v>0</v>
      </c>
      <c r="K190" s="57">
        <f>(COUNTBLANK(PSPOINTS[[#This Row],[PayScalePointCode]:[RateDateFrom]])+COUNTBLANK(PSPOINTS[[#This Row],[PayScaleRate]]))</f>
        <v>0</v>
      </c>
      <c r="L190" s="120">
        <f>IF(SUBSTITUTE(TEXT(PSPOINTS[[#This Row],[PayScaleCode]],10)," ","")=TEXT(PSPOINTS[[#This Row],[PayScaleCode]],10),0,1)+IF(SUBSTITUTE(TEXT(PSPOINTS[[#This Row],[PayScalePointCode]],10)," ","")=TEXT(PSPOINTS[[#This Row],[PayScalePointCode]],10),0,1)</f>
        <v>0</v>
      </c>
      <c r="M190" s="57">
        <f ca="1">SUM(PSPOINTS[[#This Row],[Scale Point Issue]:[Space in Code]])</f>
        <v>0</v>
      </c>
      <c r="N190" s="57" t="s">
        <v>1392</v>
      </c>
      <c r="P190" s="12" t="s">
        <v>1399</v>
      </c>
      <c r="Q190" s="57" t="str">
        <f>_xlfn.XLOOKUP(PSPOINTS[[#This Row],[PayScaleCode]],'19_PayScales'!N:N,'19_PayScales'!O:O)</f>
        <v>Leadership Group Fringe</v>
      </c>
      <c r="R190" s="12" t="s">
        <v>1565</v>
      </c>
      <c r="S190" s="12" t="s">
        <v>1565</v>
      </c>
      <c r="T190" s="12">
        <v>23</v>
      </c>
      <c r="U190" s="12" t="b">
        <v>0</v>
      </c>
      <c r="V190" s="15" t="b">
        <v>1</v>
      </c>
      <c r="W190" s="164">
        <v>45901</v>
      </c>
      <c r="X190" s="140"/>
      <c r="Y190" s="162">
        <v>90381</v>
      </c>
    </row>
    <row r="191" spans="1:25" hidden="1" x14ac:dyDescent="0.25">
      <c r="A191" s="158" t="str">
        <f>PSPOINTS[[#This Row],[PayScaleCode]]&amp;PSPOINTS[[#This Row],[RateDateFrom]]</f>
        <v>LS_FRI45901</v>
      </c>
      <c r="B191" s="57">
        <f t="shared" si="2"/>
        <v>0</v>
      </c>
      <c r="C191" s="57" t="str">
        <f>PSPOINTS[[#This Row],[PayScaleCode]]&amp;PSPOINTS[[#This Row],[PayScalePointCode]]&amp;PSPOINTS[[#This Row],[RateDateFrom]]</f>
        <v>LS_FRIL2445901</v>
      </c>
      <c r="D191" s="57">
        <f>COUNTIF(PSPOINTS[Pay Scale String Duplicates],PSPOINTS[[#This Row],[Pay Scale String Duplicates]])-1</f>
        <v>0</v>
      </c>
      <c r="E191" s="57">
        <f>IF((MONTH(_xlfn.XLOOKUP(PSPOINTS[[#This Row],[PayScaleCode]],'19_PayScales'!N:N,'19_PayScales'!R:R)))=MONTH(PSPOINTS[[#This Row],[RateDateFrom]]),0,1)</f>
        <v>0</v>
      </c>
      <c r="F191" s="57">
        <f>IF(ISBLANK(PSPOINTS[[#This Row],[RateDateTo]]),0,IF(PSPOINTS[[#This Row],[RateDateFrom]]&lt;PSPOINTS[[#This Row],[RateDateTo]],0,1))</f>
        <v>0</v>
      </c>
      <c r="G191" s="57" cm="1">
        <f t="array" aca="1" ref="G191" ca="1">IF(CELL("format",PSPOINTS[[#This Row],[RateDateFrom]])="D1",0,1)+IF(CELL("format",PSPOINTS[[#This Row],[RateDateTo]])="D1",0,1)</f>
        <v>0</v>
      </c>
      <c r="H191" s="57">
        <f>IF(OR(PSPOINTS[[#This Row],[Hourly]]=TRUE,PSPOINTS[[#This Row],[Hourly]]=FALSE),IF(OR(PSPOINTS[[#This Row],[PayScalePointEnabled]]=TRUE,PSPOINTS[[#This Row],[PayScalePointEnabled]]=FALSE),0,1),1)</f>
        <v>0</v>
      </c>
      <c r="I191" s="57">
        <f>IF(LEN(PSPOINTS[[#This Row],[PayScalePointCode]])&lt;100,0,1)</f>
        <v>0</v>
      </c>
      <c r="J191" s="57">
        <f>IF(LEN(PSPOINTS[[#This Row],[PayScalePointTitle]])&lt;100,0,1)</f>
        <v>0</v>
      </c>
      <c r="K191" s="57">
        <f>(COUNTBLANK(PSPOINTS[[#This Row],[PayScalePointCode]:[RateDateFrom]])+COUNTBLANK(PSPOINTS[[#This Row],[PayScaleRate]]))</f>
        <v>0</v>
      </c>
      <c r="L191" s="120">
        <f>IF(SUBSTITUTE(TEXT(PSPOINTS[[#This Row],[PayScaleCode]],10)," ","")=TEXT(PSPOINTS[[#This Row],[PayScaleCode]],10),0,1)+IF(SUBSTITUTE(TEXT(PSPOINTS[[#This Row],[PayScalePointCode]],10)," ","")=TEXT(PSPOINTS[[#This Row],[PayScalePointCode]],10),0,1)</f>
        <v>0</v>
      </c>
      <c r="M191" s="57">
        <f ca="1">SUM(PSPOINTS[[#This Row],[Scale Point Issue]:[Space in Code]])</f>
        <v>0</v>
      </c>
      <c r="N191" s="57" t="s">
        <v>1392</v>
      </c>
      <c r="P191" s="12" t="s">
        <v>1399</v>
      </c>
      <c r="Q191" s="57" t="str">
        <f>_xlfn.XLOOKUP(PSPOINTS[[#This Row],[PayScaleCode]],'19_PayScales'!N:N,'19_PayScales'!O:O)</f>
        <v>Leadership Group Fringe</v>
      </c>
      <c r="R191" s="12" t="s">
        <v>1566</v>
      </c>
      <c r="S191" s="12" t="s">
        <v>1566</v>
      </c>
      <c r="T191" s="12">
        <v>24</v>
      </c>
      <c r="U191" s="12" t="b">
        <v>0</v>
      </c>
      <c r="V191" s="15" t="b">
        <v>1</v>
      </c>
      <c r="W191" s="164">
        <v>45901</v>
      </c>
      <c r="X191" s="140"/>
      <c r="Y191" s="162">
        <v>92595</v>
      </c>
    </row>
    <row r="192" spans="1:25" hidden="1" x14ac:dyDescent="0.25">
      <c r="A192" s="158" t="str">
        <f>PSPOINTS[[#This Row],[PayScaleCode]]&amp;PSPOINTS[[#This Row],[RateDateFrom]]</f>
        <v>LS_FRI45901</v>
      </c>
      <c r="B192" s="57">
        <f t="shared" si="2"/>
        <v>0</v>
      </c>
      <c r="C192" s="57" t="str">
        <f>PSPOINTS[[#This Row],[PayScaleCode]]&amp;PSPOINTS[[#This Row],[PayScalePointCode]]&amp;PSPOINTS[[#This Row],[RateDateFrom]]</f>
        <v>LS_FRIL2545901</v>
      </c>
      <c r="D192" s="57">
        <f>COUNTIF(PSPOINTS[Pay Scale String Duplicates],PSPOINTS[[#This Row],[Pay Scale String Duplicates]])-1</f>
        <v>0</v>
      </c>
      <c r="E192" s="57">
        <f>IF((MONTH(_xlfn.XLOOKUP(PSPOINTS[[#This Row],[PayScaleCode]],'19_PayScales'!N:N,'19_PayScales'!R:R)))=MONTH(PSPOINTS[[#This Row],[RateDateFrom]]),0,1)</f>
        <v>0</v>
      </c>
      <c r="F192" s="57">
        <f>IF(ISBLANK(PSPOINTS[[#This Row],[RateDateTo]]),0,IF(PSPOINTS[[#This Row],[RateDateFrom]]&lt;PSPOINTS[[#This Row],[RateDateTo]],0,1))</f>
        <v>0</v>
      </c>
      <c r="G192" s="57" cm="1">
        <f t="array" aca="1" ref="G192" ca="1">IF(CELL("format",PSPOINTS[[#This Row],[RateDateFrom]])="D1",0,1)+IF(CELL("format",PSPOINTS[[#This Row],[RateDateTo]])="D1",0,1)</f>
        <v>0</v>
      </c>
      <c r="H192" s="57">
        <f>IF(OR(PSPOINTS[[#This Row],[Hourly]]=TRUE,PSPOINTS[[#This Row],[Hourly]]=FALSE),IF(OR(PSPOINTS[[#This Row],[PayScalePointEnabled]]=TRUE,PSPOINTS[[#This Row],[PayScalePointEnabled]]=FALSE),0,1),1)</f>
        <v>0</v>
      </c>
      <c r="I192" s="57">
        <f>IF(LEN(PSPOINTS[[#This Row],[PayScalePointCode]])&lt;100,0,1)</f>
        <v>0</v>
      </c>
      <c r="J192" s="57">
        <f>IF(LEN(PSPOINTS[[#This Row],[PayScalePointTitle]])&lt;100,0,1)</f>
        <v>0</v>
      </c>
      <c r="K192" s="57">
        <f>(COUNTBLANK(PSPOINTS[[#This Row],[PayScalePointCode]:[RateDateFrom]])+COUNTBLANK(PSPOINTS[[#This Row],[PayScaleRate]]))</f>
        <v>0</v>
      </c>
      <c r="L192" s="120">
        <f>IF(SUBSTITUTE(TEXT(PSPOINTS[[#This Row],[PayScaleCode]],10)," ","")=TEXT(PSPOINTS[[#This Row],[PayScaleCode]],10),0,1)+IF(SUBSTITUTE(TEXT(PSPOINTS[[#This Row],[PayScalePointCode]],10)," ","")=TEXT(PSPOINTS[[#This Row],[PayScalePointCode]],10),0,1)</f>
        <v>0</v>
      </c>
      <c r="M192" s="57">
        <f ca="1">SUM(PSPOINTS[[#This Row],[Scale Point Issue]:[Space in Code]])</f>
        <v>0</v>
      </c>
      <c r="N192" s="57" t="s">
        <v>1392</v>
      </c>
      <c r="P192" s="12" t="s">
        <v>1399</v>
      </c>
      <c r="Q192" s="57" t="str">
        <f>_xlfn.XLOOKUP(PSPOINTS[[#This Row],[PayScaleCode]],'19_PayScales'!N:N,'19_PayScales'!O:O)</f>
        <v>Leadership Group Fringe</v>
      </c>
      <c r="R192" s="12" t="s">
        <v>1567</v>
      </c>
      <c r="S192" s="12" t="s">
        <v>1567</v>
      </c>
      <c r="T192" s="12">
        <v>25</v>
      </c>
      <c r="U192" s="12" t="b">
        <v>0</v>
      </c>
      <c r="V192" s="15" t="b">
        <v>1</v>
      </c>
      <c r="W192" s="164">
        <v>45901</v>
      </c>
      <c r="X192" s="140"/>
      <c r="Y192" s="162">
        <v>94854</v>
      </c>
    </row>
    <row r="193" spans="1:25" hidden="1" x14ac:dyDescent="0.25">
      <c r="A193" s="158" t="str">
        <f>PSPOINTS[[#This Row],[PayScaleCode]]&amp;PSPOINTS[[#This Row],[RateDateFrom]]</f>
        <v>LS_FRI45901</v>
      </c>
      <c r="B193" s="57">
        <f t="shared" si="2"/>
        <v>0</v>
      </c>
      <c r="C193" s="57" t="str">
        <f>PSPOINTS[[#This Row],[PayScaleCode]]&amp;PSPOINTS[[#This Row],[PayScalePointCode]]&amp;PSPOINTS[[#This Row],[RateDateFrom]]</f>
        <v>LS_FRIL2645901</v>
      </c>
      <c r="D193" s="57">
        <f>COUNTIF(PSPOINTS[Pay Scale String Duplicates],PSPOINTS[[#This Row],[Pay Scale String Duplicates]])-1</f>
        <v>0</v>
      </c>
      <c r="E193" s="57">
        <f>IF((MONTH(_xlfn.XLOOKUP(PSPOINTS[[#This Row],[PayScaleCode]],'19_PayScales'!N:N,'19_PayScales'!R:R)))=MONTH(PSPOINTS[[#This Row],[RateDateFrom]]),0,1)</f>
        <v>0</v>
      </c>
      <c r="F193" s="57">
        <f>IF(ISBLANK(PSPOINTS[[#This Row],[RateDateTo]]),0,IF(PSPOINTS[[#This Row],[RateDateFrom]]&lt;PSPOINTS[[#This Row],[RateDateTo]],0,1))</f>
        <v>0</v>
      </c>
      <c r="G193" s="57" cm="1">
        <f t="array" aca="1" ref="G193" ca="1">IF(CELL("format",PSPOINTS[[#This Row],[RateDateFrom]])="D1",0,1)+IF(CELL("format",PSPOINTS[[#This Row],[RateDateTo]])="D1",0,1)</f>
        <v>0</v>
      </c>
      <c r="H193" s="57">
        <f>IF(OR(PSPOINTS[[#This Row],[Hourly]]=TRUE,PSPOINTS[[#This Row],[Hourly]]=FALSE),IF(OR(PSPOINTS[[#This Row],[PayScalePointEnabled]]=TRUE,PSPOINTS[[#This Row],[PayScalePointEnabled]]=FALSE),0,1),1)</f>
        <v>0</v>
      </c>
      <c r="I193" s="57">
        <f>IF(LEN(PSPOINTS[[#This Row],[PayScalePointCode]])&lt;100,0,1)</f>
        <v>0</v>
      </c>
      <c r="J193" s="57">
        <f>IF(LEN(PSPOINTS[[#This Row],[PayScalePointTitle]])&lt;100,0,1)</f>
        <v>0</v>
      </c>
      <c r="K193" s="57">
        <f>(COUNTBLANK(PSPOINTS[[#This Row],[PayScalePointCode]:[RateDateFrom]])+COUNTBLANK(PSPOINTS[[#This Row],[PayScaleRate]]))</f>
        <v>0</v>
      </c>
      <c r="L193" s="120">
        <f>IF(SUBSTITUTE(TEXT(PSPOINTS[[#This Row],[PayScaleCode]],10)," ","")=TEXT(PSPOINTS[[#This Row],[PayScaleCode]],10),0,1)+IF(SUBSTITUTE(TEXT(PSPOINTS[[#This Row],[PayScalePointCode]],10)," ","")=TEXT(PSPOINTS[[#This Row],[PayScalePointCode]],10),0,1)</f>
        <v>0</v>
      </c>
      <c r="M193" s="57">
        <f ca="1">SUM(PSPOINTS[[#This Row],[Scale Point Issue]:[Space in Code]])</f>
        <v>0</v>
      </c>
      <c r="N193" s="57" t="s">
        <v>1392</v>
      </c>
      <c r="P193" s="12" t="s">
        <v>1399</v>
      </c>
      <c r="Q193" s="57" t="str">
        <f>_xlfn.XLOOKUP(PSPOINTS[[#This Row],[PayScaleCode]],'19_PayScales'!N:N,'19_PayScales'!O:O)</f>
        <v>Leadership Group Fringe</v>
      </c>
      <c r="R193" s="12" t="s">
        <v>1568</v>
      </c>
      <c r="S193" s="12" t="s">
        <v>1568</v>
      </c>
      <c r="T193" s="12">
        <v>26</v>
      </c>
      <c r="U193" s="12" t="b">
        <v>0</v>
      </c>
      <c r="V193" s="15" t="b">
        <v>1</v>
      </c>
      <c r="W193" s="164">
        <v>45901</v>
      </c>
      <c r="X193" s="140"/>
      <c r="Y193" s="162">
        <v>97170</v>
      </c>
    </row>
    <row r="194" spans="1:25" hidden="1" x14ac:dyDescent="0.25">
      <c r="A194" s="158" t="str">
        <f>PSPOINTS[[#This Row],[PayScaleCode]]&amp;PSPOINTS[[#This Row],[RateDateFrom]]</f>
        <v>LS_FRI45901</v>
      </c>
      <c r="B194" s="57">
        <f t="shared" si="2"/>
        <v>0</v>
      </c>
      <c r="C194" s="57" t="str">
        <f>PSPOINTS[[#This Row],[PayScaleCode]]&amp;PSPOINTS[[#This Row],[PayScalePointCode]]&amp;PSPOINTS[[#This Row],[RateDateFrom]]</f>
        <v>LS_FRIL2745901</v>
      </c>
      <c r="D194" s="57">
        <f>COUNTIF(PSPOINTS[Pay Scale String Duplicates],PSPOINTS[[#This Row],[Pay Scale String Duplicates]])-1</f>
        <v>0</v>
      </c>
      <c r="E194" s="57">
        <f>IF((MONTH(_xlfn.XLOOKUP(PSPOINTS[[#This Row],[PayScaleCode]],'19_PayScales'!N:N,'19_PayScales'!R:R)))=MONTH(PSPOINTS[[#This Row],[RateDateFrom]]),0,1)</f>
        <v>0</v>
      </c>
      <c r="F194" s="57">
        <f>IF(ISBLANK(PSPOINTS[[#This Row],[RateDateTo]]),0,IF(PSPOINTS[[#This Row],[RateDateFrom]]&lt;PSPOINTS[[#This Row],[RateDateTo]],0,1))</f>
        <v>0</v>
      </c>
      <c r="G194" s="57" cm="1">
        <f t="array" aca="1" ref="G194" ca="1">IF(CELL("format",PSPOINTS[[#This Row],[RateDateFrom]])="D1",0,1)+IF(CELL("format",PSPOINTS[[#This Row],[RateDateTo]])="D1",0,1)</f>
        <v>0</v>
      </c>
      <c r="H194" s="57">
        <f>IF(OR(PSPOINTS[[#This Row],[Hourly]]=TRUE,PSPOINTS[[#This Row],[Hourly]]=FALSE),IF(OR(PSPOINTS[[#This Row],[PayScalePointEnabled]]=TRUE,PSPOINTS[[#This Row],[PayScalePointEnabled]]=FALSE),0,1),1)</f>
        <v>0</v>
      </c>
      <c r="I194" s="57">
        <f>IF(LEN(PSPOINTS[[#This Row],[PayScalePointCode]])&lt;100,0,1)</f>
        <v>0</v>
      </c>
      <c r="J194" s="57">
        <f>IF(LEN(PSPOINTS[[#This Row],[PayScalePointTitle]])&lt;100,0,1)</f>
        <v>0</v>
      </c>
      <c r="K194" s="57">
        <f>(COUNTBLANK(PSPOINTS[[#This Row],[PayScalePointCode]:[RateDateFrom]])+COUNTBLANK(PSPOINTS[[#This Row],[PayScaleRate]]))</f>
        <v>0</v>
      </c>
      <c r="L194" s="120">
        <f>IF(SUBSTITUTE(TEXT(PSPOINTS[[#This Row],[PayScaleCode]],10)," ","")=TEXT(PSPOINTS[[#This Row],[PayScaleCode]],10),0,1)+IF(SUBSTITUTE(TEXT(PSPOINTS[[#This Row],[PayScalePointCode]],10)," ","")=TEXT(PSPOINTS[[#This Row],[PayScalePointCode]],10),0,1)</f>
        <v>0</v>
      </c>
      <c r="M194" s="57">
        <f ca="1">SUM(PSPOINTS[[#This Row],[Scale Point Issue]:[Space in Code]])</f>
        <v>0</v>
      </c>
      <c r="N194" s="57" t="s">
        <v>1392</v>
      </c>
      <c r="P194" s="12" t="s">
        <v>1399</v>
      </c>
      <c r="Q194" s="57" t="str">
        <f>_xlfn.XLOOKUP(PSPOINTS[[#This Row],[PayScaleCode]],'19_PayScales'!N:N,'19_PayScales'!O:O)</f>
        <v>Leadership Group Fringe</v>
      </c>
      <c r="R194" s="12" t="s">
        <v>1569</v>
      </c>
      <c r="S194" s="12" t="s">
        <v>1569</v>
      </c>
      <c r="T194" s="12">
        <v>27</v>
      </c>
      <c r="U194" s="12" t="b">
        <v>0</v>
      </c>
      <c r="V194" s="15" t="b">
        <v>1</v>
      </c>
      <c r="W194" s="164">
        <v>45901</v>
      </c>
      <c r="X194" s="140"/>
      <c r="Y194" s="162">
        <v>99537</v>
      </c>
    </row>
    <row r="195" spans="1:25" hidden="1" x14ac:dyDescent="0.25">
      <c r="A195" s="158" t="str">
        <f>PSPOINTS[[#This Row],[PayScaleCode]]&amp;PSPOINTS[[#This Row],[RateDateFrom]]</f>
        <v>LS_FRI45901</v>
      </c>
      <c r="B195" s="57">
        <f t="shared" si="2"/>
        <v>0</v>
      </c>
      <c r="C195" s="57" t="str">
        <f>PSPOINTS[[#This Row],[PayScaleCode]]&amp;PSPOINTS[[#This Row],[PayScalePointCode]]&amp;PSPOINTS[[#This Row],[RateDateFrom]]</f>
        <v>LS_FRIL2845901</v>
      </c>
      <c r="D195" s="57">
        <f>COUNTIF(PSPOINTS[Pay Scale String Duplicates],PSPOINTS[[#This Row],[Pay Scale String Duplicates]])-1</f>
        <v>0</v>
      </c>
      <c r="E195" s="57">
        <f>IF((MONTH(_xlfn.XLOOKUP(PSPOINTS[[#This Row],[PayScaleCode]],'19_PayScales'!N:N,'19_PayScales'!R:R)))=MONTH(PSPOINTS[[#This Row],[RateDateFrom]]),0,1)</f>
        <v>0</v>
      </c>
      <c r="F195" s="57">
        <f>IF(ISBLANK(PSPOINTS[[#This Row],[RateDateTo]]),0,IF(PSPOINTS[[#This Row],[RateDateFrom]]&lt;PSPOINTS[[#This Row],[RateDateTo]],0,1))</f>
        <v>0</v>
      </c>
      <c r="G195" s="57" cm="1">
        <f t="array" aca="1" ref="G195" ca="1">IF(CELL("format",PSPOINTS[[#This Row],[RateDateFrom]])="D1",0,1)+IF(CELL("format",PSPOINTS[[#This Row],[RateDateTo]])="D1",0,1)</f>
        <v>0</v>
      </c>
      <c r="H195" s="57">
        <f>IF(OR(PSPOINTS[[#This Row],[Hourly]]=TRUE,PSPOINTS[[#This Row],[Hourly]]=FALSE),IF(OR(PSPOINTS[[#This Row],[PayScalePointEnabled]]=TRUE,PSPOINTS[[#This Row],[PayScalePointEnabled]]=FALSE),0,1),1)</f>
        <v>0</v>
      </c>
      <c r="I195" s="57">
        <f>IF(LEN(PSPOINTS[[#This Row],[PayScalePointCode]])&lt;100,0,1)</f>
        <v>0</v>
      </c>
      <c r="J195" s="57">
        <f>IF(LEN(PSPOINTS[[#This Row],[PayScalePointTitle]])&lt;100,0,1)</f>
        <v>0</v>
      </c>
      <c r="K195" s="57">
        <f>(COUNTBLANK(PSPOINTS[[#This Row],[PayScalePointCode]:[RateDateFrom]])+COUNTBLANK(PSPOINTS[[#This Row],[PayScaleRate]]))</f>
        <v>0</v>
      </c>
      <c r="L195" s="120">
        <f>IF(SUBSTITUTE(TEXT(PSPOINTS[[#This Row],[PayScaleCode]],10)," ","")=TEXT(PSPOINTS[[#This Row],[PayScaleCode]],10),0,1)+IF(SUBSTITUTE(TEXT(PSPOINTS[[#This Row],[PayScalePointCode]],10)," ","")=TEXT(PSPOINTS[[#This Row],[PayScalePointCode]],10),0,1)</f>
        <v>0</v>
      </c>
      <c r="M195" s="57">
        <f ca="1">SUM(PSPOINTS[[#This Row],[Scale Point Issue]:[Space in Code]])</f>
        <v>0</v>
      </c>
      <c r="N195" s="57" t="s">
        <v>1392</v>
      </c>
      <c r="P195" s="12" t="s">
        <v>1399</v>
      </c>
      <c r="Q195" s="57" t="str">
        <f>_xlfn.XLOOKUP(PSPOINTS[[#This Row],[PayScaleCode]],'19_PayScales'!N:N,'19_PayScales'!O:O)</f>
        <v>Leadership Group Fringe</v>
      </c>
      <c r="R195" s="12" t="s">
        <v>1570</v>
      </c>
      <c r="S195" s="12" t="s">
        <v>1570</v>
      </c>
      <c r="T195" s="12">
        <v>28</v>
      </c>
      <c r="U195" s="12" t="b">
        <v>0</v>
      </c>
      <c r="V195" s="15" t="b">
        <v>1</v>
      </c>
      <c r="W195" s="164">
        <v>45901</v>
      </c>
      <c r="X195" s="140"/>
      <c r="Y195" s="162">
        <v>101967</v>
      </c>
    </row>
    <row r="196" spans="1:25" hidden="1" x14ac:dyDescent="0.25">
      <c r="A196" s="158" t="str">
        <f>PSPOINTS[[#This Row],[PayScaleCode]]&amp;PSPOINTS[[#This Row],[RateDateFrom]]</f>
        <v>LS_FRI45901</v>
      </c>
      <c r="B196" s="57">
        <f t="shared" si="2"/>
        <v>0</v>
      </c>
      <c r="C196" s="57" t="str">
        <f>PSPOINTS[[#This Row],[PayScaleCode]]&amp;PSPOINTS[[#This Row],[PayScalePointCode]]&amp;PSPOINTS[[#This Row],[RateDateFrom]]</f>
        <v>LS_FRIL2945901</v>
      </c>
      <c r="D196" s="57">
        <f>COUNTIF(PSPOINTS[Pay Scale String Duplicates],PSPOINTS[[#This Row],[Pay Scale String Duplicates]])-1</f>
        <v>0</v>
      </c>
      <c r="E196" s="57">
        <f>IF((MONTH(_xlfn.XLOOKUP(PSPOINTS[[#This Row],[PayScaleCode]],'19_PayScales'!N:N,'19_PayScales'!R:R)))=MONTH(PSPOINTS[[#This Row],[RateDateFrom]]),0,1)</f>
        <v>0</v>
      </c>
      <c r="F196" s="57">
        <f>IF(ISBLANK(PSPOINTS[[#This Row],[RateDateTo]]),0,IF(PSPOINTS[[#This Row],[RateDateFrom]]&lt;PSPOINTS[[#This Row],[RateDateTo]],0,1))</f>
        <v>0</v>
      </c>
      <c r="G196" s="57" cm="1">
        <f t="array" aca="1" ref="G196" ca="1">IF(CELL("format",PSPOINTS[[#This Row],[RateDateFrom]])="D1",0,1)+IF(CELL("format",PSPOINTS[[#This Row],[RateDateTo]])="D1",0,1)</f>
        <v>0</v>
      </c>
      <c r="H196" s="57">
        <f>IF(OR(PSPOINTS[[#This Row],[Hourly]]=TRUE,PSPOINTS[[#This Row],[Hourly]]=FALSE),IF(OR(PSPOINTS[[#This Row],[PayScalePointEnabled]]=TRUE,PSPOINTS[[#This Row],[PayScalePointEnabled]]=FALSE),0,1),1)</f>
        <v>0</v>
      </c>
      <c r="I196" s="57">
        <f>IF(LEN(PSPOINTS[[#This Row],[PayScalePointCode]])&lt;100,0,1)</f>
        <v>0</v>
      </c>
      <c r="J196" s="57">
        <f>IF(LEN(PSPOINTS[[#This Row],[PayScalePointTitle]])&lt;100,0,1)</f>
        <v>0</v>
      </c>
      <c r="K196" s="57">
        <f>(COUNTBLANK(PSPOINTS[[#This Row],[PayScalePointCode]:[RateDateFrom]])+COUNTBLANK(PSPOINTS[[#This Row],[PayScaleRate]]))</f>
        <v>0</v>
      </c>
      <c r="L196" s="120">
        <f>IF(SUBSTITUTE(TEXT(PSPOINTS[[#This Row],[PayScaleCode]],10)," ","")=TEXT(PSPOINTS[[#This Row],[PayScaleCode]],10),0,1)+IF(SUBSTITUTE(TEXT(PSPOINTS[[#This Row],[PayScalePointCode]],10)," ","")=TEXT(PSPOINTS[[#This Row],[PayScalePointCode]],10),0,1)</f>
        <v>0</v>
      </c>
      <c r="M196" s="57">
        <f ca="1">SUM(PSPOINTS[[#This Row],[Scale Point Issue]:[Space in Code]])</f>
        <v>0</v>
      </c>
      <c r="N196" s="57" t="s">
        <v>1392</v>
      </c>
      <c r="P196" s="12" t="s">
        <v>1399</v>
      </c>
      <c r="Q196" s="57" t="str">
        <f>_xlfn.XLOOKUP(PSPOINTS[[#This Row],[PayScaleCode]],'19_PayScales'!N:N,'19_PayScales'!O:O)</f>
        <v>Leadership Group Fringe</v>
      </c>
      <c r="R196" s="12" t="s">
        <v>1571</v>
      </c>
      <c r="S196" s="12" t="s">
        <v>1571</v>
      </c>
      <c r="T196" s="12">
        <v>29</v>
      </c>
      <c r="U196" s="12" t="b">
        <v>0</v>
      </c>
      <c r="V196" s="15" t="b">
        <v>1</v>
      </c>
      <c r="W196" s="164">
        <v>45901</v>
      </c>
      <c r="X196" s="140"/>
      <c r="Y196" s="162">
        <v>104462</v>
      </c>
    </row>
    <row r="197" spans="1:25" hidden="1" x14ac:dyDescent="0.25">
      <c r="A197" s="158" t="str">
        <f>PSPOINTS[[#This Row],[PayScaleCode]]&amp;PSPOINTS[[#This Row],[RateDateFrom]]</f>
        <v>LS_FRI45901</v>
      </c>
      <c r="B197" s="57">
        <f t="shared" si="2"/>
        <v>0</v>
      </c>
      <c r="C197" s="57" t="str">
        <f>PSPOINTS[[#This Row],[PayScaleCode]]&amp;PSPOINTS[[#This Row],[PayScalePointCode]]&amp;PSPOINTS[[#This Row],[RateDateFrom]]</f>
        <v>LS_FRIL3045901</v>
      </c>
      <c r="D197" s="57">
        <f>COUNTIF(PSPOINTS[Pay Scale String Duplicates],PSPOINTS[[#This Row],[Pay Scale String Duplicates]])-1</f>
        <v>0</v>
      </c>
      <c r="E197" s="57">
        <f>IF((MONTH(_xlfn.XLOOKUP(PSPOINTS[[#This Row],[PayScaleCode]],'19_PayScales'!N:N,'19_PayScales'!R:R)))=MONTH(PSPOINTS[[#This Row],[RateDateFrom]]),0,1)</f>
        <v>0</v>
      </c>
      <c r="F197" s="57">
        <f>IF(ISBLANK(PSPOINTS[[#This Row],[RateDateTo]]),0,IF(PSPOINTS[[#This Row],[RateDateFrom]]&lt;PSPOINTS[[#This Row],[RateDateTo]],0,1))</f>
        <v>0</v>
      </c>
      <c r="G197" s="57" cm="1">
        <f t="array" aca="1" ref="G197" ca="1">IF(CELL("format",PSPOINTS[[#This Row],[RateDateFrom]])="D1",0,1)+IF(CELL("format",PSPOINTS[[#This Row],[RateDateTo]])="D1",0,1)</f>
        <v>0</v>
      </c>
      <c r="H197" s="57">
        <f>IF(OR(PSPOINTS[[#This Row],[Hourly]]=TRUE,PSPOINTS[[#This Row],[Hourly]]=FALSE),IF(OR(PSPOINTS[[#This Row],[PayScalePointEnabled]]=TRUE,PSPOINTS[[#This Row],[PayScalePointEnabled]]=FALSE),0,1),1)</f>
        <v>0</v>
      </c>
      <c r="I197" s="57">
        <f>IF(LEN(PSPOINTS[[#This Row],[PayScalePointCode]])&lt;100,0,1)</f>
        <v>0</v>
      </c>
      <c r="J197" s="57">
        <f>IF(LEN(PSPOINTS[[#This Row],[PayScalePointTitle]])&lt;100,0,1)</f>
        <v>0</v>
      </c>
      <c r="K197" s="57">
        <f>(COUNTBLANK(PSPOINTS[[#This Row],[PayScalePointCode]:[RateDateFrom]])+COUNTBLANK(PSPOINTS[[#This Row],[PayScaleRate]]))</f>
        <v>0</v>
      </c>
      <c r="L197" s="120">
        <f>IF(SUBSTITUTE(TEXT(PSPOINTS[[#This Row],[PayScaleCode]],10)," ","")=TEXT(PSPOINTS[[#This Row],[PayScaleCode]],10),0,1)+IF(SUBSTITUTE(TEXT(PSPOINTS[[#This Row],[PayScalePointCode]],10)," ","")=TEXT(PSPOINTS[[#This Row],[PayScalePointCode]],10),0,1)</f>
        <v>0</v>
      </c>
      <c r="M197" s="57">
        <f ca="1">SUM(PSPOINTS[[#This Row],[Scale Point Issue]:[Space in Code]])</f>
        <v>0</v>
      </c>
      <c r="N197" s="57" t="s">
        <v>1392</v>
      </c>
      <c r="P197" s="12" t="s">
        <v>1399</v>
      </c>
      <c r="Q197" s="57" t="str">
        <f>_xlfn.XLOOKUP(PSPOINTS[[#This Row],[PayScaleCode]],'19_PayScales'!N:N,'19_PayScales'!O:O)</f>
        <v>Leadership Group Fringe</v>
      </c>
      <c r="R197" s="12" t="s">
        <v>1572</v>
      </c>
      <c r="S197" s="12" t="s">
        <v>1572</v>
      </c>
      <c r="T197" s="12">
        <v>30</v>
      </c>
      <c r="U197" s="12" t="b">
        <v>0</v>
      </c>
      <c r="V197" s="15" t="b">
        <v>1</v>
      </c>
      <c r="W197" s="164">
        <v>45901</v>
      </c>
      <c r="X197" s="140"/>
      <c r="Y197" s="162">
        <v>107018</v>
      </c>
    </row>
    <row r="198" spans="1:25" hidden="1" x14ac:dyDescent="0.25">
      <c r="A198" s="158" t="str">
        <f>PSPOINTS[[#This Row],[PayScaleCode]]&amp;PSPOINTS[[#This Row],[RateDateFrom]]</f>
        <v>LS_FRI45901</v>
      </c>
      <c r="B198" s="57">
        <f t="shared" ref="B198:B261" si="3">IF(A198=A197,SUM(T198-T197)-1,T198-1)</f>
        <v>0</v>
      </c>
      <c r="C198" s="57" t="str">
        <f>PSPOINTS[[#This Row],[PayScaleCode]]&amp;PSPOINTS[[#This Row],[PayScalePointCode]]&amp;PSPOINTS[[#This Row],[RateDateFrom]]</f>
        <v>LS_FRIL3145901</v>
      </c>
      <c r="D198" s="57">
        <f>COUNTIF(PSPOINTS[Pay Scale String Duplicates],PSPOINTS[[#This Row],[Pay Scale String Duplicates]])-1</f>
        <v>0</v>
      </c>
      <c r="E198" s="57">
        <f>IF((MONTH(_xlfn.XLOOKUP(PSPOINTS[[#This Row],[PayScaleCode]],'19_PayScales'!N:N,'19_PayScales'!R:R)))=MONTH(PSPOINTS[[#This Row],[RateDateFrom]]),0,1)</f>
        <v>0</v>
      </c>
      <c r="F198" s="57">
        <f>IF(ISBLANK(PSPOINTS[[#This Row],[RateDateTo]]),0,IF(PSPOINTS[[#This Row],[RateDateFrom]]&lt;PSPOINTS[[#This Row],[RateDateTo]],0,1))</f>
        <v>0</v>
      </c>
      <c r="G198" s="57" cm="1">
        <f t="array" aca="1" ref="G198" ca="1">IF(CELL("format",PSPOINTS[[#This Row],[RateDateFrom]])="D1",0,1)+IF(CELL("format",PSPOINTS[[#This Row],[RateDateTo]])="D1",0,1)</f>
        <v>0</v>
      </c>
      <c r="H198" s="57">
        <f>IF(OR(PSPOINTS[[#This Row],[Hourly]]=TRUE,PSPOINTS[[#This Row],[Hourly]]=FALSE),IF(OR(PSPOINTS[[#This Row],[PayScalePointEnabled]]=TRUE,PSPOINTS[[#This Row],[PayScalePointEnabled]]=FALSE),0,1),1)</f>
        <v>0</v>
      </c>
      <c r="I198" s="57">
        <f>IF(LEN(PSPOINTS[[#This Row],[PayScalePointCode]])&lt;100,0,1)</f>
        <v>0</v>
      </c>
      <c r="J198" s="57">
        <f>IF(LEN(PSPOINTS[[#This Row],[PayScalePointTitle]])&lt;100,0,1)</f>
        <v>0</v>
      </c>
      <c r="K198" s="57">
        <f>(COUNTBLANK(PSPOINTS[[#This Row],[PayScalePointCode]:[RateDateFrom]])+COUNTBLANK(PSPOINTS[[#This Row],[PayScaleRate]]))</f>
        <v>0</v>
      </c>
      <c r="L198" s="120">
        <f>IF(SUBSTITUTE(TEXT(PSPOINTS[[#This Row],[PayScaleCode]],10)," ","")=TEXT(PSPOINTS[[#This Row],[PayScaleCode]],10),0,1)+IF(SUBSTITUTE(TEXT(PSPOINTS[[#This Row],[PayScalePointCode]],10)," ","")=TEXT(PSPOINTS[[#This Row],[PayScalePointCode]],10),0,1)</f>
        <v>0</v>
      </c>
      <c r="M198" s="57">
        <f ca="1">SUM(PSPOINTS[[#This Row],[Scale Point Issue]:[Space in Code]])</f>
        <v>0</v>
      </c>
      <c r="N198" s="57" t="s">
        <v>1392</v>
      </c>
      <c r="P198" s="12" t="s">
        <v>1399</v>
      </c>
      <c r="Q198" s="57" t="str">
        <f>_xlfn.XLOOKUP(PSPOINTS[[#This Row],[PayScaleCode]],'19_PayScales'!N:N,'19_PayScales'!O:O)</f>
        <v>Leadership Group Fringe</v>
      </c>
      <c r="R198" s="12" t="s">
        <v>1573</v>
      </c>
      <c r="S198" s="12" t="s">
        <v>1573</v>
      </c>
      <c r="T198" s="12">
        <v>31</v>
      </c>
      <c r="U198" s="12" t="b">
        <v>0</v>
      </c>
      <c r="V198" s="15" t="b">
        <v>1</v>
      </c>
      <c r="W198" s="164">
        <v>45901</v>
      </c>
      <c r="X198" s="140"/>
      <c r="Y198" s="162">
        <v>109637</v>
      </c>
    </row>
    <row r="199" spans="1:25" hidden="1" x14ac:dyDescent="0.25">
      <c r="A199" s="158" t="str">
        <f>PSPOINTS[[#This Row],[PayScaleCode]]&amp;PSPOINTS[[#This Row],[RateDateFrom]]</f>
        <v>LS_FRI45901</v>
      </c>
      <c r="B199" s="57">
        <f t="shared" si="3"/>
        <v>0</v>
      </c>
      <c r="C199" s="57" t="str">
        <f>PSPOINTS[[#This Row],[PayScaleCode]]&amp;PSPOINTS[[#This Row],[PayScalePointCode]]&amp;PSPOINTS[[#This Row],[RateDateFrom]]</f>
        <v>LS_FRIL3245901</v>
      </c>
      <c r="D199" s="57">
        <f>COUNTIF(PSPOINTS[Pay Scale String Duplicates],PSPOINTS[[#This Row],[Pay Scale String Duplicates]])-1</f>
        <v>0</v>
      </c>
      <c r="E199" s="57">
        <f>IF((MONTH(_xlfn.XLOOKUP(PSPOINTS[[#This Row],[PayScaleCode]],'19_PayScales'!N:N,'19_PayScales'!R:R)))=MONTH(PSPOINTS[[#This Row],[RateDateFrom]]),0,1)</f>
        <v>0</v>
      </c>
      <c r="F199" s="57">
        <f>IF(ISBLANK(PSPOINTS[[#This Row],[RateDateTo]]),0,IF(PSPOINTS[[#This Row],[RateDateFrom]]&lt;PSPOINTS[[#This Row],[RateDateTo]],0,1))</f>
        <v>0</v>
      </c>
      <c r="G199" s="57" cm="1">
        <f t="array" aca="1" ref="G199" ca="1">IF(CELL("format",PSPOINTS[[#This Row],[RateDateFrom]])="D1",0,1)+IF(CELL("format",PSPOINTS[[#This Row],[RateDateTo]])="D1",0,1)</f>
        <v>0</v>
      </c>
      <c r="H199" s="57">
        <f>IF(OR(PSPOINTS[[#This Row],[Hourly]]=TRUE,PSPOINTS[[#This Row],[Hourly]]=FALSE),IF(OR(PSPOINTS[[#This Row],[PayScalePointEnabled]]=TRUE,PSPOINTS[[#This Row],[PayScalePointEnabled]]=FALSE),0,1),1)</f>
        <v>0</v>
      </c>
      <c r="I199" s="57">
        <f>IF(LEN(PSPOINTS[[#This Row],[PayScalePointCode]])&lt;100,0,1)</f>
        <v>0</v>
      </c>
      <c r="J199" s="57">
        <f>IF(LEN(PSPOINTS[[#This Row],[PayScalePointTitle]])&lt;100,0,1)</f>
        <v>0</v>
      </c>
      <c r="K199" s="57">
        <f>(COUNTBLANK(PSPOINTS[[#This Row],[PayScalePointCode]:[RateDateFrom]])+COUNTBLANK(PSPOINTS[[#This Row],[PayScaleRate]]))</f>
        <v>0</v>
      </c>
      <c r="L199" s="120">
        <f>IF(SUBSTITUTE(TEXT(PSPOINTS[[#This Row],[PayScaleCode]],10)," ","")=TEXT(PSPOINTS[[#This Row],[PayScaleCode]],10),0,1)+IF(SUBSTITUTE(TEXT(PSPOINTS[[#This Row],[PayScalePointCode]],10)," ","")=TEXT(PSPOINTS[[#This Row],[PayScalePointCode]],10),0,1)</f>
        <v>0</v>
      </c>
      <c r="M199" s="57">
        <f ca="1">SUM(PSPOINTS[[#This Row],[Scale Point Issue]:[Space in Code]])</f>
        <v>0</v>
      </c>
      <c r="N199" s="57" t="s">
        <v>1392</v>
      </c>
      <c r="P199" s="12" t="s">
        <v>1399</v>
      </c>
      <c r="Q199" s="57" t="str">
        <f>_xlfn.XLOOKUP(PSPOINTS[[#This Row],[PayScaleCode]],'19_PayScales'!N:N,'19_PayScales'!O:O)</f>
        <v>Leadership Group Fringe</v>
      </c>
      <c r="R199" s="12" t="s">
        <v>1574</v>
      </c>
      <c r="S199" s="12" t="s">
        <v>1574</v>
      </c>
      <c r="T199" s="12">
        <v>32</v>
      </c>
      <c r="U199" s="12" t="b">
        <v>0</v>
      </c>
      <c r="V199" s="15" t="b">
        <v>1</v>
      </c>
      <c r="W199" s="164">
        <v>45901</v>
      </c>
      <c r="X199" s="140"/>
      <c r="Y199" s="162">
        <v>112328</v>
      </c>
    </row>
    <row r="200" spans="1:25" hidden="1" x14ac:dyDescent="0.25">
      <c r="A200" s="158" t="str">
        <f>PSPOINTS[[#This Row],[PayScaleCode]]&amp;PSPOINTS[[#This Row],[RateDateFrom]]</f>
        <v>LS_FRI45901</v>
      </c>
      <c r="B200" s="57">
        <f t="shared" si="3"/>
        <v>0</v>
      </c>
      <c r="C200" s="57" t="str">
        <f>PSPOINTS[[#This Row],[PayScaleCode]]&amp;PSPOINTS[[#This Row],[PayScalePointCode]]&amp;PSPOINTS[[#This Row],[RateDateFrom]]</f>
        <v>LS_FRIL3345901</v>
      </c>
      <c r="D200" s="57">
        <f>COUNTIF(PSPOINTS[Pay Scale String Duplicates],PSPOINTS[[#This Row],[Pay Scale String Duplicates]])-1</f>
        <v>0</v>
      </c>
      <c r="E200" s="57">
        <f>IF((MONTH(_xlfn.XLOOKUP(PSPOINTS[[#This Row],[PayScaleCode]],'19_PayScales'!N:N,'19_PayScales'!R:R)))=MONTH(PSPOINTS[[#This Row],[RateDateFrom]]),0,1)</f>
        <v>0</v>
      </c>
      <c r="F200" s="57">
        <f>IF(ISBLANK(PSPOINTS[[#This Row],[RateDateTo]]),0,IF(PSPOINTS[[#This Row],[RateDateFrom]]&lt;PSPOINTS[[#This Row],[RateDateTo]],0,1))</f>
        <v>0</v>
      </c>
      <c r="G200" s="57" cm="1">
        <f t="array" aca="1" ref="G200" ca="1">IF(CELL("format",PSPOINTS[[#This Row],[RateDateFrom]])="D1",0,1)+IF(CELL("format",PSPOINTS[[#This Row],[RateDateTo]])="D1",0,1)</f>
        <v>0</v>
      </c>
      <c r="H200" s="57">
        <f>IF(OR(PSPOINTS[[#This Row],[Hourly]]=TRUE,PSPOINTS[[#This Row],[Hourly]]=FALSE),IF(OR(PSPOINTS[[#This Row],[PayScalePointEnabled]]=TRUE,PSPOINTS[[#This Row],[PayScalePointEnabled]]=FALSE),0,1),1)</f>
        <v>0</v>
      </c>
      <c r="I200" s="57">
        <f>IF(LEN(PSPOINTS[[#This Row],[PayScalePointCode]])&lt;100,0,1)</f>
        <v>0</v>
      </c>
      <c r="J200" s="57">
        <f>IF(LEN(PSPOINTS[[#This Row],[PayScalePointTitle]])&lt;100,0,1)</f>
        <v>0</v>
      </c>
      <c r="K200" s="57">
        <f>(COUNTBLANK(PSPOINTS[[#This Row],[PayScalePointCode]:[RateDateFrom]])+COUNTBLANK(PSPOINTS[[#This Row],[PayScaleRate]]))</f>
        <v>0</v>
      </c>
      <c r="L200" s="120">
        <f>IF(SUBSTITUTE(TEXT(PSPOINTS[[#This Row],[PayScaleCode]],10)," ","")=TEXT(PSPOINTS[[#This Row],[PayScaleCode]],10),0,1)+IF(SUBSTITUTE(TEXT(PSPOINTS[[#This Row],[PayScalePointCode]],10)," ","")=TEXT(PSPOINTS[[#This Row],[PayScalePointCode]],10),0,1)</f>
        <v>0</v>
      </c>
      <c r="M200" s="57">
        <f ca="1">SUM(PSPOINTS[[#This Row],[Scale Point Issue]:[Space in Code]])</f>
        <v>0</v>
      </c>
      <c r="N200" s="57" t="s">
        <v>1392</v>
      </c>
      <c r="P200" s="12" t="s">
        <v>1399</v>
      </c>
      <c r="Q200" s="57" t="str">
        <f>_xlfn.XLOOKUP(PSPOINTS[[#This Row],[PayScaleCode]],'19_PayScales'!N:N,'19_PayScales'!O:O)</f>
        <v>Leadership Group Fringe</v>
      </c>
      <c r="R200" s="12" t="s">
        <v>1575</v>
      </c>
      <c r="S200" s="12" t="s">
        <v>1575</v>
      </c>
      <c r="T200" s="12">
        <v>33</v>
      </c>
      <c r="U200" s="12" t="b">
        <v>0</v>
      </c>
      <c r="V200" s="15" t="b">
        <v>1</v>
      </c>
      <c r="W200" s="164">
        <v>45901</v>
      </c>
      <c r="X200" s="140"/>
      <c r="Y200" s="162">
        <v>115083</v>
      </c>
    </row>
    <row r="201" spans="1:25" hidden="1" x14ac:dyDescent="0.25">
      <c r="A201" s="158" t="str">
        <f>PSPOINTS[[#This Row],[PayScaleCode]]&amp;PSPOINTS[[#This Row],[RateDateFrom]]</f>
        <v>LS_FRI45901</v>
      </c>
      <c r="B201" s="57">
        <f t="shared" si="3"/>
        <v>0</v>
      </c>
      <c r="C201" s="57" t="str">
        <f>PSPOINTS[[#This Row],[PayScaleCode]]&amp;PSPOINTS[[#This Row],[PayScalePointCode]]&amp;PSPOINTS[[#This Row],[RateDateFrom]]</f>
        <v>LS_FRIL3445901</v>
      </c>
      <c r="D201" s="57">
        <f>COUNTIF(PSPOINTS[Pay Scale String Duplicates],PSPOINTS[[#This Row],[Pay Scale String Duplicates]])-1</f>
        <v>0</v>
      </c>
      <c r="E201" s="57">
        <f>IF((MONTH(_xlfn.XLOOKUP(PSPOINTS[[#This Row],[PayScaleCode]],'19_PayScales'!N:N,'19_PayScales'!R:R)))=MONTH(PSPOINTS[[#This Row],[RateDateFrom]]),0,1)</f>
        <v>0</v>
      </c>
      <c r="F201" s="57">
        <f>IF(ISBLANK(PSPOINTS[[#This Row],[RateDateTo]]),0,IF(PSPOINTS[[#This Row],[RateDateFrom]]&lt;PSPOINTS[[#This Row],[RateDateTo]],0,1))</f>
        <v>0</v>
      </c>
      <c r="G201" s="57" cm="1">
        <f t="array" aca="1" ref="G201" ca="1">IF(CELL("format",PSPOINTS[[#This Row],[RateDateFrom]])="D1",0,1)+IF(CELL("format",PSPOINTS[[#This Row],[RateDateTo]])="D1",0,1)</f>
        <v>0</v>
      </c>
      <c r="H201" s="57">
        <f>IF(OR(PSPOINTS[[#This Row],[Hourly]]=TRUE,PSPOINTS[[#This Row],[Hourly]]=FALSE),IF(OR(PSPOINTS[[#This Row],[PayScalePointEnabled]]=TRUE,PSPOINTS[[#This Row],[PayScalePointEnabled]]=FALSE),0,1),1)</f>
        <v>0</v>
      </c>
      <c r="I201" s="57">
        <f>IF(LEN(PSPOINTS[[#This Row],[PayScalePointCode]])&lt;100,0,1)</f>
        <v>0</v>
      </c>
      <c r="J201" s="57">
        <f>IF(LEN(PSPOINTS[[#This Row],[PayScalePointTitle]])&lt;100,0,1)</f>
        <v>0</v>
      </c>
      <c r="K201" s="57">
        <f>(COUNTBLANK(PSPOINTS[[#This Row],[PayScalePointCode]:[RateDateFrom]])+COUNTBLANK(PSPOINTS[[#This Row],[PayScaleRate]]))</f>
        <v>0</v>
      </c>
      <c r="L201" s="120">
        <f>IF(SUBSTITUTE(TEXT(PSPOINTS[[#This Row],[PayScaleCode]],10)," ","")=TEXT(PSPOINTS[[#This Row],[PayScaleCode]],10),0,1)+IF(SUBSTITUTE(TEXT(PSPOINTS[[#This Row],[PayScalePointCode]],10)," ","")=TEXT(PSPOINTS[[#This Row],[PayScalePointCode]],10),0,1)</f>
        <v>0</v>
      </c>
      <c r="M201" s="57">
        <f ca="1">SUM(PSPOINTS[[#This Row],[Scale Point Issue]:[Space in Code]])</f>
        <v>0</v>
      </c>
      <c r="N201" s="57" t="s">
        <v>1392</v>
      </c>
      <c r="P201" s="12" t="s">
        <v>1399</v>
      </c>
      <c r="Q201" s="57" t="str">
        <f>_xlfn.XLOOKUP(PSPOINTS[[#This Row],[PayScaleCode]],'19_PayScales'!N:N,'19_PayScales'!O:O)</f>
        <v>Leadership Group Fringe</v>
      </c>
      <c r="R201" s="12" t="s">
        <v>1576</v>
      </c>
      <c r="S201" s="12" t="s">
        <v>1576</v>
      </c>
      <c r="T201" s="12">
        <v>34</v>
      </c>
      <c r="U201" s="12" t="b">
        <v>0</v>
      </c>
      <c r="V201" s="15" t="b">
        <v>1</v>
      </c>
      <c r="W201" s="164">
        <v>45901</v>
      </c>
      <c r="X201" s="140"/>
      <c r="Y201" s="162">
        <v>117891</v>
      </c>
    </row>
    <row r="202" spans="1:25" hidden="1" x14ac:dyDescent="0.25">
      <c r="A202" s="158" t="str">
        <f>PSPOINTS[[#This Row],[PayScaleCode]]&amp;PSPOINTS[[#This Row],[RateDateFrom]]</f>
        <v>LS_FRI45901</v>
      </c>
      <c r="B202" s="57">
        <f t="shared" si="3"/>
        <v>0</v>
      </c>
      <c r="C202" s="57" t="str">
        <f>PSPOINTS[[#This Row],[PayScaleCode]]&amp;PSPOINTS[[#This Row],[PayScalePointCode]]&amp;PSPOINTS[[#This Row],[RateDateFrom]]</f>
        <v>LS_FRIL3545901</v>
      </c>
      <c r="D202" s="57">
        <f>COUNTIF(PSPOINTS[Pay Scale String Duplicates],PSPOINTS[[#This Row],[Pay Scale String Duplicates]])-1</f>
        <v>0</v>
      </c>
      <c r="E202" s="57">
        <f>IF((MONTH(_xlfn.XLOOKUP(PSPOINTS[[#This Row],[PayScaleCode]],'19_PayScales'!N:N,'19_PayScales'!R:R)))=MONTH(PSPOINTS[[#This Row],[RateDateFrom]]),0,1)</f>
        <v>0</v>
      </c>
      <c r="F202" s="57">
        <f>IF(ISBLANK(PSPOINTS[[#This Row],[RateDateTo]]),0,IF(PSPOINTS[[#This Row],[RateDateFrom]]&lt;PSPOINTS[[#This Row],[RateDateTo]],0,1))</f>
        <v>0</v>
      </c>
      <c r="G202" s="57" cm="1">
        <f t="array" aca="1" ref="G202" ca="1">IF(CELL("format",PSPOINTS[[#This Row],[RateDateFrom]])="D1",0,1)+IF(CELL("format",PSPOINTS[[#This Row],[RateDateTo]])="D1",0,1)</f>
        <v>0</v>
      </c>
      <c r="H202" s="57">
        <f>IF(OR(PSPOINTS[[#This Row],[Hourly]]=TRUE,PSPOINTS[[#This Row],[Hourly]]=FALSE),IF(OR(PSPOINTS[[#This Row],[PayScalePointEnabled]]=TRUE,PSPOINTS[[#This Row],[PayScalePointEnabled]]=FALSE),0,1),1)</f>
        <v>0</v>
      </c>
      <c r="I202" s="57">
        <f>IF(LEN(PSPOINTS[[#This Row],[PayScalePointCode]])&lt;100,0,1)</f>
        <v>0</v>
      </c>
      <c r="J202" s="57">
        <f>IF(LEN(PSPOINTS[[#This Row],[PayScalePointTitle]])&lt;100,0,1)</f>
        <v>0</v>
      </c>
      <c r="K202" s="57">
        <f>(COUNTBLANK(PSPOINTS[[#This Row],[PayScalePointCode]:[RateDateFrom]])+COUNTBLANK(PSPOINTS[[#This Row],[PayScaleRate]]))</f>
        <v>0</v>
      </c>
      <c r="L202" s="120">
        <f>IF(SUBSTITUTE(TEXT(PSPOINTS[[#This Row],[PayScaleCode]],10)," ","")=TEXT(PSPOINTS[[#This Row],[PayScaleCode]],10),0,1)+IF(SUBSTITUTE(TEXT(PSPOINTS[[#This Row],[PayScalePointCode]],10)," ","")=TEXT(PSPOINTS[[#This Row],[PayScalePointCode]],10),0,1)</f>
        <v>0</v>
      </c>
      <c r="M202" s="57">
        <f ca="1">SUM(PSPOINTS[[#This Row],[Scale Point Issue]:[Space in Code]])</f>
        <v>0</v>
      </c>
      <c r="N202" s="57" t="s">
        <v>1392</v>
      </c>
      <c r="P202" s="12" t="s">
        <v>1399</v>
      </c>
      <c r="Q202" s="57" t="str">
        <f>_xlfn.XLOOKUP(PSPOINTS[[#This Row],[PayScaleCode]],'19_PayScales'!N:N,'19_PayScales'!O:O)</f>
        <v>Leadership Group Fringe</v>
      </c>
      <c r="R202" s="12" t="s">
        <v>1577</v>
      </c>
      <c r="S202" s="12" t="s">
        <v>1577</v>
      </c>
      <c r="T202" s="12">
        <v>35</v>
      </c>
      <c r="U202" s="12" t="b">
        <v>0</v>
      </c>
      <c r="V202" s="15" t="b">
        <v>1</v>
      </c>
      <c r="W202" s="164">
        <v>45901</v>
      </c>
      <c r="X202" s="140"/>
      <c r="Y202" s="162">
        <v>120786</v>
      </c>
    </row>
    <row r="203" spans="1:25" hidden="1" x14ac:dyDescent="0.25">
      <c r="A203" s="158" t="str">
        <f>PSPOINTS[[#This Row],[PayScaleCode]]&amp;PSPOINTS[[#This Row],[RateDateFrom]]</f>
        <v>LS_FRI45901</v>
      </c>
      <c r="B203" s="57">
        <f t="shared" si="3"/>
        <v>0</v>
      </c>
      <c r="C203" s="57" t="str">
        <f>PSPOINTS[[#This Row],[PayScaleCode]]&amp;PSPOINTS[[#This Row],[PayScalePointCode]]&amp;PSPOINTS[[#This Row],[RateDateFrom]]</f>
        <v>LS_FRIL3645901</v>
      </c>
      <c r="D203" s="57">
        <f>COUNTIF(PSPOINTS[Pay Scale String Duplicates],PSPOINTS[[#This Row],[Pay Scale String Duplicates]])-1</f>
        <v>0</v>
      </c>
      <c r="E203" s="57">
        <f>IF((MONTH(_xlfn.XLOOKUP(PSPOINTS[[#This Row],[PayScaleCode]],'19_PayScales'!N:N,'19_PayScales'!R:R)))=MONTH(PSPOINTS[[#This Row],[RateDateFrom]]),0,1)</f>
        <v>0</v>
      </c>
      <c r="F203" s="57">
        <f>IF(ISBLANK(PSPOINTS[[#This Row],[RateDateTo]]),0,IF(PSPOINTS[[#This Row],[RateDateFrom]]&lt;PSPOINTS[[#This Row],[RateDateTo]],0,1))</f>
        <v>0</v>
      </c>
      <c r="G203" s="57" cm="1">
        <f t="array" aca="1" ref="G203" ca="1">IF(CELL("format",PSPOINTS[[#This Row],[RateDateFrom]])="D1",0,1)+IF(CELL("format",PSPOINTS[[#This Row],[RateDateTo]])="D1",0,1)</f>
        <v>0</v>
      </c>
      <c r="H203" s="57">
        <f>IF(OR(PSPOINTS[[#This Row],[Hourly]]=TRUE,PSPOINTS[[#This Row],[Hourly]]=FALSE),IF(OR(PSPOINTS[[#This Row],[PayScalePointEnabled]]=TRUE,PSPOINTS[[#This Row],[PayScalePointEnabled]]=FALSE),0,1),1)</f>
        <v>0</v>
      </c>
      <c r="I203" s="57">
        <f>IF(LEN(PSPOINTS[[#This Row],[PayScalePointCode]])&lt;100,0,1)</f>
        <v>0</v>
      </c>
      <c r="J203" s="57">
        <f>IF(LEN(PSPOINTS[[#This Row],[PayScalePointTitle]])&lt;100,0,1)</f>
        <v>0</v>
      </c>
      <c r="K203" s="57">
        <f>(COUNTBLANK(PSPOINTS[[#This Row],[PayScalePointCode]:[RateDateFrom]])+COUNTBLANK(PSPOINTS[[#This Row],[PayScaleRate]]))</f>
        <v>0</v>
      </c>
      <c r="L203" s="120">
        <f>IF(SUBSTITUTE(TEXT(PSPOINTS[[#This Row],[PayScaleCode]],10)," ","")=TEXT(PSPOINTS[[#This Row],[PayScaleCode]],10),0,1)+IF(SUBSTITUTE(TEXT(PSPOINTS[[#This Row],[PayScalePointCode]],10)," ","")=TEXT(PSPOINTS[[#This Row],[PayScalePointCode]],10),0,1)</f>
        <v>0</v>
      </c>
      <c r="M203" s="57">
        <f ca="1">SUM(PSPOINTS[[#This Row],[Scale Point Issue]:[Space in Code]])</f>
        <v>0</v>
      </c>
      <c r="N203" s="57" t="s">
        <v>1392</v>
      </c>
      <c r="P203" s="12" t="s">
        <v>1399</v>
      </c>
      <c r="Q203" s="57" t="str">
        <f>_xlfn.XLOOKUP(PSPOINTS[[#This Row],[PayScaleCode]],'19_PayScales'!N:N,'19_PayScales'!O:O)</f>
        <v>Leadership Group Fringe</v>
      </c>
      <c r="R203" s="12" t="s">
        <v>1578</v>
      </c>
      <c r="S203" s="12" t="s">
        <v>1578</v>
      </c>
      <c r="T203" s="12">
        <v>36</v>
      </c>
      <c r="U203" s="12" t="b">
        <v>0</v>
      </c>
      <c r="V203" s="15" t="b">
        <v>1</v>
      </c>
      <c r="W203" s="164">
        <v>45901</v>
      </c>
      <c r="X203" s="140"/>
      <c r="Y203" s="162">
        <v>123737</v>
      </c>
    </row>
    <row r="204" spans="1:25" hidden="1" x14ac:dyDescent="0.25">
      <c r="A204" s="158" t="str">
        <f>PSPOINTS[[#This Row],[PayScaleCode]]&amp;PSPOINTS[[#This Row],[RateDateFrom]]</f>
        <v>LS_FRI45901</v>
      </c>
      <c r="B204" s="57">
        <f t="shared" si="3"/>
        <v>0</v>
      </c>
      <c r="C204" s="57" t="str">
        <f>PSPOINTS[[#This Row],[PayScaleCode]]&amp;PSPOINTS[[#This Row],[PayScalePointCode]]&amp;PSPOINTS[[#This Row],[RateDateFrom]]</f>
        <v>LS_FRIL3745901</v>
      </c>
      <c r="D204" s="57">
        <f>COUNTIF(PSPOINTS[Pay Scale String Duplicates],PSPOINTS[[#This Row],[Pay Scale String Duplicates]])-1</f>
        <v>0</v>
      </c>
      <c r="E204" s="57">
        <f>IF((MONTH(_xlfn.XLOOKUP(PSPOINTS[[#This Row],[PayScaleCode]],'19_PayScales'!N:N,'19_PayScales'!R:R)))=MONTH(PSPOINTS[[#This Row],[RateDateFrom]]),0,1)</f>
        <v>0</v>
      </c>
      <c r="F204" s="57">
        <f>IF(ISBLANK(PSPOINTS[[#This Row],[RateDateTo]]),0,IF(PSPOINTS[[#This Row],[RateDateFrom]]&lt;PSPOINTS[[#This Row],[RateDateTo]],0,1))</f>
        <v>0</v>
      </c>
      <c r="G204" s="57" cm="1">
        <f t="array" aca="1" ref="G204" ca="1">IF(CELL("format",PSPOINTS[[#This Row],[RateDateFrom]])="D1",0,1)+IF(CELL("format",PSPOINTS[[#This Row],[RateDateTo]])="D1",0,1)</f>
        <v>0</v>
      </c>
      <c r="H204" s="57">
        <f>IF(OR(PSPOINTS[[#This Row],[Hourly]]=TRUE,PSPOINTS[[#This Row],[Hourly]]=FALSE),IF(OR(PSPOINTS[[#This Row],[PayScalePointEnabled]]=TRUE,PSPOINTS[[#This Row],[PayScalePointEnabled]]=FALSE),0,1),1)</f>
        <v>0</v>
      </c>
      <c r="I204" s="57">
        <f>IF(LEN(PSPOINTS[[#This Row],[PayScalePointCode]])&lt;100,0,1)</f>
        <v>0</v>
      </c>
      <c r="J204" s="57">
        <f>IF(LEN(PSPOINTS[[#This Row],[PayScalePointTitle]])&lt;100,0,1)</f>
        <v>0</v>
      </c>
      <c r="K204" s="57">
        <f>(COUNTBLANK(PSPOINTS[[#This Row],[PayScalePointCode]:[RateDateFrom]])+COUNTBLANK(PSPOINTS[[#This Row],[PayScaleRate]]))</f>
        <v>0</v>
      </c>
      <c r="L204" s="120">
        <f>IF(SUBSTITUTE(TEXT(PSPOINTS[[#This Row],[PayScaleCode]],10)," ","")=TEXT(PSPOINTS[[#This Row],[PayScaleCode]],10),0,1)+IF(SUBSTITUTE(TEXT(PSPOINTS[[#This Row],[PayScalePointCode]],10)," ","")=TEXT(PSPOINTS[[#This Row],[PayScalePointCode]],10),0,1)</f>
        <v>0</v>
      </c>
      <c r="M204" s="57">
        <f ca="1">SUM(PSPOINTS[[#This Row],[Scale Point Issue]:[Space in Code]])</f>
        <v>0</v>
      </c>
      <c r="N204" s="57" t="s">
        <v>1392</v>
      </c>
      <c r="P204" s="12" t="s">
        <v>1399</v>
      </c>
      <c r="Q204" s="57" t="str">
        <f>_xlfn.XLOOKUP(PSPOINTS[[#This Row],[PayScaleCode]],'19_PayScales'!N:N,'19_PayScales'!O:O)</f>
        <v>Leadership Group Fringe</v>
      </c>
      <c r="R204" s="12" t="s">
        <v>1579</v>
      </c>
      <c r="S204" s="12" t="s">
        <v>1579</v>
      </c>
      <c r="T204" s="12">
        <v>37</v>
      </c>
      <c r="U204" s="12" t="b">
        <v>0</v>
      </c>
      <c r="V204" s="15" t="b">
        <v>1</v>
      </c>
      <c r="W204" s="164">
        <v>45901</v>
      </c>
      <c r="X204" s="140"/>
      <c r="Y204" s="162">
        <v>126780</v>
      </c>
    </row>
    <row r="205" spans="1:25" hidden="1" x14ac:dyDescent="0.25">
      <c r="A205" s="158" t="str">
        <f>PSPOINTS[[#This Row],[PayScaleCode]]&amp;PSPOINTS[[#This Row],[RateDateFrom]]</f>
        <v>LS_FRI45901</v>
      </c>
      <c r="B205" s="57">
        <f t="shared" si="3"/>
        <v>0</v>
      </c>
      <c r="C205" s="57" t="str">
        <f>PSPOINTS[[#This Row],[PayScaleCode]]&amp;PSPOINTS[[#This Row],[PayScalePointCode]]&amp;PSPOINTS[[#This Row],[RateDateFrom]]</f>
        <v>LS_FRIL3845901</v>
      </c>
      <c r="D205" s="57">
        <f>COUNTIF(PSPOINTS[Pay Scale String Duplicates],PSPOINTS[[#This Row],[Pay Scale String Duplicates]])-1</f>
        <v>0</v>
      </c>
      <c r="E205" s="57">
        <f>IF((MONTH(_xlfn.XLOOKUP(PSPOINTS[[#This Row],[PayScaleCode]],'19_PayScales'!N:N,'19_PayScales'!R:R)))=MONTH(PSPOINTS[[#This Row],[RateDateFrom]]),0,1)</f>
        <v>0</v>
      </c>
      <c r="F205" s="57">
        <f>IF(ISBLANK(PSPOINTS[[#This Row],[RateDateTo]]),0,IF(PSPOINTS[[#This Row],[RateDateFrom]]&lt;PSPOINTS[[#This Row],[RateDateTo]],0,1))</f>
        <v>0</v>
      </c>
      <c r="G205" s="57" cm="1">
        <f t="array" aca="1" ref="G205" ca="1">IF(CELL("format",PSPOINTS[[#This Row],[RateDateFrom]])="D1",0,1)+IF(CELL("format",PSPOINTS[[#This Row],[RateDateTo]])="D1",0,1)</f>
        <v>0</v>
      </c>
      <c r="H205" s="57">
        <f>IF(OR(PSPOINTS[[#This Row],[Hourly]]=TRUE,PSPOINTS[[#This Row],[Hourly]]=FALSE),IF(OR(PSPOINTS[[#This Row],[PayScalePointEnabled]]=TRUE,PSPOINTS[[#This Row],[PayScalePointEnabled]]=FALSE),0,1),1)</f>
        <v>0</v>
      </c>
      <c r="I205" s="57">
        <f>IF(LEN(PSPOINTS[[#This Row],[PayScalePointCode]])&lt;100,0,1)</f>
        <v>0</v>
      </c>
      <c r="J205" s="57">
        <f>IF(LEN(PSPOINTS[[#This Row],[PayScalePointTitle]])&lt;100,0,1)</f>
        <v>0</v>
      </c>
      <c r="K205" s="57">
        <f>(COUNTBLANK(PSPOINTS[[#This Row],[PayScalePointCode]:[RateDateFrom]])+COUNTBLANK(PSPOINTS[[#This Row],[PayScaleRate]]))</f>
        <v>0</v>
      </c>
      <c r="L205" s="120">
        <f>IF(SUBSTITUTE(TEXT(PSPOINTS[[#This Row],[PayScaleCode]],10)," ","")=TEXT(PSPOINTS[[#This Row],[PayScaleCode]],10),0,1)+IF(SUBSTITUTE(TEXT(PSPOINTS[[#This Row],[PayScalePointCode]],10)," ","")=TEXT(PSPOINTS[[#This Row],[PayScalePointCode]],10),0,1)</f>
        <v>0</v>
      </c>
      <c r="M205" s="57">
        <f ca="1">SUM(PSPOINTS[[#This Row],[Scale Point Issue]:[Space in Code]])</f>
        <v>0</v>
      </c>
      <c r="N205" s="57" t="s">
        <v>1392</v>
      </c>
      <c r="P205" s="12" t="s">
        <v>1399</v>
      </c>
      <c r="Q205" s="57" t="str">
        <f>_xlfn.XLOOKUP(PSPOINTS[[#This Row],[PayScaleCode]],'19_PayScales'!N:N,'19_PayScales'!O:O)</f>
        <v>Leadership Group Fringe</v>
      </c>
      <c r="R205" s="12" t="s">
        <v>1580</v>
      </c>
      <c r="S205" s="12" t="s">
        <v>1580</v>
      </c>
      <c r="T205" s="12">
        <v>38</v>
      </c>
      <c r="U205" s="12" t="b">
        <v>0</v>
      </c>
      <c r="V205" s="15" t="b">
        <v>1</v>
      </c>
      <c r="W205" s="164">
        <v>45901</v>
      </c>
      <c r="X205" s="140"/>
      <c r="Y205" s="162">
        <v>129880</v>
      </c>
    </row>
    <row r="206" spans="1:25" hidden="1" x14ac:dyDescent="0.25">
      <c r="A206" s="158" t="str">
        <f>PSPOINTS[[#This Row],[PayScaleCode]]&amp;PSPOINTS[[#This Row],[RateDateFrom]]</f>
        <v>LS_FRI45901</v>
      </c>
      <c r="B206" s="57">
        <f t="shared" si="3"/>
        <v>0</v>
      </c>
      <c r="C206" s="57" t="str">
        <f>PSPOINTS[[#This Row],[PayScaleCode]]&amp;PSPOINTS[[#This Row],[PayScalePointCode]]&amp;PSPOINTS[[#This Row],[RateDateFrom]]</f>
        <v>LS_FRIL3945901</v>
      </c>
      <c r="D206" s="57">
        <f>COUNTIF(PSPOINTS[Pay Scale String Duplicates],PSPOINTS[[#This Row],[Pay Scale String Duplicates]])-1</f>
        <v>0</v>
      </c>
      <c r="E206" s="57">
        <f>IF((MONTH(_xlfn.XLOOKUP(PSPOINTS[[#This Row],[PayScaleCode]],'19_PayScales'!N:N,'19_PayScales'!R:R)))=MONTH(PSPOINTS[[#This Row],[RateDateFrom]]),0,1)</f>
        <v>0</v>
      </c>
      <c r="F206" s="57">
        <f>IF(ISBLANK(PSPOINTS[[#This Row],[RateDateTo]]),0,IF(PSPOINTS[[#This Row],[RateDateFrom]]&lt;PSPOINTS[[#This Row],[RateDateTo]],0,1))</f>
        <v>0</v>
      </c>
      <c r="G206" s="57" cm="1">
        <f t="array" aca="1" ref="G206" ca="1">IF(CELL("format",PSPOINTS[[#This Row],[RateDateFrom]])="D1",0,1)+IF(CELL("format",PSPOINTS[[#This Row],[RateDateTo]])="D1",0,1)</f>
        <v>0</v>
      </c>
      <c r="H206" s="57">
        <f>IF(OR(PSPOINTS[[#This Row],[Hourly]]=TRUE,PSPOINTS[[#This Row],[Hourly]]=FALSE),IF(OR(PSPOINTS[[#This Row],[PayScalePointEnabled]]=TRUE,PSPOINTS[[#This Row],[PayScalePointEnabled]]=FALSE),0,1),1)</f>
        <v>0</v>
      </c>
      <c r="I206" s="57">
        <f>IF(LEN(PSPOINTS[[#This Row],[PayScalePointCode]])&lt;100,0,1)</f>
        <v>0</v>
      </c>
      <c r="J206" s="57">
        <f>IF(LEN(PSPOINTS[[#This Row],[PayScalePointTitle]])&lt;100,0,1)</f>
        <v>0</v>
      </c>
      <c r="K206" s="57">
        <f>(COUNTBLANK(PSPOINTS[[#This Row],[PayScalePointCode]:[RateDateFrom]])+COUNTBLANK(PSPOINTS[[#This Row],[PayScaleRate]]))</f>
        <v>0</v>
      </c>
      <c r="L206" s="120">
        <f>IF(SUBSTITUTE(TEXT(PSPOINTS[[#This Row],[PayScaleCode]],10)," ","")=TEXT(PSPOINTS[[#This Row],[PayScaleCode]],10),0,1)+IF(SUBSTITUTE(TEXT(PSPOINTS[[#This Row],[PayScalePointCode]],10)," ","")=TEXT(PSPOINTS[[#This Row],[PayScalePointCode]],10),0,1)</f>
        <v>0</v>
      </c>
      <c r="M206" s="57">
        <f ca="1">SUM(PSPOINTS[[#This Row],[Scale Point Issue]:[Space in Code]])</f>
        <v>0</v>
      </c>
      <c r="N206" s="57" t="s">
        <v>1392</v>
      </c>
      <c r="P206" s="12" t="s">
        <v>1399</v>
      </c>
      <c r="Q206" s="57" t="str">
        <f>_xlfn.XLOOKUP(PSPOINTS[[#This Row],[PayScaleCode]],'19_PayScales'!N:N,'19_PayScales'!O:O)</f>
        <v>Leadership Group Fringe</v>
      </c>
      <c r="R206" s="12" t="s">
        <v>1581</v>
      </c>
      <c r="S206" s="12" t="s">
        <v>1581</v>
      </c>
      <c r="T206" s="12">
        <v>39</v>
      </c>
      <c r="U206" s="12" t="b">
        <v>0</v>
      </c>
      <c r="V206" s="15" t="b">
        <v>1</v>
      </c>
      <c r="W206" s="164">
        <v>45901</v>
      </c>
      <c r="X206" s="140"/>
      <c r="Y206" s="162">
        <v>133006</v>
      </c>
    </row>
    <row r="207" spans="1:25" hidden="1" x14ac:dyDescent="0.25">
      <c r="A207" s="158" t="str">
        <f>PSPOINTS[[#This Row],[PayScaleCode]]&amp;PSPOINTS[[#This Row],[RateDateFrom]]</f>
        <v>LS_FRI45901</v>
      </c>
      <c r="B207" s="57">
        <f t="shared" si="3"/>
        <v>0</v>
      </c>
      <c r="C207" s="57" t="str">
        <f>PSPOINTS[[#This Row],[PayScaleCode]]&amp;PSPOINTS[[#This Row],[PayScalePointCode]]&amp;PSPOINTS[[#This Row],[RateDateFrom]]</f>
        <v>LS_FRIL4045901</v>
      </c>
      <c r="D207" s="57">
        <f>COUNTIF(PSPOINTS[Pay Scale String Duplicates],PSPOINTS[[#This Row],[Pay Scale String Duplicates]])-1</f>
        <v>0</v>
      </c>
      <c r="E207" s="57">
        <f>IF((MONTH(_xlfn.XLOOKUP(PSPOINTS[[#This Row],[PayScaleCode]],'19_PayScales'!N:N,'19_PayScales'!R:R)))=MONTH(PSPOINTS[[#This Row],[RateDateFrom]]),0,1)</f>
        <v>0</v>
      </c>
      <c r="F207" s="57">
        <f>IF(ISBLANK(PSPOINTS[[#This Row],[RateDateTo]]),0,IF(PSPOINTS[[#This Row],[RateDateFrom]]&lt;PSPOINTS[[#This Row],[RateDateTo]],0,1))</f>
        <v>0</v>
      </c>
      <c r="G207" s="57" cm="1">
        <f t="array" aca="1" ref="G207" ca="1">IF(CELL("format",PSPOINTS[[#This Row],[RateDateFrom]])="D1",0,1)+IF(CELL("format",PSPOINTS[[#This Row],[RateDateTo]])="D1",0,1)</f>
        <v>0</v>
      </c>
      <c r="H207" s="57">
        <f>IF(OR(PSPOINTS[[#This Row],[Hourly]]=TRUE,PSPOINTS[[#This Row],[Hourly]]=FALSE),IF(OR(PSPOINTS[[#This Row],[PayScalePointEnabled]]=TRUE,PSPOINTS[[#This Row],[PayScalePointEnabled]]=FALSE),0,1),1)</f>
        <v>0</v>
      </c>
      <c r="I207" s="57">
        <f>IF(LEN(PSPOINTS[[#This Row],[PayScalePointCode]])&lt;100,0,1)</f>
        <v>0</v>
      </c>
      <c r="J207" s="57">
        <f>IF(LEN(PSPOINTS[[#This Row],[PayScalePointTitle]])&lt;100,0,1)</f>
        <v>0</v>
      </c>
      <c r="K207" s="57">
        <f>(COUNTBLANK(PSPOINTS[[#This Row],[PayScalePointCode]:[RateDateFrom]])+COUNTBLANK(PSPOINTS[[#This Row],[PayScaleRate]]))</f>
        <v>0</v>
      </c>
      <c r="L207" s="120">
        <f>IF(SUBSTITUTE(TEXT(PSPOINTS[[#This Row],[PayScaleCode]],10)," ","")=TEXT(PSPOINTS[[#This Row],[PayScaleCode]],10),0,1)+IF(SUBSTITUTE(TEXT(PSPOINTS[[#This Row],[PayScalePointCode]],10)," ","")=TEXT(PSPOINTS[[#This Row],[PayScalePointCode]],10),0,1)</f>
        <v>0</v>
      </c>
      <c r="M207" s="57">
        <f ca="1">SUM(PSPOINTS[[#This Row],[Scale Point Issue]:[Space in Code]])</f>
        <v>0</v>
      </c>
      <c r="N207" s="57" t="s">
        <v>1392</v>
      </c>
      <c r="P207" s="12" t="s">
        <v>1399</v>
      </c>
      <c r="Q207" s="57" t="str">
        <f>_xlfn.XLOOKUP(PSPOINTS[[#This Row],[PayScaleCode]],'19_PayScales'!N:N,'19_PayScales'!O:O)</f>
        <v>Leadership Group Fringe</v>
      </c>
      <c r="R207" s="12" t="s">
        <v>1582</v>
      </c>
      <c r="S207" s="12" t="s">
        <v>1582</v>
      </c>
      <c r="T207" s="12">
        <v>40</v>
      </c>
      <c r="U207" s="12" t="b">
        <v>0</v>
      </c>
      <c r="V207" s="15" t="b">
        <v>1</v>
      </c>
      <c r="W207" s="164">
        <v>45901</v>
      </c>
      <c r="X207" s="140"/>
      <c r="Y207" s="162">
        <v>136299</v>
      </c>
    </row>
    <row r="208" spans="1:25" hidden="1" x14ac:dyDescent="0.25">
      <c r="A208" s="158" t="str">
        <f>PSPOINTS[[#This Row],[PayScaleCode]]&amp;PSPOINTS[[#This Row],[RateDateFrom]]</f>
        <v>LS_FRI45901</v>
      </c>
      <c r="B208" s="57">
        <f t="shared" si="3"/>
        <v>0</v>
      </c>
      <c r="C208" s="57" t="str">
        <f>PSPOINTS[[#This Row],[PayScaleCode]]&amp;PSPOINTS[[#This Row],[PayScalePointCode]]&amp;PSPOINTS[[#This Row],[RateDateFrom]]</f>
        <v>LS_FRIL4145901</v>
      </c>
      <c r="D208" s="57">
        <f>COUNTIF(PSPOINTS[Pay Scale String Duplicates],PSPOINTS[[#This Row],[Pay Scale String Duplicates]])-1</f>
        <v>0</v>
      </c>
      <c r="E208" s="57">
        <f>IF((MONTH(_xlfn.XLOOKUP(PSPOINTS[[#This Row],[PayScaleCode]],'19_PayScales'!N:N,'19_PayScales'!R:R)))=MONTH(PSPOINTS[[#This Row],[RateDateFrom]]),0,1)</f>
        <v>0</v>
      </c>
      <c r="F208" s="57">
        <f>IF(ISBLANK(PSPOINTS[[#This Row],[RateDateTo]]),0,IF(PSPOINTS[[#This Row],[RateDateFrom]]&lt;PSPOINTS[[#This Row],[RateDateTo]],0,1))</f>
        <v>0</v>
      </c>
      <c r="G208" s="57" cm="1">
        <f t="array" aca="1" ref="G208" ca="1">IF(CELL("format",PSPOINTS[[#This Row],[RateDateFrom]])="D1",0,1)+IF(CELL("format",PSPOINTS[[#This Row],[RateDateTo]])="D1",0,1)</f>
        <v>0</v>
      </c>
      <c r="H208" s="57">
        <f>IF(OR(PSPOINTS[[#This Row],[Hourly]]=TRUE,PSPOINTS[[#This Row],[Hourly]]=FALSE),IF(OR(PSPOINTS[[#This Row],[PayScalePointEnabled]]=TRUE,PSPOINTS[[#This Row],[PayScalePointEnabled]]=FALSE),0,1),1)</f>
        <v>0</v>
      </c>
      <c r="I208" s="57">
        <f>IF(LEN(PSPOINTS[[#This Row],[PayScalePointCode]])&lt;100,0,1)</f>
        <v>0</v>
      </c>
      <c r="J208" s="57">
        <f>IF(LEN(PSPOINTS[[#This Row],[PayScalePointTitle]])&lt;100,0,1)</f>
        <v>0</v>
      </c>
      <c r="K208" s="57">
        <f>(COUNTBLANK(PSPOINTS[[#This Row],[PayScalePointCode]:[RateDateFrom]])+COUNTBLANK(PSPOINTS[[#This Row],[PayScaleRate]]))</f>
        <v>0</v>
      </c>
      <c r="L208" s="120">
        <f>IF(SUBSTITUTE(TEXT(PSPOINTS[[#This Row],[PayScaleCode]],10)," ","")=TEXT(PSPOINTS[[#This Row],[PayScaleCode]],10),0,1)+IF(SUBSTITUTE(TEXT(PSPOINTS[[#This Row],[PayScalePointCode]],10)," ","")=TEXT(PSPOINTS[[#This Row],[PayScalePointCode]],10),0,1)</f>
        <v>0</v>
      </c>
      <c r="M208" s="57">
        <f ca="1">SUM(PSPOINTS[[#This Row],[Scale Point Issue]:[Space in Code]])</f>
        <v>0</v>
      </c>
      <c r="N208" s="57" t="s">
        <v>1392</v>
      </c>
      <c r="P208" s="12" t="s">
        <v>1399</v>
      </c>
      <c r="Q208" s="57" t="str">
        <f>_xlfn.XLOOKUP(PSPOINTS[[#This Row],[PayScaleCode]],'19_PayScales'!N:N,'19_PayScales'!O:O)</f>
        <v>Leadership Group Fringe</v>
      </c>
      <c r="R208" s="12" t="s">
        <v>1583</v>
      </c>
      <c r="S208" s="12" t="s">
        <v>1583</v>
      </c>
      <c r="T208" s="12">
        <v>41</v>
      </c>
      <c r="U208" s="12" t="b">
        <v>0</v>
      </c>
      <c r="V208" s="15" t="b">
        <v>1</v>
      </c>
      <c r="W208" s="164">
        <v>45901</v>
      </c>
      <c r="X208" s="140"/>
      <c r="Y208" s="162">
        <v>139662</v>
      </c>
    </row>
    <row r="209" spans="1:25" hidden="1" x14ac:dyDescent="0.25">
      <c r="A209" s="158" t="str">
        <f>PSPOINTS[[#This Row],[PayScaleCode]]&amp;PSPOINTS[[#This Row],[RateDateFrom]]</f>
        <v>LS_FRI45901</v>
      </c>
      <c r="B209" s="57">
        <f t="shared" si="3"/>
        <v>0</v>
      </c>
      <c r="C209" s="57" t="str">
        <f>PSPOINTS[[#This Row],[PayScaleCode]]&amp;PSPOINTS[[#This Row],[PayScalePointCode]]&amp;PSPOINTS[[#This Row],[RateDateFrom]]</f>
        <v>LS_FRIL4245901</v>
      </c>
      <c r="D209" s="57">
        <f>COUNTIF(PSPOINTS[Pay Scale String Duplicates],PSPOINTS[[#This Row],[Pay Scale String Duplicates]])-1</f>
        <v>0</v>
      </c>
      <c r="E209" s="57">
        <f>IF((MONTH(_xlfn.XLOOKUP(PSPOINTS[[#This Row],[PayScaleCode]],'19_PayScales'!N:N,'19_PayScales'!R:R)))=MONTH(PSPOINTS[[#This Row],[RateDateFrom]]),0,1)</f>
        <v>0</v>
      </c>
      <c r="F209" s="57">
        <f>IF(ISBLANK(PSPOINTS[[#This Row],[RateDateTo]]),0,IF(PSPOINTS[[#This Row],[RateDateFrom]]&lt;PSPOINTS[[#This Row],[RateDateTo]],0,1))</f>
        <v>0</v>
      </c>
      <c r="G209" s="57" cm="1">
        <f t="array" aca="1" ref="G209" ca="1">IF(CELL("format",PSPOINTS[[#This Row],[RateDateFrom]])="D1",0,1)+IF(CELL("format",PSPOINTS[[#This Row],[RateDateTo]])="D1",0,1)</f>
        <v>0</v>
      </c>
      <c r="H209" s="57">
        <f>IF(OR(PSPOINTS[[#This Row],[Hourly]]=TRUE,PSPOINTS[[#This Row],[Hourly]]=FALSE),IF(OR(PSPOINTS[[#This Row],[PayScalePointEnabled]]=TRUE,PSPOINTS[[#This Row],[PayScalePointEnabled]]=FALSE),0,1),1)</f>
        <v>0</v>
      </c>
      <c r="I209" s="57">
        <f>IF(LEN(PSPOINTS[[#This Row],[PayScalePointCode]])&lt;100,0,1)</f>
        <v>0</v>
      </c>
      <c r="J209" s="57">
        <f>IF(LEN(PSPOINTS[[#This Row],[PayScalePointTitle]])&lt;100,0,1)</f>
        <v>0</v>
      </c>
      <c r="K209" s="57">
        <f>(COUNTBLANK(PSPOINTS[[#This Row],[PayScalePointCode]:[RateDateFrom]])+COUNTBLANK(PSPOINTS[[#This Row],[PayScaleRate]]))</f>
        <v>0</v>
      </c>
      <c r="L209" s="120">
        <f>IF(SUBSTITUTE(TEXT(PSPOINTS[[#This Row],[PayScaleCode]],10)," ","")=TEXT(PSPOINTS[[#This Row],[PayScaleCode]],10),0,1)+IF(SUBSTITUTE(TEXT(PSPOINTS[[#This Row],[PayScalePointCode]],10)," ","")=TEXT(PSPOINTS[[#This Row],[PayScalePointCode]],10),0,1)</f>
        <v>0</v>
      </c>
      <c r="M209" s="57">
        <f ca="1">SUM(PSPOINTS[[#This Row],[Scale Point Issue]:[Space in Code]])</f>
        <v>0</v>
      </c>
      <c r="N209" s="57" t="s">
        <v>1392</v>
      </c>
      <c r="P209" s="12" t="s">
        <v>1399</v>
      </c>
      <c r="Q209" s="57" t="str">
        <f>_xlfn.XLOOKUP(PSPOINTS[[#This Row],[PayScaleCode]],'19_PayScales'!N:N,'19_PayScales'!O:O)</f>
        <v>Leadership Group Fringe</v>
      </c>
      <c r="R209" s="12" t="s">
        <v>1584</v>
      </c>
      <c r="S209" s="12" t="s">
        <v>1584</v>
      </c>
      <c r="T209" s="12">
        <v>42</v>
      </c>
      <c r="U209" s="12" t="b">
        <v>0</v>
      </c>
      <c r="V209" s="15" t="b">
        <v>1</v>
      </c>
      <c r="W209" s="164">
        <v>45901</v>
      </c>
      <c r="X209" s="140"/>
      <c r="Y209" s="162">
        <v>143128</v>
      </c>
    </row>
    <row r="210" spans="1:25" hidden="1" x14ac:dyDescent="0.25">
      <c r="A210" s="158" t="str">
        <f>PSPOINTS[[#This Row],[PayScaleCode]]&amp;PSPOINTS[[#This Row],[RateDateFrom]]</f>
        <v>LS_FRI45901</v>
      </c>
      <c r="B210" s="57">
        <f t="shared" si="3"/>
        <v>0</v>
      </c>
      <c r="C210" s="57" t="str">
        <f>PSPOINTS[[#This Row],[PayScaleCode]]&amp;PSPOINTS[[#This Row],[PayScalePointCode]]&amp;PSPOINTS[[#This Row],[RateDateFrom]]</f>
        <v>LS_FRIL4345901</v>
      </c>
      <c r="D210" s="57">
        <f>COUNTIF(PSPOINTS[Pay Scale String Duplicates],PSPOINTS[[#This Row],[Pay Scale String Duplicates]])-1</f>
        <v>0</v>
      </c>
      <c r="E210" s="57">
        <f>IF((MONTH(_xlfn.XLOOKUP(PSPOINTS[[#This Row],[PayScaleCode]],'19_PayScales'!N:N,'19_PayScales'!R:R)))=MONTH(PSPOINTS[[#This Row],[RateDateFrom]]),0,1)</f>
        <v>0</v>
      </c>
      <c r="F210" s="57">
        <f>IF(ISBLANK(PSPOINTS[[#This Row],[RateDateTo]]),0,IF(PSPOINTS[[#This Row],[RateDateFrom]]&lt;PSPOINTS[[#This Row],[RateDateTo]],0,1))</f>
        <v>0</v>
      </c>
      <c r="G210" s="57" cm="1">
        <f t="array" aca="1" ref="G210" ca="1">IF(CELL("format",PSPOINTS[[#This Row],[RateDateFrom]])="D1",0,1)+IF(CELL("format",PSPOINTS[[#This Row],[RateDateTo]])="D1",0,1)</f>
        <v>0</v>
      </c>
      <c r="H210" s="57">
        <f>IF(OR(PSPOINTS[[#This Row],[Hourly]]=TRUE,PSPOINTS[[#This Row],[Hourly]]=FALSE),IF(OR(PSPOINTS[[#This Row],[PayScalePointEnabled]]=TRUE,PSPOINTS[[#This Row],[PayScalePointEnabled]]=FALSE),0,1),1)</f>
        <v>0</v>
      </c>
      <c r="I210" s="57">
        <f>IF(LEN(PSPOINTS[[#This Row],[PayScalePointCode]])&lt;100,0,1)</f>
        <v>0</v>
      </c>
      <c r="J210" s="57">
        <f>IF(LEN(PSPOINTS[[#This Row],[PayScalePointTitle]])&lt;100,0,1)</f>
        <v>0</v>
      </c>
      <c r="K210" s="57">
        <f>(COUNTBLANK(PSPOINTS[[#This Row],[PayScalePointCode]:[RateDateFrom]])+COUNTBLANK(PSPOINTS[[#This Row],[PayScaleRate]]))</f>
        <v>0</v>
      </c>
      <c r="L210" s="120">
        <f>IF(SUBSTITUTE(TEXT(PSPOINTS[[#This Row],[PayScaleCode]],10)," ","")=TEXT(PSPOINTS[[#This Row],[PayScaleCode]],10),0,1)+IF(SUBSTITUTE(TEXT(PSPOINTS[[#This Row],[PayScalePointCode]],10)," ","")=TEXT(PSPOINTS[[#This Row],[PayScalePointCode]],10),0,1)</f>
        <v>0</v>
      </c>
      <c r="M210" s="57">
        <f ca="1">SUM(PSPOINTS[[#This Row],[Scale Point Issue]:[Space in Code]])</f>
        <v>0</v>
      </c>
      <c r="N210" s="57" t="s">
        <v>1392</v>
      </c>
      <c r="P210" s="12" t="s">
        <v>1399</v>
      </c>
      <c r="Q210" s="57" t="str">
        <f>_xlfn.XLOOKUP(PSPOINTS[[#This Row],[PayScaleCode]],'19_PayScales'!N:N,'19_PayScales'!O:O)</f>
        <v>Leadership Group Fringe</v>
      </c>
      <c r="R210" s="12" t="s">
        <v>1456</v>
      </c>
      <c r="S210" s="12" t="s">
        <v>1456</v>
      </c>
      <c r="T210" s="12">
        <v>43</v>
      </c>
      <c r="U210" s="12" t="b">
        <v>0</v>
      </c>
      <c r="V210" s="15" t="b">
        <v>1</v>
      </c>
      <c r="W210" s="164">
        <v>45901</v>
      </c>
      <c r="X210" s="140"/>
      <c r="Y210" s="162">
        <v>145218</v>
      </c>
    </row>
    <row r="211" spans="1:25" hidden="1" x14ac:dyDescent="0.25">
      <c r="A211" s="158" t="str">
        <f>PSPOINTS[[#This Row],[PayScaleCode]]&amp;PSPOINTS[[#This Row],[RateDateFrom]]</f>
        <v>MAIN_INN45901</v>
      </c>
      <c r="B211" s="57">
        <f t="shared" si="3"/>
        <v>0</v>
      </c>
      <c r="C211" s="57" t="str">
        <f>PSPOINTS[[#This Row],[PayScaleCode]]&amp;PSPOINTS[[#This Row],[PayScalePointCode]]&amp;PSPOINTS[[#This Row],[RateDateFrom]]</f>
        <v>MAIN_INNM145901</v>
      </c>
      <c r="D211" s="57">
        <f>COUNTIF(PSPOINTS[Pay Scale String Duplicates],PSPOINTS[[#This Row],[Pay Scale String Duplicates]])-1</f>
        <v>0</v>
      </c>
      <c r="E211" s="57">
        <f>IF((MONTH(_xlfn.XLOOKUP(PSPOINTS[[#This Row],[PayScaleCode]],'19_PayScales'!N:N,'19_PayScales'!R:R)))=MONTH(PSPOINTS[[#This Row],[RateDateFrom]]),0,1)</f>
        <v>0</v>
      </c>
      <c r="F211" s="57">
        <f>IF(ISBLANK(PSPOINTS[[#This Row],[RateDateTo]]),0,IF(PSPOINTS[[#This Row],[RateDateFrom]]&lt;PSPOINTS[[#This Row],[RateDateTo]],0,1))</f>
        <v>0</v>
      </c>
      <c r="G211" s="57" cm="1">
        <f t="array" aca="1" ref="G211" ca="1">IF(CELL("format",PSPOINTS[[#This Row],[RateDateFrom]])="D1",0,1)+IF(CELL("format",PSPOINTS[[#This Row],[RateDateTo]])="D1",0,1)</f>
        <v>0</v>
      </c>
      <c r="H211" s="57">
        <f>IF(OR(PSPOINTS[[#This Row],[Hourly]]=TRUE,PSPOINTS[[#This Row],[Hourly]]=FALSE),IF(OR(PSPOINTS[[#This Row],[PayScalePointEnabled]]=TRUE,PSPOINTS[[#This Row],[PayScalePointEnabled]]=FALSE),0,1),1)</f>
        <v>0</v>
      </c>
      <c r="I211" s="57">
        <f>IF(LEN(PSPOINTS[[#This Row],[PayScalePointCode]])&lt;100,0,1)</f>
        <v>0</v>
      </c>
      <c r="J211" s="57">
        <f>IF(LEN(PSPOINTS[[#This Row],[PayScalePointTitle]])&lt;100,0,1)</f>
        <v>0</v>
      </c>
      <c r="K211" s="57">
        <f>(COUNTBLANK(PSPOINTS[[#This Row],[PayScalePointCode]:[RateDateFrom]])+COUNTBLANK(PSPOINTS[[#This Row],[PayScaleRate]]))</f>
        <v>0</v>
      </c>
      <c r="L211" s="120">
        <f>IF(SUBSTITUTE(TEXT(PSPOINTS[[#This Row],[PayScaleCode]],10)," ","")=TEXT(PSPOINTS[[#This Row],[PayScaleCode]],10),0,1)+IF(SUBSTITUTE(TEXT(PSPOINTS[[#This Row],[PayScalePointCode]],10)," ","")=TEXT(PSPOINTS[[#This Row],[PayScalePointCode]],10),0,1)</f>
        <v>0</v>
      </c>
      <c r="M211" s="57">
        <f ca="1">SUM(PSPOINTS[[#This Row],[Scale Point Issue]:[Space in Code]])</f>
        <v>0</v>
      </c>
      <c r="N211" s="57" t="s">
        <v>1401</v>
      </c>
      <c r="P211" s="12" t="s">
        <v>1402</v>
      </c>
      <c r="Q211" s="57" t="str">
        <f>_xlfn.XLOOKUP(PSPOINTS[[#This Row],[PayScaleCode]],'19_PayScales'!N:N,'19_PayScales'!O:O)</f>
        <v>Teachers Main Inner</v>
      </c>
      <c r="R211" s="12" t="s">
        <v>1441</v>
      </c>
      <c r="S211" s="12" t="s">
        <v>1441</v>
      </c>
      <c r="T211" s="12">
        <v>1</v>
      </c>
      <c r="U211" s="12" t="b">
        <v>0</v>
      </c>
      <c r="V211" s="15" t="b">
        <v>1</v>
      </c>
      <c r="W211" s="164">
        <v>45901</v>
      </c>
      <c r="X211" s="140"/>
      <c r="Y211" s="162">
        <v>40317</v>
      </c>
    </row>
    <row r="212" spans="1:25" hidden="1" x14ac:dyDescent="0.25">
      <c r="A212" s="158" t="str">
        <f>PSPOINTS[[#This Row],[PayScaleCode]]&amp;PSPOINTS[[#This Row],[RateDateFrom]]</f>
        <v>MAIN_INN45901</v>
      </c>
      <c r="B212" s="57">
        <f t="shared" si="3"/>
        <v>0</v>
      </c>
      <c r="C212" s="57" t="str">
        <f>PSPOINTS[[#This Row],[PayScaleCode]]&amp;PSPOINTS[[#This Row],[PayScalePointCode]]&amp;PSPOINTS[[#This Row],[RateDateFrom]]</f>
        <v>MAIN_INNM245901</v>
      </c>
      <c r="D212" s="57">
        <f>COUNTIF(PSPOINTS[Pay Scale String Duplicates],PSPOINTS[[#This Row],[Pay Scale String Duplicates]])-1</f>
        <v>0</v>
      </c>
      <c r="E212" s="57">
        <f>IF((MONTH(_xlfn.XLOOKUP(PSPOINTS[[#This Row],[PayScaleCode]],'19_PayScales'!N:N,'19_PayScales'!R:R)))=MONTH(PSPOINTS[[#This Row],[RateDateFrom]]),0,1)</f>
        <v>0</v>
      </c>
      <c r="F212" s="57">
        <f>IF(ISBLANK(PSPOINTS[[#This Row],[RateDateTo]]),0,IF(PSPOINTS[[#This Row],[RateDateFrom]]&lt;PSPOINTS[[#This Row],[RateDateTo]],0,1))</f>
        <v>0</v>
      </c>
      <c r="G212" s="57" cm="1">
        <f t="array" aca="1" ref="G212" ca="1">IF(CELL("format",PSPOINTS[[#This Row],[RateDateFrom]])="D1",0,1)+IF(CELL("format",PSPOINTS[[#This Row],[RateDateTo]])="D1",0,1)</f>
        <v>0</v>
      </c>
      <c r="H212" s="57">
        <f>IF(OR(PSPOINTS[[#This Row],[Hourly]]=TRUE,PSPOINTS[[#This Row],[Hourly]]=FALSE),IF(OR(PSPOINTS[[#This Row],[PayScalePointEnabled]]=TRUE,PSPOINTS[[#This Row],[PayScalePointEnabled]]=FALSE),0,1),1)</f>
        <v>0</v>
      </c>
      <c r="I212" s="57">
        <f>IF(LEN(PSPOINTS[[#This Row],[PayScalePointCode]])&lt;100,0,1)</f>
        <v>0</v>
      </c>
      <c r="J212" s="57">
        <f>IF(LEN(PSPOINTS[[#This Row],[PayScalePointTitle]])&lt;100,0,1)</f>
        <v>0</v>
      </c>
      <c r="K212" s="57">
        <f>(COUNTBLANK(PSPOINTS[[#This Row],[PayScalePointCode]:[RateDateFrom]])+COUNTBLANK(PSPOINTS[[#This Row],[PayScaleRate]]))</f>
        <v>0</v>
      </c>
      <c r="L212" s="120">
        <f>IF(SUBSTITUTE(TEXT(PSPOINTS[[#This Row],[PayScaleCode]],10)," ","")=TEXT(PSPOINTS[[#This Row],[PayScaleCode]],10),0,1)+IF(SUBSTITUTE(TEXT(PSPOINTS[[#This Row],[PayScalePointCode]],10)," ","")=TEXT(PSPOINTS[[#This Row],[PayScalePointCode]],10),0,1)</f>
        <v>0</v>
      </c>
      <c r="M212" s="57">
        <f ca="1">SUM(PSPOINTS[[#This Row],[Scale Point Issue]:[Space in Code]])</f>
        <v>0</v>
      </c>
      <c r="N212" s="57" t="s">
        <v>1401</v>
      </c>
      <c r="P212" s="12" t="s">
        <v>1402</v>
      </c>
      <c r="Q212" s="57" t="str">
        <f>_xlfn.XLOOKUP(PSPOINTS[[#This Row],[PayScaleCode]],'19_PayScales'!N:N,'19_PayScales'!O:O)</f>
        <v>Teachers Main Inner</v>
      </c>
      <c r="R212" s="12" t="s">
        <v>1517</v>
      </c>
      <c r="S212" s="12" t="s">
        <v>1517</v>
      </c>
      <c r="T212" s="12">
        <v>2</v>
      </c>
      <c r="U212" s="12" t="b">
        <v>0</v>
      </c>
      <c r="V212" s="15" t="b">
        <v>1</v>
      </c>
      <c r="W212" s="164">
        <v>45901</v>
      </c>
      <c r="X212" s="140"/>
      <c r="Y212" s="162">
        <v>42234</v>
      </c>
    </row>
    <row r="213" spans="1:25" hidden="1" x14ac:dyDescent="0.25">
      <c r="A213" s="158" t="str">
        <f>PSPOINTS[[#This Row],[PayScaleCode]]&amp;PSPOINTS[[#This Row],[RateDateFrom]]</f>
        <v>MAIN_INN45901</v>
      </c>
      <c r="B213" s="57">
        <f t="shared" si="3"/>
        <v>0</v>
      </c>
      <c r="C213" s="57" t="str">
        <f>PSPOINTS[[#This Row],[PayScaleCode]]&amp;PSPOINTS[[#This Row],[PayScalePointCode]]&amp;PSPOINTS[[#This Row],[RateDateFrom]]</f>
        <v>MAIN_INNM345901</v>
      </c>
      <c r="D213" s="57">
        <f>COUNTIF(PSPOINTS[Pay Scale String Duplicates],PSPOINTS[[#This Row],[Pay Scale String Duplicates]])-1</f>
        <v>0</v>
      </c>
      <c r="E213" s="57">
        <f>IF((MONTH(_xlfn.XLOOKUP(PSPOINTS[[#This Row],[PayScaleCode]],'19_PayScales'!N:N,'19_PayScales'!R:R)))=MONTH(PSPOINTS[[#This Row],[RateDateFrom]]),0,1)</f>
        <v>0</v>
      </c>
      <c r="F213" s="57">
        <f>IF(ISBLANK(PSPOINTS[[#This Row],[RateDateTo]]),0,IF(PSPOINTS[[#This Row],[RateDateFrom]]&lt;PSPOINTS[[#This Row],[RateDateTo]],0,1))</f>
        <v>0</v>
      </c>
      <c r="G213" s="57" cm="1">
        <f t="array" aca="1" ref="G213" ca="1">IF(CELL("format",PSPOINTS[[#This Row],[RateDateFrom]])="D1",0,1)+IF(CELL("format",PSPOINTS[[#This Row],[RateDateTo]])="D1",0,1)</f>
        <v>0</v>
      </c>
      <c r="H213" s="57">
        <f>IF(OR(PSPOINTS[[#This Row],[Hourly]]=TRUE,PSPOINTS[[#This Row],[Hourly]]=FALSE),IF(OR(PSPOINTS[[#This Row],[PayScalePointEnabled]]=TRUE,PSPOINTS[[#This Row],[PayScalePointEnabled]]=FALSE),0,1),1)</f>
        <v>0</v>
      </c>
      <c r="I213" s="57">
        <f>IF(LEN(PSPOINTS[[#This Row],[PayScalePointCode]])&lt;100,0,1)</f>
        <v>0</v>
      </c>
      <c r="J213" s="57">
        <f>IF(LEN(PSPOINTS[[#This Row],[PayScalePointTitle]])&lt;100,0,1)</f>
        <v>0</v>
      </c>
      <c r="K213" s="57">
        <f>(COUNTBLANK(PSPOINTS[[#This Row],[PayScalePointCode]:[RateDateFrom]])+COUNTBLANK(PSPOINTS[[#This Row],[PayScaleRate]]))</f>
        <v>0</v>
      </c>
      <c r="L213" s="120">
        <f>IF(SUBSTITUTE(TEXT(PSPOINTS[[#This Row],[PayScaleCode]],10)," ","")=TEXT(PSPOINTS[[#This Row],[PayScaleCode]],10),0,1)+IF(SUBSTITUTE(TEXT(PSPOINTS[[#This Row],[PayScalePointCode]],10)," ","")=TEXT(PSPOINTS[[#This Row],[PayScalePointCode]],10),0,1)</f>
        <v>0</v>
      </c>
      <c r="M213" s="57">
        <f ca="1">SUM(PSPOINTS[[#This Row],[Scale Point Issue]:[Space in Code]])</f>
        <v>0</v>
      </c>
      <c r="N213" s="57" t="s">
        <v>1401</v>
      </c>
      <c r="P213" s="12" t="s">
        <v>1402</v>
      </c>
      <c r="Q213" s="57" t="str">
        <f>_xlfn.XLOOKUP(PSPOINTS[[#This Row],[PayScaleCode]],'19_PayScales'!N:N,'19_PayScales'!O:O)</f>
        <v>Teachers Main Inner</v>
      </c>
      <c r="R213" s="12" t="s">
        <v>1518</v>
      </c>
      <c r="S213" s="12" t="s">
        <v>1518</v>
      </c>
      <c r="T213" s="12">
        <v>3</v>
      </c>
      <c r="U213" s="12" t="b">
        <v>0</v>
      </c>
      <c r="V213" s="15" t="b">
        <v>1</v>
      </c>
      <c r="W213" s="164">
        <v>45901</v>
      </c>
      <c r="X213" s="140"/>
      <c r="Y213" s="162">
        <v>44238</v>
      </c>
    </row>
    <row r="214" spans="1:25" hidden="1" x14ac:dyDescent="0.25">
      <c r="A214" s="158" t="str">
        <f>PSPOINTS[[#This Row],[PayScaleCode]]&amp;PSPOINTS[[#This Row],[RateDateFrom]]</f>
        <v>MAIN_INN45901</v>
      </c>
      <c r="B214" s="57">
        <f t="shared" si="3"/>
        <v>0</v>
      </c>
      <c r="C214" s="57" t="str">
        <f>PSPOINTS[[#This Row],[PayScaleCode]]&amp;PSPOINTS[[#This Row],[PayScalePointCode]]&amp;PSPOINTS[[#This Row],[RateDateFrom]]</f>
        <v>MAIN_INNM445901</v>
      </c>
      <c r="D214" s="57">
        <f>COUNTIF(PSPOINTS[Pay Scale String Duplicates],PSPOINTS[[#This Row],[Pay Scale String Duplicates]])-1</f>
        <v>0</v>
      </c>
      <c r="E214" s="57">
        <f>IF((MONTH(_xlfn.XLOOKUP(PSPOINTS[[#This Row],[PayScaleCode]],'19_PayScales'!N:N,'19_PayScales'!R:R)))=MONTH(PSPOINTS[[#This Row],[RateDateFrom]]),0,1)</f>
        <v>0</v>
      </c>
      <c r="F214" s="57">
        <f>IF(ISBLANK(PSPOINTS[[#This Row],[RateDateTo]]),0,IF(PSPOINTS[[#This Row],[RateDateFrom]]&lt;PSPOINTS[[#This Row],[RateDateTo]],0,1))</f>
        <v>0</v>
      </c>
      <c r="G214" s="57" cm="1">
        <f t="array" aca="1" ref="G214" ca="1">IF(CELL("format",PSPOINTS[[#This Row],[RateDateFrom]])="D1",0,1)+IF(CELL("format",PSPOINTS[[#This Row],[RateDateTo]])="D1",0,1)</f>
        <v>0</v>
      </c>
      <c r="H214" s="57">
        <f>IF(OR(PSPOINTS[[#This Row],[Hourly]]=TRUE,PSPOINTS[[#This Row],[Hourly]]=FALSE),IF(OR(PSPOINTS[[#This Row],[PayScalePointEnabled]]=TRUE,PSPOINTS[[#This Row],[PayScalePointEnabled]]=FALSE),0,1),1)</f>
        <v>0</v>
      </c>
      <c r="I214" s="57">
        <f>IF(LEN(PSPOINTS[[#This Row],[PayScalePointCode]])&lt;100,0,1)</f>
        <v>0</v>
      </c>
      <c r="J214" s="57">
        <f>IF(LEN(PSPOINTS[[#This Row],[PayScalePointTitle]])&lt;100,0,1)</f>
        <v>0</v>
      </c>
      <c r="K214" s="57">
        <f>(COUNTBLANK(PSPOINTS[[#This Row],[PayScalePointCode]:[RateDateFrom]])+COUNTBLANK(PSPOINTS[[#This Row],[PayScaleRate]]))</f>
        <v>0</v>
      </c>
      <c r="L214" s="120">
        <f>IF(SUBSTITUTE(TEXT(PSPOINTS[[#This Row],[PayScaleCode]],10)," ","")=TEXT(PSPOINTS[[#This Row],[PayScaleCode]],10),0,1)+IF(SUBSTITUTE(TEXT(PSPOINTS[[#This Row],[PayScalePointCode]],10)," ","")=TEXT(PSPOINTS[[#This Row],[PayScalePointCode]],10),0,1)</f>
        <v>0</v>
      </c>
      <c r="M214" s="57">
        <f ca="1">SUM(PSPOINTS[[#This Row],[Scale Point Issue]:[Space in Code]])</f>
        <v>0</v>
      </c>
      <c r="N214" s="57" t="s">
        <v>1401</v>
      </c>
      <c r="P214" s="12" t="s">
        <v>1402</v>
      </c>
      <c r="Q214" s="57" t="str">
        <f>_xlfn.XLOOKUP(PSPOINTS[[#This Row],[PayScaleCode]],'19_PayScales'!N:N,'19_PayScales'!O:O)</f>
        <v>Teachers Main Inner</v>
      </c>
      <c r="R214" s="12" t="s">
        <v>1519</v>
      </c>
      <c r="S214" s="12" t="s">
        <v>1519</v>
      </c>
      <c r="T214" s="12">
        <v>4</v>
      </c>
      <c r="U214" s="12" t="b">
        <v>0</v>
      </c>
      <c r="V214" s="15" t="b">
        <v>1</v>
      </c>
      <c r="W214" s="164">
        <v>45901</v>
      </c>
      <c r="X214" s="140"/>
      <c r="Y214" s="162">
        <v>46339</v>
      </c>
    </row>
    <row r="215" spans="1:25" hidden="1" x14ac:dyDescent="0.25">
      <c r="A215" s="158" t="str">
        <f>PSPOINTS[[#This Row],[PayScaleCode]]&amp;PSPOINTS[[#This Row],[RateDateFrom]]</f>
        <v>MAIN_INN45901</v>
      </c>
      <c r="B215" s="57">
        <f t="shared" si="3"/>
        <v>0</v>
      </c>
      <c r="C215" s="57" t="str">
        <f>PSPOINTS[[#This Row],[PayScaleCode]]&amp;PSPOINTS[[#This Row],[PayScalePointCode]]&amp;PSPOINTS[[#This Row],[RateDateFrom]]</f>
        <v>MAIN_INNM545901</v>
      </c>
      <c r="D215" s="57">
        <f>COUNTIF(PSPOINTS[Pay Scale String Duplicates],PSPOINTS[[#This Row],[Pay Scale String Duplicates]])-1</f>
        <v>0</v>
      </c>
      <c r="E215" s="57">
        <f>IF((MONTH(_xlfn.XLOOKUP(PSPOINTS[[#This Row],[PayScaleCode]],'19_PayScales'!N:N,'19_PayScales'!R:R)))=MONTH(PSPOINTS[[#This Row],[RateDateFrom]]),0,1)</f>
        <v>0</v>
      </c>
      <c r="F215" s="57">
        <f>IF(ISBLANK(PSPOINTS[[#This Row],[RateDateTo]]),0,IF(PSPOINTS[[#This Row],[RateDateFrom]]&lt;PSPOINTS[[#This Row],[RateDateTo]],0,1))</f>
        <v>0</v>
      </c>
      <c r="G215" s="57" cm="1">
        <f t="array" aca="1" ref="G215" ca="1">IF(CELL("format",PSPOINTS[[#This Row],[RateDateFrom]])="D1",0,1)+IF(CELL("format",PSPOINTS[[#This Row],[RateDateTo]])="D1",0,1)</f>
        <v>0</v>
      </c>
      <c r="H215" s="57">
        <f>IF(OR(PSPOINTS[[#This Row],[Hourly]]=TRUE,PSPOINTS[[#This Row],[Hourly]]=FALSE),IF(OR(PSPOINTS[[#This Row],[PayScalePointEnabled]]=TRUE,PSPOINTS[[#This Row],[PayScalePointEnabled]]=FALSE),0,1),1)</f>
        <v>0</v>
      </c>
      <c r="I215" s="57">
        <f>IF(LEN(PSPOINTS[[#This Row],[PayScalePointCode]])&lt;100,0,1)</f>
        <v>0</v>
      </c>
      <c r="J215" s="57">
        <f>IF(LEN(PSPOINTS[[#This Row],[PayScalePointTitle]])&lt;100,0,1)</f>
        <v>0</v>
      </c>
      <c r="K215" s="57">
        <f>(COUNTBLANK(PSPOINTS[[#This Row],[PayScalePointCode]:[RateDateFrom]])+COUNTBLANK(PSPOINTS[[#This Row],[PayScaleRate]]))</f>
        <v>0</v>
      </c>
      <c r="L215" s="120">
        <f>IF(SUBSTITUTE(TEXT(PSPOINTS[[#This Row],[PayScaleCode]],10)," ","")=TEXT(PSPOINTS[[#This Row],[PayScaleCode]],10),0,1)+IF(SUBSTITUTE(TEXT(PSPOINTS[[#This Row],[PayScalePointCode]],10)," ","")=TEXT(PSPOINTS[[#This Row],[PayScalePointCode]],10),0,1)</f>
        <v>0</v>
      </c>
      <c r="M215" s="57">
        <f ca="1">SUM(PSPOINTS[[#This Row],[Scale Point Issue]:[Space in Code]])</f>
        <v>0</v>
      </c>
      <c r="N215" s="57" t="s">
        <v>1401</v>
      </c>
      <c r="P215" s="12" t="s">
        <v>1402</v>
      </c>
      <c r="Q215" s="57" t="str">
        <f>_xlfn.XLOOKUP(PSPOINTS[[#This Row],[PayScaleCode]],'19_PayScales'!N:N,'19_PayScales'!O:O)</f>
        <v>Teachers Main Inner</v>
      </c>
      <c r="R215" s="12" t="s">
        <v>1520</v>
      </c>
      <c r="S215" s="12" t="s">
        <v>1520</v>
      </c>
      <c r="T215" s="12">
        <v>5</v>
      </c>
      <c r="U215" s="12" t="b">
        <v>0</v>
      </c>
      <c r="V215" s="15" t="b">
        <v>1</v>
      </c>
      <c r="W215" s="164">
        <v>45901</v>
      </c>
      <c r="X215" s="140"/>
      <c r="Y215" s="162">
        <v>48952</v>
      </c>
    </row>
    <row r="216" spans="1:25" hidden="1" x14ac:dyDescent="0.25">
      <c r="A216" s="158" t="str">
        <f>PSPOINTS[[#This Row],[PayScaleCode]]&amp;PSPOINTS[[#This Row],[RateDateFrom]]</f>
        <v>MAIN_INN45901</v>
      </c>
      <c r="B216" s="57">
        <f t="shared" si="3"/>
        <v>0</v>
      </c>
      <c r="C216" s="57" t="str">
        <f>PSPOINTS[[#This Row],[PayScaleCode]]&amp;PSPOINTS[[#This Row],[PayScalePointCode]]&amp;PSPOINTS[[#This Row],[RateDateFrom]]</f>
        <v>MAIN_INNM645901</v>
      </c>
      <c r="D216" s="57">
        <f>COUNTIF(PSPOINTS[Pay Scale String Duplicates],PSPOINTS[[#This Row],[Pay Scale String Duplicates]])-1</f>
        <v>0</v>
      </c>
      <c r="E216" s="57">
        <f>IF((MONTH(_xlfn.XLOOKUP(PSPOINTS[[#This Row],[PayScaleCode]],'19_PayScales'!N:N,'19_PayScales'!R:R)))=MONTH(PSPOINTS[[#This Row],[RateDateFrom]]),0,1)</f>
        <v>0</v>
      </c>
      <c r="F216" s="57">
        <f>IF(ISBLANK(PSPOINTS[[#This Row],[RateDateTo]]),0,IF(PSPOINTS[[#This Row],[RateDateFrom]]&lt;PSPOINTS[[#This Row],[RateDateTo]],0,1))</f>
        <v>0</v>
      </c>
      <c r="G216" s="57" cm="1">
        <f t="array" aca="1" ref="G216" ca="1">IF(CELL("format",PSPOINTS[[#This Row],[RateDateFrom]])="D1",0,1)+IF(CELL("format",PSPOINTS[[#This Row],[RateDateTo]])="D1",0,1)</f>
        <v>0</v>
      </c>
      <c r="H216" s="57">
        <f>IF(OR(PSPOINTS[[#This Row],[Hourly]]=TRUE,PSPOINTS[[#This Row],[Hourly]]=FALSE),IF(OR(PSPOINTS[[#This Row],[PayScalePointEnabled]]=TRUE,PSPOINTS[[#This Row],[PayScalePointEnabled]]=FALSE),0,1),1)</f>
        <v>0</v>
      </c>
      <c r="I216" s="57">
        <f>IF(LEN(PSPOINTS[[#This Row],[PayScalePointCode]])&lt;100,0,1)</f>
        <v>0</v>
      </c>
      <c r="J216" s="57">
        <f>IF(LEN(PSPOINTS[[#This Row],[PayScalePointTitle]])&lt;100,0,1)</f>
        <v>0</v>
      </c>
      <c r="K216" s="57">
        <f>(COUNTBLANK(PSPOINTS[[#This Row],[PayScalePointCode]:[RateDateFrom]])+COUNTBLANK(PSPOINTS[[#This Row],[PayScaleRate]]))</f>
        <v>0</v>
      </c>
      <c r="L216" s="120">
        <f>IF(SUBSTITUTE(TEXT(PSPOINTS[[#This Row],[PayScaleCode]],10)," ","")=TEXT(PSPOINTS[[#This Row],[PayScaleCode]],10),0,1)+IF(SUBSTITUTE(TEXT(PSPOINTS[[#This Row],[PayScalePointCode]],10)," ","")=TEXT(PSPOINTS[[#This Row],[PayScalePointCode]],10),0,1)</f>
        <v>0</v>
      </c>
      <c r="M216" s="57">
        <f ca="1">SUM(PSPOINTS[[#This Row],[Scale Point Issue]:[Space in Code]])</f>
        <v>0</v>
      </c>
      <c r="N216" s="57" t="s">
        <v>1401</v>
      </c>
      <c r="P216" s="12" t="s">
        <v>1402</v>
      </c>
      <c r="Q216" s="57" t="str">
        <f>_xlfn.XLOOKUP(PSPOINTS[[#This Row],[PayScaleCode]],'19_PayScales'!N:N,'19_PayScales'!O:O)</f>
        <v>Teachers Main Inner</v>
      </c>
      <c r="R216" s="12" t="s">
        <v>1445</v>
      </c>
      <c r="S216" s="12" t="s">
        <v>1445</v>
      </c>
      <c r="T216" s="12">
        <v>6</v>
      </c>
      <c r="U216" s="12" t="b">
        <v>0</v>
      </c>
      <c r="V216" s="15" t="b">
        <v>1</v>
      </c>
      <c r="W216" s="164">
        <v>45901</v>
      </c>
      <c r="X216" s="140"/>
      <c r="Y216" s="162">
        <v>52300</v>
      </c>
    </row>
    <row r="217" spans="1:25" hidden="1" x14ac:dyDescent="0.25">
      <c r="A217" s="158" t="str">
        <f>PSPOINTS[[#This Row],[PayScaleCode]]&amp;PSPOINTS[[#This Row],[RateDateFrom]]</f>
        <v>MAIN_INN45901</v>
      </c>
      <c r="B217" s="57">
        <f t="shared" si="3"/>
        <v>0</v>
      </c>
      <c r="C217" s="57" t="str">
        <f>PSPOINTS[[#This Row],[PayScaleCode]]&amp;PSPOINTS[[#This Row],[PayScalePointCode]]&amp;PSPOINTS[[#This Row],[RateDateFrom]]</f>
        <v>MAIN_INNU1Y145901</v>
      </c>
      <c r="D217" s="57">
        <f>COUNTIF(PSPOINTS[Pay Scale String Duplicates],PSPOINTS[[#This Row],[Pay Scale String Duplicates]])-1</f>
        <v>0</v>
      </c>
      <c r="E217" s="57">
        <f>IF((MONTH(_xlfn.XLOOKUP(PSPOINTS[[#This Row],[PayScaleCode]],'19_PayScales'!N:N,'19_PayScales'!R:R)))=MONTH(PSPOINTS[[#This Row],[RateDateFrom]]),0,1)</f>
        <v>0</v>
      </c>
      <c r="F217" s="57">
        <f>IF(ISBLANK(PSPOINTS[[#This Row],[RateDateTo]]),0,IF(PSPOINTS[[#This Row],[RateDateFrom]]&lt;PSPOINTS[[#This Row],[RateDateTo]],0,1))</f>
        <v>0</v>
      </c>
      <c r="G217" s="57" cm="1">
        <f t="array" aca="1" ref="G217" ca="1">IF(CELL("format",PSPOINTS[[#This Row],[RateDateFrom]])="D1",0,1)+IF(CELL("format",PSPOINTS[[#This Row],[RateDateTo]])="D1",0,1)</f>
        <v>0</v>
      </c>
      <c r="H217" s="57">
        <f>IF(OR(PSPOINTS[[#This Row],[Hourly]]=TRUE,PSPOINTS[[#This Row],[Hourly]]=FALSE),IF(OR(PSPOINTS[[#This Row],[PayScalePointEnabled]]=TRUE,PSPOINTS[[#This Row],[PayScalePointEnabled]]=FALSE),0,1),1)</f>
        <v>0</v>
      </c>
      <c r="I217" s="57">
        <f>IF(LEN(PSPOINTS[[#This Row],[PayScalePointCode]])&lt;100,0,1)</f>
        <v>0</v>
      </c>
      <c r="J217" s="57">
        <f>IF(LEN(PSPOINTS[[#This Row],[PayScalePointTitle]])&lt;100,0,1)</f>
        <v>0</v>
      </c>
      <c r="K217" s="57">
        <f>(COUNTBLANK(PSPOINTS[[#This Row],[PayScalePointCode]:[RateDateFrom]])+COUNTBLANK(PSPOINTS[[#This Row],[PayScaleRate]]))</f>
        <v>0</v>
      </c>
      <c r="L217" s="120">
        <f>IF(SUBSTITUTE(TEXT(PSPOINTS[[#This Row],[PayScaleCode]],10)," ","")=TEXT(PSPOINTS[[#This Row],[PayScaleCode]],10),0,1)+IF(SUBSTITUTE(TEXT(PSPOINTS[[#This Row],[PayScalePointCode]],10)," ","")=TEXT(PSPOINTS[[#This Row],[PayScalePointCode]],10),0,1)</f>
        <v>0</v>
      </c>
      <c r="M217" s="57">
        <f ca="1">SUM(PSPOINTS[[#This Row],[Scale Point Issue]:[Space in Code]])</f>
        <v>0</v>
      </c>
      <c r="N217" s="57" t="s">
        <v>1401</v>
      </c>
      <c r="P217" s="12" t="s">
        <v>1402</v>
      </c>
      <c r="Q217" s="57" t="str">
        <f>_xlfn.XLOOKUP(PSPOINTS[[#This Row],[PayScaleCode]],'19_PayScales'!N:N,'19_PayScales'!O:O)</f>
        <v>Teachers Main Inner</v>
      </c>
      <c r="R217" s="12" t="s">
        <v>1448</v>
      </c>
      <c r="S217" s="12" t="s">
        <v>1448</v>
      </c>
      <c r="T217" s="12">
        <v>7</v>
      </c>
      <c r="U217" s="12" t="b">
        <v>0</v>
      </c>
      <c r="V217" s="15" t="b">
        <v>1</v>
      </c>
      <c r="W217" s="164">
        <v>45901</v>
      </c>
      <c r="X217" s="140"/>
      <c r="Y217" s="162">
        <v>57632</v>
      </c>
    </row>
    <row r="218" spans="1:25" hidden="1" x14ac:dyDescent="0.25">
      <c r="A218" s="158" t="str">
        <f>PSPOINTS[[#This Row],[PayScaleCode]]&amp;PSPOINTS[[#This Row],[RateDateFrom]]</f>
        <v>MAIN_INN45901</v>
      </c>
      <c r="B218" s="57">
        <f t="shared" si="3"/>
        <v>0</v>
      </c>
      <c r="C218" s="57" t="str">
        <f>PSPOINTS[[#This Row],[PayScaleCode]]&amp;PSPOINTS[[#This Row],[PayScalePointCode]]&amp;PSPOINTS[[#This Row],[RateDateFrom]]</f>
        <v>MAIN_INNU1Y245901</v>
      </c>
      <c r="D218" s="57">
        <f>COUNTIF(PSPOINTS[Pay Scale String Duplicates],PSPOINTS[[#This Row],[Pay Scale String Duplicates]])-1</f>
        <v>0</v>
      </c>
      <c r="E218" s="57">
        <f>IF((MONTH(_xlfn.XLOOKUP(PSPOINTS[[#This Row],[PayScaleCode]],'19_PayScales'!N:N,'19_PayScales'!R:R)))=MONTH(PSPOINTS[[#This Row],[RateDateFrom]]),0,1)</f>
        <v>0</v>
      </c>
      <c r="F218" s="57">
        <f>IF(ISBLANK(PSPOINTS[[#This Row],[RateDateTo]]),0,IF(PSPOINTS[[#This Row],[RateDateFrom]]&lt;PSPOINTS[[#This Row],[RateDateTo]],0,1))</f>
        <v>0</v>
      </c>
      <c r="G218" s="57" cm="1">
        <f t="array" aca="1" ref="G218" ca="1">IF(CELL("format",PSPOINTS[[#This Row],[RateDateFrom]])="D1",0,1)+IF(CELL("format",PSPOINTS[[#This Row],[RateDateTo]])="D1",0,1)</f>
        <v>0</v>
      </c>
      <c r="H218" s="57">
        <f>IF(OR(PSPOINTS[[#This Row],[Hourly]]=TRUE,PSPOINTS[[#This Row],[Hourly]]=FALSE),IF(OR(PSPOINTS[[#This Row],[PayScalePointEnabled]]=TRUE,PSPOINTS[[#This Row],[PayScalePointEnabled]]=FALSE),0,1),1)</f>
        <v>0</v>
      </c>
      <c r="I218" s="57">
        <f>IF(LEN(PSPOINTS[[#This Row],[PayScalePointCode]])&lt;100,0,1)</f>
        <v>0</v>
      </c>
      <c r="J218" s="57">
        <f>IF(LEN(PSPOINTS[[#This Row],[PayScalePointTitle]])&lt;100,0,1)</f>
        <v>0</v>
      </c>
      <c r="K218" s="57">
        <f>(COUNTBLANK(PSPOINTS[[#This Row],[PayScalePointCode]:[RateDateFrom]])+COUNTBLANK(PSPOINTS[[#This Row],[PayScaleRate]]))</f>
        <v>0</v>
      </c>
      <c r="L218" s="120">
        <f>IF(SUBSTITUTE(TEXT(PSPOINTS[[#This Row],[PayScaleCode]],10)," ","")=TEXT(PSPOINTS[[#This Row],[PayScaleCode]],10),0,1)+IF(SUBSTITUTE(TEXT(PSPOINTS[[#This Row],[PayScalePointCode]],10)," ","")=TEXT(PSPOINTS[[#This Row],[PayScalePointCode]],10),0,1)</f>
        <v>0</v>
      </c>
      <c r="M218" s="57">
        <f ca="1">SUM(PSPOINTS[[#This Row],[Scale Point Issue]:[Space in Code]])</f>
        <v>0</v>
      </c>
      <c r="N218" s="57" t="s">
        <v>1401</v>
      </c>
      <c r="P218" s="12" t="s">
        <v>1402</v>
      </c>
      <c r="Q218" s="57" t="str">
        <f>_xlfn.XLOOKUP(PSPOINTS[[#This Row],[PayScaleCode]],'19_PayScales'!N:N,'19_PayScales'!O:O)</f>
        <v>Teachers Main Inner</v>
      </c>
      <c r="R218" s="12" t="s">
        <v>1521</v>
      </c>
      <c r="S218" s="12" t="s">
        <v>1521</v>
      </c>
      <c r="T218" s="12">
        <v>8</v>
      </c>
      <c r="U218" s="12" t="b">
        <v>0</v>
      </c>
      <c r="V218" s="15" t="b">
        <v>1</v>
      </c>
      <c r="W218" s="164">
        <v>45901</v>
      </c>
      <c r="X218" s="140"/>
      <c r="Y218" s="162">
        <v>57632</v>
      </c>
    </row>
    <row r="219" spans="1:25" hidden="1" x14ac:dyDescent="0.25">
      <c r="A219" s="158" t="str">
        <f>PSPOINTS[[#This Row],[PayScaleCode]]&amp;PSPOINTS[[#This Row],[RateDateFrom]]</f>
        <v>MAIN_INN45901</v>
      </c>
      <c r="B219" s="57">
        <f t="shared" si="3"/>
        <v>0</v>
      </c>
      <c r="C219" s="57" t="str">
        <f>PSPOINTS[[#This Row],[PayScaleCode]]&amp;PSPOINTS[[#This Row],[PayScalePointCode]]&amp;PSPOINTS[[#This Row],[RateDateFrom]]</f>
        <v>MAIN_INNU2Y145901</v>
      </c>
      <c r="D219" s="57">
        <f>COUNTIF(PSPOINTS[Pay Scale String Duplicates],PSPOINTS[[#This Row],[Pay Scale String Duplicates]])-1</f>
        <v>0</v>
      </c>
      <c r="E219" s="57">
        <f>IF((MONTH(_xlfn.XLOOKUP(PSPOINTS[[#This Row],[PayScaleCode]],'19_PayScales'!N:N,'19_PayScales'!R:R)))=MONTH(PSPOINTS[[#This Row],[RateDateFrom]]),0,1)</f>
        <v>0</v>
      </c>
      <c r="F219" s="57">
        <f>IF(ISBLANK(PSPOINTS[[#This Row],[RateDateTo]]),0,IF(PSPOINTS[[#This Row],[RateDateFrom]]&lt;PSPOINTS[[#This Row],[RateDateTo]],0,1))</f>
        <v>0</v>
      </c>
      <c r="G219" s="57" cm="1">
        <f t="array" aca="1" ref="G219" ca="1">IF(CELL("format",PSPOINTS[[#This Row],[RateDateFrom]])="D1",0,1)+IF(CELL("format",PSPOINTS[[#This Row],[RateDateTo]])="D1",0,1)</f>
        <v>0</v>
      </c>
      <c r="H219" s="57">
        <f>IF(OR(PSPOINTS[[#This Row],[Hourly]]=TRUE,PSPOINTS[[#This Row],[Hourly]]=FALSE),IF(OR(PSPOINTS[[#This Row],[PayScalePointEnabled]]=TRUE,PSPOINTS[[#This Row],[PayScalePointEnabled]]=FALSE),0,1),1)</f>
        <v>0</v>
      </c>
      <c r="I219" s="57">
        <f>IF(LEN(PSPOINTS[[#This Row],[PayScalePointCode]])&lt;100,0,1)</f>
        <v>0</v>
      </c>
      <c r="J219" s="57">
        <f>IF(LEN(PSPOINTS[[#This Row],[PayScalePointTitle]])&lt;100,0,1)</f>
        <v>0</v>
      </c>
      <c r="K219" s="57">
        <f>(COUNTBLANK(PSPOINTS[[#This Row],[PayScalePointCode]:[RateDateFrom]])+COUNTBLANK(PSPOINTS[[#This Row],[PayScaleRate]]))</f>
        <v>0</v>
      </c>
      <c r="L219" s="120">
        <f>IF(SUBSTITUTE(TEXT(PSPOINTS[[#This Row],[PayScaleCode]],10)," ","")=TEXT(PSPOINTS[[#This Row],[PayScaleCode]],10),0,1)+IF(SUBSTITUTE(TEXT(PSPOINTS[[#This Row],[PayScalePointCode]],10)," ","")=TEXT(PSPOINTS[[#This Row],[PayScalePointCode]],10),0,1)</f>
        <v>0</v>
      </c>
      <c r="M219" s="57">
        <f ca="1">SUM(PSPOINTS[[#This Row],[Scale Point Issue]:[Space in Code]])</f>
        <v>0</v>
      </c>
      <c r="N219" s="57" t="s">
        <v>1401</v>
      </c>
      <c r="P219" s="12" t="s">
        <v>1402</v>
      </c>
      <c r="Q219" s="57" t="str">
        <f>_xlfn.XLOOKUP(PSPOINTS[[#This Row],[PayScaleCode]],'19_PayScales'!N:N,'19_PayScales'!O:O)</f>
        <v>Teachers Main Inner</v>
      </c>
      <c r="R219" s="12" t="s">
        <v>1522</v>
      </c>
      <c r="S219" s="12" t="s">
        <v>1522</v>
      </c>
      <c r="T219" s="12">
        <v>9</v>
      </c>
      <c r="U219" s="12" t="b">
        <v>0</v>
      </c>
      <c r="V219" s="15" t="b">
        <v>1</v>
      </c>
      <c r="W219" s="164">
        <v>45901</v>
      </c>
      <c r="X219" s="140"/>
      <c r="Y219" s="162">
        <v>60464</v>
      </c>
    </row>
    <row r="220" spans="1:25" hidden="1" x14ac:dyDescent="0.25">
      <c r="A220" s="158" t="str">
        <f>PSPOINTS[[#This Row],[PayScaleCode]]&amp;PSPOINTS[[#This Row],[RateDateFrom]]</f>
        <v>MAIN_INN45901</v>
      </c>
      <c r="B220" s="57">
        <f t="shared" si="3"/>
        <v>0</v>
      </c>
      <c r="C220" s="57" t="str">
        <f>PSPOINTS[[#This Row],[PayScaleCode]]&amp;PSPOINTS[[#This Row],[PayScalePointCode]]&amp;PSPOINTS[[#This Row],[RateDateFrom]]</f>
        <v>MAIN_INNU2Y245901</v>
      </c>
      <c r="D220" s="57">
        <f>COUNTIF(PSPOINTS[Pay Scale String Duplicates],PSPOINTS[[#This Row],[Pay Scale String Duplicates]])-1</f>
        <v>0</v>
      </c>
      <c r="E220" s="57">
        <f>IF((MONTH(_xlfn.XLOOKUP(PSPOINTS[[#This Row],[PayScaleCode]],'19_PayScales'!N:N,'19_PayScales'!R:R)))=MONTH(PSPOINTS[[#This Row],[RateDateFrom]]),0,1)</f>
        <v>0</v>
      </c>
      <c r="F220" s="57">
        <f>IF(ISBLANK(PSPOINTS[[#This Row],[RateDateTo]]),0,IF(PSPOINTS[[#This Row],[RateDateFrom]]&lt;PSPOINTS[[#This Row],[RateDateTo]],0,1))</f>
        <v>0</v>
      </c>
      <c r="G220" s="57" cm="1">
        <f t="array" aca="1" ref="G220" ca="1">IF(CELL("format",PSPOINTS[[#This Row],[RateDateFrom]])="D1",0,1)+IF(CELL("format",PSPOINTS[[#This Row],[RateDateTo]])="D1",0,1)</f>
        <v>0</v>
      </c>
      <c r="H220" s="57">
        <f>IF(OR(PSPOINTS[[#This Row],[Hourly]]=TRUE,PSPOINTS[[#This Row],[Hourly]]=FALSE),IF(OR(PSPOINTS[[#This Row],[PayScalePointEnabled]]=TRUE,PSPOINTS[[#This Row],[PayScalePointEnabled]]=FALSE),0,1),1)</f>
        <v>0</v>
      </c>
      <c r="I220" s="57">
        <f>IF(LEN(PSPOINTS[[#This Row],[PayScalePointCode]])&lt;100,0,1)</f>
        <v>0</v>
      </c>
      <c r="J220" s="57">
        <f>IF(LEN(PSPOINTS[[#This Row],[PayScalePointTitle]])&lt;100,0,1)</f>
        <v>0</v>
      </c>
      <c r="K220" s="57">
        <f>(COUNTBLANK(PSPOINTS[[#This Row],[PayScalePointCode]:[RateDateFrom]])+COUNTBLANK(PSPOINTS[[#This Row],[PayScaleRate]]))</f>
        <v>0</v>
      </c>
      <c r="L220" s="120">
        <f>IF(SUBSTITUTE(TEXT(PSPOINTS[[#This Row],[PayScaleCode]],10)," ","")=TEXT(PSPOINTS[[#This Row],[PayScaleCode]],10),0,1)+IF(SUBSTITUTE(TEXT(PSPOINTS[[#This Row],[PayScalePointCode]],10)," ","")=TEXT(PSPOINTS[[#This Row],[PayScalePointCode]],10),0,1)</f>
        <v>0</v>
      </c>
      <c r="M220" s="57">
        <f ca="1">SUM(PSPOINTS[[#This Row],[Scale Point Issue]:[Space in Code]])</f>
        <v>0</v>
      </c>
      <c r="N220" s="57" t="s">
        <v>1401</v>
      </c>
      <c r="P220" s="12" t="s">
        <v>1402</v>
      </c>
      <c r="Q220" s="57" t="str">
        <f>_xlfn.XLOOKUP(PSPOINTS[[#This Row],[PayScaleCode]],'19_PayScales'!N:N,'19_PayScales'!O:O)</f>
        <v>Teachers Main Inner</v>
      </c>
      <c r="R220" s="12" t="s">
        <v>1523</v>
      </c>
      <c r="S220" s="12" t="s">
        <v>1523</v>
      </c>
      <c r="T220" s="12">
        <v>10</v>
      </c>
      <c r="U220" s="12" t="b">
        <v>0</v>
      </c>
      <c r="V220" s="15" t="b">
        <v>1</v>
      </c>
      <c r="W220" s="164">
        <v>45901</v>
      </c>
      <c r="X220" s="140"/>
      <c r="Y220" s="162">
        <v>60464</v>
      </c>
    </row>
    <row r="221" spans="1:25" hidden="1" x14ac:dyDescent="0.25">
      <c r="A221" s="158" t="str">
        <f>PSPOINTS[[#This Row],[PayScaleCode]]&amp;PSPOINTS[[#This Row],[RateDateFrom]]</f>
        <v>MAIN_INN45901</v>
      </c>
      <c r="B221" s="57">
        <f t="shared" si="3"/>
        <v>0</v>
      </c>
      <c r="C221" s="57" t="str">
        <f>PSPOINTS[[#This Row],[PayScaleCode]]&amp;PSPOINTS[[#This Row],[PayScalePointCode]]&amp;PSPOINTS[[#This Row],[RateDateFrom]]</f>
        <v>MAIN_INNU345901</v>
      </c>
      <c r="D221" s="57">
        <f>COUNTIF(PSPOINTS[Pay Scale String Duplicates],PSPOINTS[[#This Row],[Pay Scale String Duplicates]])-1</f>
        <v>0</v>
      </c>
      <c r="E221" s="57">
        <f>IF((MONTH(_xlfn.XLOOKUP(PSPOINTS[[#This Row],[PayScaleCode]],'19_PayScales'!N:N,'19_PayScales'!R:R)))=MONTH(PSPOINTS[[#This Row],[RateDateFrom]]),0,1)</f>
        <v>0</v>
      </c>
      <c r="F221" s="57">
        <f>IF(ISBLANK(PSPOINTS[[#This Row],[RateDateTo]]),0,IF(PSPOINTS[[#This Row],[RateDateFrom]]&lt;PSPOINTS[[#This Row],[RateDateTo]],0,1))</f>
        <v>0</v>
      </c>
      <c r="G221" s="57" cm="1">
        <f t="array" aca="1" ref="G221" ca="1">IF(CELL("format",PSPOINTS[[#This Row],[RateDateFrom]])="D1",0,1)+IF(CELL("format",PSPOINTS[[#This Row],[RateDateTo]])="D1",0,1)</f>
        <v>0</v>
      </c>
      <c r="H221" s="57">
        <f>IF(OR(PSPOINTS[[#This Row],[Hourly]]=TRUE,PSPOINTS[[#This Row],[Hourly]]=FALSE),IF(OR(PSPOINTS[[#This Row],[PayScalePointEnabled]]=TRUE,PSPOINTS[[#This Row],[PayScalePointEnabled]]=FALSE),0,1),1)</f>
        <v>0</v>
      </c>
      <c r="I221" s="57">
        <f>IF(LEN(PSPOINTS[[#This Row],[PayScalePointCode]])&lt;100,0,1)</f>
        <v>0</v>
      </c>
      <c r="J221" s="57">
        <f>IF(LEN(PSPOINTS[[#This Row],[PayScalePointTitle]])&lt;100,0,1)</f>
        <v>0</v>
      </c>
      <c r="K221" s="57">
        <f>(COUNTBLANK(PSPOINTS[[#This Row],[PayScalePointCode]:[RateDateFrom]])+COUNTBLANK(PSPOINTS[[#This Row],[PayScaleRate]]))</f>
        <v>0</v>
      </c>
      <c r="L221" s="120">
        <f>IF(SUBSTITUTE(TEXT(PSPOINTS[[#This Row],[PayScaleCode]],10)," ","")=TEXT(PSPOINTS[[#This Row],[PayScaleCode]],10),0,1)+IF(SUBSTITUTE(TEXT(PSPOINTS[[#This Row],[PayScalePointCode]],10)," ","")=TEXT(PSPOINTS[[#This Row],[PayScalePointCode]],10),0,1)</f>
        <v>0</v>
      </c>
      <c r="M221" s="57">
        <f ca="1">SUM(PSPOINTS[[#This Row],[Scale Point Issue]:[Space in Code]])</f>
        <v>0</v>
      </c>
      <c r="N221" s="57" t="s">
        <v>1401</v>
      </c>
      <c r="P221" s="12" t="s">
        <v>1402</v>
      </c>
      <c r="Q221" s="57" t="str">
        <f>_xlfn.XLOOKUP(PSPOINTS[[#This Row],[PayScaleCode]],'19_PayScales'!N:N,'19_PayScales'!O:O)</f>
        <v>Teachers Main Inner</v>
      </c>
      <c r="R221" s="12" t="s">
        <v>1442</v>
      </c>
      <c r="S221" s="12" t="s">
        <v>1442</v>
      </c>
      <c r="T221" s="12">
        <v>11</v>
      </c>
      <c r="U221" s="12" t="b">
        <v>0</v>
      </c>
      <c r="V221" s="15" t="b">
        <v>1</v>
      </c>
      <c r="W221" s="164">
        <v>45901</v>
      </c>
      <c r="X221" s="140"/>
      <c r="Y221" s="162">
        <v>62496</v>
      </c>
    </row>
    <row r="222" spans="1:25" x14ac:dyDescent="0.25">
      <c r="A222" s="158" t="str">
        <f>PSPOINTS[[#This Row],[PayScaleCode]]&amp;PSPOINTS[[#This Row],[RateDateFrom]]</f>
        <v>LP_INN45901</v>
      </c>
      <c r="B222" s="57">
        <f t="shared" si="3"/>
        <v>0</v>
      </c>
      <c r="C222" s="57" t="str">
        <f>PSPOINTS[[#This Row],[PayScaleCode]]&amp;PSPOINTS[[#This Row],[PayScalePointCode]]&amp;PSPOINTS[[#This Row],[RateDateFrom]]</f>
        <v>LP_INNLP0145901</v>
      </c>
      <c r="D222" s="57">
        <f>COUNTIF(PSPOINTS[Pay Scale String Duplicates],PSPOINTS[[#This Row],[Pay Scale String Duplicates]])-1</f>
        <v>0</v>
      </c>
      <c r="E222" s="57">
        <f>IF((MONTH(_xlfn.XLOOKUP(PSPOINTS[[#This Row],[PayScaleCode]],'19_PayScales'!N:N,'19_PayScales'!R:R)))=MONTH(PSPOINTS[[#This Row],[RateDateFrom]]),0,1)</f>
        <v>0</v>
      </c>
      <c r="F222" s="57">
        <f>IF(ISBLANK(PSPOINTS[[#This Row],[RateDateTo]]),0,IF(PSPOINTS[[#This Row],[RateDateFrom]]&lt;PSPOINTS[[#This Row],[RateDateTo]],0,1))</f>
        <v>0</v>
      </c>
      <c r="G222" s="57" cm="1">
        <f t="array" aca="1" ref="G222" ca="1">IF(CELL("format",PSPOINTS[[#This Row],[RateDateFrom]])="D1",0,1)+IF(CELL("format",PSPOINTS[[#This Row],[RateDateTo]])="D1",0,1)</f>
        <v>0</v>
      </c>
      <c r="H222" s="57">
        <f>IF(OR(PSPOINTS[[#This Row],[Hourly]]=TRUE,PSPOINTS[[#This Row],[Hourly]]=FALSE),IF(OR(PSPOINTS[[#This Row],[PayScalePointEnabled]]=TRUE,PSPOINTS[[#This Row],[PayScalePointEnabled]]=FALSE),0,1),1)</f>
        <v>0</v>
      </c>
      <c r="I222" s="57">
        <f>IF(LEN(PSPOINTS[[#This Row],[PayScalePointCode]])&lt;100,0,1)</f>
        <v>0</v>
      </c>
      <c r="J222" s="57">
        <f>IF(LEN(PSPOINTS[[#This Row],[PayScalePointTitle]])&lt;100,0,1)</f>
        <v>0</v>
      </c>
      <c r="K222" s="57">
        <f>(COUNTBLANK(PSPOINTS[[#This Row],[PayScalePointCode]:[RateDateFrom]])+COUNTBLANK(PSPOINTS[[#This Row],[PayScaleRate]]))</f>
        <v>0</v>
      </c>
      <c r="L222" s="120">
        <f>IF(SUBSTITUTE(TEXT(PSPOINTS[[#This Row],[PayScaleCode]],10)," ","")=TEXT(PSPOINTS[[#This Row],[PayScaleCode]],10),0,1)+IF(SUBSTITUTE(TEXT(PSPOINTS[[#This Row],[PayScalePointCode]],10)," ","")=TEXT(PSPOINTS[[#This Row],[PayScalePointCode]],10),0,1)</f>
        <v>0</v>
      </c>
      <c r="M222" s="57">
        <f ca="1">SUM(PSPOINTS[[#This Row],[Scale Point Issue]:[Space in Code]])</f>
        <v>0</v>
      </c>
      <c r="N222" s="57" t="s">
        <v>1401</v>
      </c>
      <c r="P222" s="12" t="s">
        <v>1404</v>
      </c>
      <c r="Q222" s="57" t="str">
        <f>_xlfn.XLOOKUP(PSPOINTS[[#This Row],[PayScaleCode]],'19_PayScales'!N:N,'19_PayScales'!O:O)</f>
        <v>Lead Practitioner Inner</v>
      </c>
      <c r="R222" s="12" t="s">
        <v>1459</v>
      </c>
      <c r="S222" s="12" t="s">
        <v>1459</v>
      </c>
      <c r="T222" s="12">
        <v>1</v>
      </c>
      <c r="U222" s="12" t="b">
        <v>0</v>
      </c>
      <c r="V222" s="15" t="b">
        <v>1</v>
      </c>
      <c r="W222" s="164">
        <v>45901</v>
      </c>
      <c r="X222" s="140"/>
      <c r="Y222" s="162">
        <v>61858</v>
      </c>
    </row>
    <row r="223" spans="1:25" x14ac:dyDescent="0.25">
      <c r="A223" s="158" t="str">
        <f>PSPOINTS[[#This Row],[PayScaleCode]]&amp;PSPOINTS[[#This Row],[RateDateFrom]]</f>
        <v>LP_INN45901</v>
      </c>
      <c r="B223" s="57">
        <f t="shared" si="3"/>
        <v>0</v>
      </c>
      <c r="C223" s="57" t="str">
        <f>PSPOINTS[[#This Row],[PayScaleCode]]&amp;PSPOINTS[[#This Row],[PayScalePointCode]]&amp;PSPOINTS[[#This Row],[RateDateFrom]]</f>
        <v>LP_INNLP0245901</v>
      </c>
      <c r="D223" s="57">
        <f>COUNTIF(PSPOINTS[Pay Scale String Duplicates],PSPOINTS[[#This Row],[Pay Scale String Duplicates]])-1</f>
        <v>0</v>
      </c>
      <c r="E223" s="57">
        <f>IF((MONTH(_xlfn.XLOOKUP(PSPOINTS[[#This Row],[PayScaleCode]],'19_PayScales'!N:N,'19_PayScales'!R:R)))=MONTH(PSPOINTS[[#This Row],[RateDateFrom]]),0,1)</f>
        <v>0</v>
      </c>
      <c r="F223" s="57">
        <f>IF(ISBLANK(PSPOINTS[[#This Row],[RateDateTo]]),0,IF(PSPOINTS[[#This Row],[RateDateFrom]]&lt;PSPOINTS[[#This Row],[RateDateTo]],0,1))</f>
        <v>0</v>
      </c>
      <c r="G223" s="57" cm="1">
        <f t="array" aca="1" ref="G223" ca="1">IF(CELL("format",PSPOINTS[[#This Row],[RateDateFrom]])="D1",0,1)+IF(CELL("format",PSPOINTS[[#This Row],[RateDateTo]])="D1",0,1)</f>
        <v>0</v>
      </c>
      <c r="H223" s="57">
        <f>IF(OR(PSPOINTS[[#This Row],[Hourly]]=TRUE,PSPOINTS[[#This Row],[Hourly]]=FALSE),IF(OR(PSPOINTS[[#This Row],[PayScalePointEnabled]]=TRUE,PSPOINTS[[#This Row],[PayScalePointEnabled]]=FALSE),0,1),1)</f>
        <v>0</v>
      </c>
      <c r="I223" s="57">
        <f>IF(LEN(PSPOINTS[[#This Row],[PayScalePointCode]])&lt;100,0,1)</f>
        <v>0</v>
      </c>
      <c r="J223" s="57">
        <f>IF(LEN(PSPOINTS[[#This Row],[PayScalePointTitle]])&lt;100,0,1)</f>
        <v>0</v>
      </c>
      <c r="K223" s="57">
        <f>(COUNTBLANK(PSPOINTS[[#This Row],[PayScalePointCode]:[RateDateFrom]])+COUNTBLANK(PSPOINTS[[#This Row],[PayScaleRate]]))</f>
        <v>0</v>
      </c>
      <c r="L223" s="120">
        <f>IF(SUBSTITUTE(TEXT(PSPOINTS[[#This Row],[PayScaleCode]],10)," ","")=TEXT(PSPOINTS[[#This Row],[PayScaleCode]],10),0,1)+IF(SUBSTITUTE(TEXT(PSPOINTS[[#This Row],[PayScalePointCode]],10)," ","")=TEXT(PSPOINTS[[#This Row],[PayScalePointCode]],10),0,1)</f>
        <v>0</v>
      </c>
      <c r="M223" s="57">
        <f ca="1">SUM(PSPOINTS[[#This Row],[Scale Point Issue]:[Space in Code]])</f>
        <v>0</v>
      </c>
      <c r="N223" s="57" t="s">
        <v>1401</v>
      </c>
      <c r="P223" s="12" t="s">
        <v>1404</v>
      </c>
      <c r="Q223" s="57" t="str">
        <f>_xlfn.XLOOKUP(PSPOINTS[[#This Row],[PayScaleCode]],'19_PayScales'!N:N,'19_PayScales'!O:O)</f>
        <v>Lead Practitioner Inner</v>
      </c>
      <c r="R223" s="12" t="s">
        <v>1524</v>
      </c>
      <c r="S223" s="12" t="s">
        <v>1524</v>
      </c>
      <c r="T223" s="12">
        <v>2</v>
      </c>
      <c r="U223" s="12" t="b">
        <v>0</v>
      </c>
      <c r="V223" s="15" t="b">
        <v>1</v>
      </c>
      <c r="W223" s="164">
        <v>45901</v>
      </c>
      <c r="X223" s="140"/>
      <c r="Y223" s="162">
        <v>63165</v>
      </c>
    </row>
    <row r="224" spans="1:25" x14ac:dyDescent="0.25">
      <c r="A224" s="158" t="str">
        <f>PSPOINTS[[#This Row],[PayScaleCode]]&amp;PSPOINTS[[#This Row],[RateDateFrom]]</f>
        <v>LP_INN45901</v>
      </c>
      <c r="B224" s="57">
        <f t="shared" si="3"/>
        <v>0</v>
      </c>
      <c r="C224" s="57" t="str">
        <f>PSPOINTS[[#This Row],[PayScaleCode]]&amp;PSPOINTS[[#This Row],[PayScalePointCode]]&amp;PSPOINTS[[#This Row],[RateDateFrom]]</f>
        <v>LP_INNLP0345901</v>
      </c>
      <c r="D224" s="57">
        <f>COUNTIF(PSPOINTS[Pay Scale String Duplicates],PSPOINTS[[#This Row],[Pay Scale String Duplicates]])-1</f>
        <v>0</v>
      </c>
      <c r="E224" s="57">
        <f>IF((MONTH(_xlfn.XLOOKUP(PSPOINTS[[#This Row],[PayScaleCode]],'19_PayScales'!N:N,'19_PayScales'!R:R)))=MONTH(PSPOINTS[[#This Row],[RateDateFrom]]),0,1)</f>
        <v>0</v>
      </c>
      <c r="F224" s="57">
        <f>IF(ISBLANK(PSPOINTS[[#This Row],[RateDateTo]]),0,IF(PSPOINTS[[#This Row],[RateDateFrom]]&lt;PSPOINTS[[#This Row],[RateDateTo]],0,1))</f>
        <v>0</v>
      </c>
      <c r="G224" s="57" cm="1">
        <f t="array" aca="1" ref="G224" ca="1">IF(CELL("format",PSPOINTS[[#This Row],[RateDateFrom]])="D1",0,1)+IF(CELL("format",PSPOINTS[[#This Row],[RateDateTo]])="D1",0,1)</f>
        <v>0</v>
      </c>
      <c r="H224" s="57">
        <f>IF(OR(PSPOINTS[[#This Row],[Hourly]]=TRUE,PSPOINTS[[#This Row],[Hourly]]=FALSE),IF(OR(PSPOINTS[[#This Row],[PayScalePointEnabled]]=TRUE,PSPOINTS[[#This Row],[PayScalePointEnabled]]=FALSE),0,1),1)</f>
        <v>0</v>
      </c>
      <c r="I224" s="57">
        <f>IF(LEN(PSPOINTS[[#This Row],[PayScalePointCode]])&lt;100,0,1)</f>
        <v>0</v>
      </c>
      <c r="J224" s="57">
        <f>IF(LEN(PSPOINTS[[#This Row],[PayScalePointTitle]])&lt;100,0,1)</f>
        <v>0</v>
      </c>
      <c r="K224" s="57">
        <f>(COUNTBLANK(PSPOINTS[[#This Row],[PayScalePointCode]:[RateDateFrom]])+COUNTBLANK(PSPOINTS[[#This Row],[PayScaleRate]]))</f>
        <v>0</v>
      </c>
      <c r="L224" s="120">
        <f>IF(SUBSTITUTE(TEXT(PSPOINTS[[#This Row],[PayScaleCode]],10)," ","")=TEXT(PSPOINTS[[#This Row],[PayScaleCode]],10),0,1)+IF(SUBSTITUTE(TEXT(PSPOINTS[[#This Row],[PayScalePointCode]],10)," ","")=TEXT(PSPOINTS[[#This Row],[PayScalePointCode]],10),0,1)</f>
        <v>0</v>
      </c>
      <c r="M224" s="57">
        <f ca="1">SUM(PSPOINTS[[#This Row],[Scale Point Issue]:[Space in Code]])</f>
        <v>0</v>
      </c>
      <c r="N224" s="57" t="s">
        <v>1401</v>
      </c>
      <c r="P224" s="12" t="s">
        <v>1404</v>
      </c>
      <c r="Q224" s="57" t="str">
        <f>_xlfn.XLOOKUP(PSPOINTS[[#This Row],[PayScaleCode]],'19_PayScales'!N:N,'19_PayScales'!O:O)</f>
        <v>Lead Practitioner Inner</v>
      </c>
      <c r="R224" s="12" t="s">
        <v>1525</v>
      </c>
      <c r="S224" s="12" t="s">
        <v>1525</v>
      </c>
      <c r="T224" s="12">
        <v>3</v>
      </c>
      <c r="U224" s="12" t="b">
        <v>0</v>
      </c>
      <c r="V224" s="15" t="b">
        <v>1</v>
      </c>
      <c r="W224" s="164">
        <v>45901</v>
      </c>
      <c r="X224" s="140"/>
      <c r="Y224" s="162">
        <v>64502</v>
      </c>
    </row>
    <row r="225" spans="1:25" x14ac:dyDescent="0.25">
      <c r="A225" s="158" t="str">
        <f>PSPOINTS[[#This Row],[PayScaleCode]]&amp;PSPOINTS[[#This Row],[RateDateFrom]]</f>
        <v>LP_INN45901</v>
      </c>
      <c r="B225" s="57">
        <f t="shared" si="3"/>
        <v>0</v>
      </c>
      <c r="C225" s="57" t="str">
        <f>PSPOINTS[[#This Row],[PayScaleCode]]&amp;PSPOINTS[[#This Row],[PayScalePointCode]]&amp;PSPOINTS[[#This Row],[RateDateFrom]]</f>
        <v>LP_INNLP0445901</v>
      </c>
      <c r="D225" s="57">
        <f>COUNTIF(PSPOINTS[Pay Scale String Duplicates],PSPOINTS[[#This Row],[Pay Scale String Duplicates]])-1</f>
        <v>0</v>
      </c>
      <c r="E225" s="57">
        <f>IF((MONTH(_xlfn.XLOOKUP(PSPOINTS[[#This Row],[PayScaleCode]],'19_PayScales'!N:N,'19_PayScales'!R:R)))=MONTH(PSPOINTS[[#This Row],[RateDateFrom]]),0,1)</f>
        <v>0</v>
      </c>
      <c r="F225" s="57">
        <f>IF(ISBLANK(PSPOINTS[[#This Row],[RateDateTo]]),0,IF(PSPOINTS[[#This Row],[RateDateFrom]]&lt;PSPOINTS[[#This Row],[RateDateTo]],0,1))</f>
        <v>0</v>
      </c>
      <c r="G225" s="57" cm="1">
        <f t="array" aca="1" ref="G225" ca="1">IF(CELL("format",PSPOINTS[[#This Row],[RateDateFrom]])="D1",0,1)+IF(CELL("format",PSPOINTS[[#This Row],[RateDateTo]])="D1",0,1)</f>
        <v>0</v>
      </c>
      <c r="H225" s="57">
        <f>IF(OR(PSPOINTS[[#This Row],[Hourly]]=TRUE,PSPOINTS[[#This Row],[Hourly]]=FALSE),IF(OR(PSPOINTS[[#This Row],[PayScalePointEnabled]]=TRUE,PSPOINTS[[#This Row],[PayScalePointEnabled]]=FALSE),0,1),1)</f>
        <v>0</v>
      </c>
      <c r="I225" s="57">
        <f>IF(LEN(PSPOINTS[[#This Row],[PayScalePointCode]])&lt;100,0,1)</f>
        <v>0</v>
      </c>
      <c r="J225" s="57">
        <f>IF(LEN(PSPOINTS[[#This Row],[PayScalePointTitle]])&lt;100,0,1)</f>
        <v>0</v>
      </c>
      <c r="K225" s="57">
        <f>(COUNTBLANK(PSPOINTS[[#This Row],[PayScalePointCode]:[RateDateFrom]])+COUNTBLANK(PSPOINTS[[#This Row],[PayScaleRate]]))</f>
        <v>0</v>
      </c>
      <c r="L225" s="120">
        <f>IF(SUBSTITUTE(TEXT(PSPOINTS[[#This Row],[PayScaleCode]],10)," ","")=TEXT(PSPOINTS[[#This Row],[PayScaleCode]],10),0,1)+IF(SUBSTITUTE(TEXT(PSPOINTS[[#This Row],[PayScalePointCode]],10)," ","")=TEXT(PSPOINTS[[#This Row],[PayScalePointCode]],10),0,1)</f>
        <v>0</v>
      </c>
      <c r="M225" s="57">
        <f ca="1">SUM(PSPOINTS[[#This Row],[Scale Point Issue]:[Space in Code]])</f>
        <v>0</v>
      </c>
      <c r="N225" s="57" t="s">
        <v>1401</v>
      </c>
      <c r="P225" s="12" t="s">
        <v>1404</v>
      </c>
      <c r="Q225" s="57" t="str">
        <f>_xlfn.XLOOKUP(PSPOINTS[[#This Row],[PayScaleCode]],'19_PayScales'!N:N,'19_PayScales'!O:O)</f>
        <v>Lead Practitioner Inner</v>
      </c>
      <c r="R225" s="12" t="s">
        <v>1526</v>
      </c>
      <c r="S225" s="12" t="s">
        <v>1526</v>
      </c>
      <c r="T225" s="12">
        <v>4</v>
      </c>
      <c r="U225" s="12" t="b">
        <v>0</v>
      </c>
      <c r="V225" s="15" t="b">
        <v>1</v>
      </c>
      <c r="W225" s="164">
        <v>45901</v>
      </c>
      <c r="X225" s="140"/>
      <c r="Y225" s="162">
        <v>65861</v>
      </c>
    </row>
    <row r="226" spans="1:25" x14ac:dyDescent="0.25">
      <c r="A226" s="158" t="str">
        <f>PSPOINTS[[#This Row],[PayScaleCode]]&amp;PSPOINTS[[#This Row],[RateDateFrom]]</f>
        <v>LP_INN45901</v>
      </c>
      <c r="B226" s="57">
        <f t="shared" si="3"/>
        <v>0</v>
      </c>
      <c r="C226" s="57" t="str">
        <f>PSPOINTS[[#This Row],[PayScaleCode]]&amp;PSPOINTS[[#This Row],[PayScalePointCode]]&amp;PSPOINTS[[#This Row],[RateDateFrom]]</f>
        <v>LP_INNLP0545901</v>
      </c>
      <c r="D226" s="57">
        <f>COUNTIF(PSPOINTS[Pay Scale String Duplicates],PSPOINTS[[#This Row],[Pay Scale String Duplicates]])-1</f>
        <v>0</v>
      </c>
      <c r="E226" s="57">
        <f>IF((MONTH(_xlfn.XLOOKUP(PSPOINTS[[#This Row],[PayScaleCode]],'19_PayScales'!N:N,'19_PayScales'!R:R)))=MONTH(PSPOINTS[[#This Row],[RateDateFrom]]),0,1)</f>
        <v>0</v>
      </c>
      <c r="F226" s="57">
        <f>IF(ISBLANK(PSPOINTS[[#This Row],[RateDateTo]]),0,IF(PSPOINTS[[#This Row],[RateDateFrom]]&lt;PSPOINTS[[#This Row],[RateDateTo]],0,1))</f>
        <v>0</v>
      </c>
      <c r="G226" s="57" cm="1">
        <f t="array" aca="1" ref="G226" ca="1">IF(CELL("format",PSPOINTS[[#This Row],[RateDateFrom]])="D1",0,1)+IF(CELL("format",PSPOINTS[[#This Row],[RateDateTo]])="D1",0,1)</f>
        <v>0</v>
      </c>
      <c r="H226" s="57">
        <f>IF(OR(PSPOINTS[[#This Row],[Hourly]]=TRUE,PSPOINTS[[#This Row],[Hourly]]=FALSE),IF(OR(PSPOINTS[[#This Row],[PayScalePointEnabled]]=TRUE,PSPOINTS[[#This Row],[PayScalePointEnabled]]=FALSE),0,1),1)</f>
        <v>0</v>
      </c>
      <c r="I226" s="57">
        <f>IF(LEN(PSPOINTS[[#This Row],[PayScalePointCode]])&lt;100,0,1)</f>
        <v>0</v>
      </c>
      <c r="J226" s="57">
        <f>IF(LEN(PSPOINTS[[#This Row],[PayScalePointTitle]])&lt;100,0,1)</f>
        <v>0</v>
      </c>
      <c r="K226" s="57">
        <f>(COUNTBLANK(PSPOINTS[[#This Row],[PayScalePointCode]:[RateDateFrom]])+COUNTBLANK(PSPOINTS[[#This Row],[PayScaleRate]]))</f>
        <v>0</v>
      </c>
      <c r="L226" s="120">
        <f>IF(SUBSTITUTE(TEXT(PSPOINTS[[#This Row],[PayScaleCode]],10)," ","")=TEXT(PSPOINTS[[#This Row],[PayScaleCode]],10),0,1)+IF(SUBSTITUTE(TEXT(PSPOINTS[[#This Row],[PayScalePointCode]],10)," ","")=TEXT(PSPOINTS[[#This Row],[PayScalePointCode]],10),0,1)</f>
        <v>0</v>
      </c>
      <c r="M226" s="57">
        <f ca="1">SUM(PSPOINTS[[#This Row],[Scale Point Issue]:[Space in Code]])</f>
        <v>0</v>
      </c>
      <c r="N226" s="57" t="s">
        <v>1401</v>
      </c>
      <c r="P226" s="12" t="s">
        <v>1404</v>
      </c>
      <c r="Q226" s="57" t="str">
        <f>_xlfn.XLOOKUP(PSPOINTS[[#This Row],[PayScaleCode]],'19_PayScales'!N:N,'19_PayScales'!O:O)</f>
        <v>Lead Practitioner Inner</v>
      </c>
      <c r="R226" s="12" t="s">
        <v>1527</v>
      </c>
      <c r="S226" s="12" t="s">
        <v>1527</v>
      </c>
      <c r="T226" s="12">
        <v>5</v>
      </c>
      <c r="U226" s="12" t="b">
        <v>0</v>
      </c>
      <c r="V226" s="15" t="b">
        <v>1</v>
      </c>
      <c r="W226" s="164">
        <v>45901</v>
      </c>
      <c r="X226" s="140"/>
      <c r="Y226" s="162">
        <v>67265</v>
      </c>
    </row>
    <row r="227" spans="1:25" x14ac:dyDescent="0.25">
      <c r="A227" s="158" t="str">
        <f>PSPOINTS[[#This Row],[PayScaleCode]]&amp;PSPOINTS[[#This Row],[RateDateFrom]]</f>
        <v>LP_INN45901</v>
      </c>
      <c r="B227" s="57">
        <f t="shared" si="3"/>
        <v>0</v>
      </c>
      <c r="C227" s="57" t="str">
        <f>PSPOINTS[[#This Row],[PayScaleCode]]&amp;PSPOINTS[[#This Row],[PayScalePointCode]]&amp;PSPOINTS[[#This Row],[RateDateFrom]]</f>
        <v>LP_INNLP0645901</v>
      </c>
      <c r="D227" s="57">
        <f>COUNTIF(PSPOINTS[Pay Scale String Duplicates],PSPOINTS[[#This Row],[Pay Scale String Duplicates]])-1</f>
        <v>0</v>
      </c>
      <c r="E227" s="57">
        <f>IF((MONTH(_xlfn.XLOOKUP(PSPOINTS[[#This Row],[PayScaleCode]],'19_PayScales'!N:N,'19_PayScales'!R:R)))=MONTH(PSPOINTS[[#This Row],[RateDateFrom]]),0,1)</f>
        <v>0</v>
      </c>
      <c r="F227" s="57">
        <f>IF(ISBLANK(PSPOINTS[[#This Row],[RateDateTo]]),0,IF(PSPOINTS[[#This Row],[RateDateFrom]]&lt;PSPOINTS[[#This Row],[RateDateTo]],0,1))</f>
        <v>0</v>
      </c>
      <c r="G227" s="57" cm="1">
        <f t="array" aca="1" ref="G227" ca="1">IF(CELL("format",PSPOINTS[[#This Row],[RateDateFrom]])="D1",0,1)+IF(CELL("format",PSPOINTS[[#This Row],[RateDateTo]])="D1",0,1)</f>
        <v>0</v>
      </c>
      <c r="H227" s="57">
        <f>IF(OR(PSPOINTS[[#This Row],[Hourly]]=TRUE,PSPOINTS[[#This Row],[Hourly]]=FALSE),IF(OR(PSPOINTS[[#This Row],[PayScalePointEnabled]]=TRUE,PSPOINTS[[#This Row],[PayScalePointEnabled]]=FALSE),0,1),1)</f>
        <v>0</v>
      </c>
      <c r="I227" s="57">
        <f>IF(LEN(PSPOINTS[[#This Row],[PayScalePointCode]])&lt;100,0,1)</f>
        <v>0</v>
      </c>
      <c r="J227" s="57">
        <f>IF(LEN(PSPOINTS[[#This Row],[PayScalePointTitle]])&lt;100,0,1)</f>
        <v>0</v>
      </c>
      <c r="K227" s="57">
        <f>(COUNTBLANK(PSPOINTS[[#This Row],[PayScalePointCode]:[RateDateFrom]])+COUNTBLANK(PSPOINTS[[#This Row],[PayScaleRate]]))</f>
        <v>0</v>
      </c>
      <c r="L227" s="120">
        <f>IF(SUBSTITUTE(TEXT(PSPOINTS[[#This Row],[PayScaleCode]],10)," ","")=TEXT(PSPOINTS[[#This Row],[PayScaleCode]],10),0,1)+IF(SUBSTITUTE(TEXT(PSPOINTS[[#This Row],[PayScalePointCode]],10)," ","")=TEXT(PSPOINTS[[#This Row],[PayScalePointCode]],10),0,1)</f>
        <v>0</v>
      </c>
      <c r="M227" s="57">
        <f ca="1">SUM(PSPOINTS[[#This Row],[Scale Point Issue]:[Space in Code]])</f>
        <v>0</v>
      </c>
      <c r="N227" s="57" t="s">
        <v>1401</v>
      </c>
      <c r="P227" s="12" t="s">
        <v>1404</v>
      </c>
      <c r="Q227" s="57" t="str">
        <f>_xlfn.XLOOKUP(PSPOINTS[[#This Row],[PayScaleCode]],'19_PayScales'!N:N,'19_PayScales'!O:O)</f>
        <v>Lead Practitioner Inner</v>
      </c>
      <c r="R227" s="12" t="s">
        <v>1528</v>
      </c>
      <c r="S227" s="12" t="s">
        <v>1528</v>
      </c>
      <c r="T227" s="12">
        <v>6</v>
      </c>
      <c r="U227" s="12" t="b">
        <v>0</v>
      </c>
      <c r="V227" s="15" t="b">
        <v>1</v>
      </c>
      <c r="W227" s="164">
        <v>45901</v>
      </c>
      <c r="X227" s="140"/>
      <c r="Y227" s="162">
        <v>68698</v>
      </c>
    </row>
    <row r="228" spans="1:25" x14ac:dyDescent="0.25">
      <c r="A228" s="158" t="str">
        <f>PSPOINTS[[#This Row],[PayScaleCode]]&amp;PSPOINTS[[#This Row],[RateDateFrom]]</f>
        <v>LP_INN45901</v>
      </c>
      <c r="B228" s="57">
        <f t="shared" si="3"/>
        <v>0</v>
      </c>
      <c r="C228" s="57" t="str">
        <f>PSPOINTS[[#This Row],[PayScaleCode]]&amp;PSPOINTS[[#This Row],[PayScalePointCode]]&amp;PSPOINTS[[#This Row],[RateDateFrom]]</f>
        <v>LP_INNLP0745901</v>
      </c>
      <c r="D228" s="57">
        <f>COUNTIF(PSPOINTS[Pay Scale String Duplicates],PSPOINTS[[#This Row],[Pay Scale String Duplicates]])-1</f>
        <v>0</v>
      </c>
      <c r="E228" s="57">
        <f>IF((MONTH(_xlfn.XLOOKUP(PSPOINTS[[#This Row],[PayScaleCode]],'19_PayScales'!N:N,'19_PayScales'!R:R)))=MONTH(PSPOINTS[[#This Row],[RateDateFrom]]),0,1)</f>
        <v>0</v>
      </c>
      <c r="F228" s="57">
        <f>IF(ISBLANK(PSPOINTS[[#This Row],[RateDateTo]]),0,IF(PSPOINTS[[#This Row],[RateDateFrom]]&lt;PSPOINTS[[#This Row],[RateDateTo]],0,1))</f>
        <v>0</v>
      </c>
      <c r="G228" s="57" cm="1">
        <f t="array" aca="1" ref="G228" ca="1">IF(CELL("format",PSPOINTS[[#This Row],[RateDateFrom]])="D1",0,1)+IF(CELL("format",PSPOINTS[[#This Row],[RateDateTo]])="D1",0,1)</f>
        <v>0</v>
      </c>
      <c r="H228" s="57">
        <f>IF(OR(PSPOINTS[[#This Row],[Hourly]]=TRUE,PSPOINTS[[#This Row],[Hourly]]=FALSE),IF(OR(PSPOINTS[[#This Row],[PayScalePointEnabled]]=TRUE,PSPOINTS[[#This Row],[PayScalePointEnabled]]=FALSE),0,1),1)</f>
        <v>0</v>
      </c>
      <c r="I228" s="57">
        <f>IF(LEN(PSPOINTS[[#This Row],[PayScalePointCode]])&lt;100,0,1)</f>
        <v>0</v>
      </c>
      <c r="J228" s="57">
        <f>IF(LEN(PSPOINTS[[#This Row],[PayScalePointTitle]])&lt;100,0,1)</f>
        <v>0</v>
      </c>
      <c r="K228" s="57">
        <f>(COUNTBLANK(PSPOINTS[[#This Row],[PayScalePointCode]:[RateDateFrom]])+COUNTBLANK(PSPOINTS[[#This Row],[PayScaleRate]]))</f>
        <v>0</v>
      </c>
      <c r="L228" s="120">
        <f>IF(SUBSTITUTE(TEXT(PSPOINTS[[#This Row],[PayScaleCode]],10)," ","")=TEXT(PSPOINTS[[#This Row],[PayScaleCode]],10),0,1)+IF(SUBSTITUTE(TEXT(PSPOINTS[[#This Row],[PayScalePointCode]],10)," ","")=TEXT(PSPOINTS[[#This Row],[PayScalePointCode]],10),0,1)</f>
        <v>0</v>
      </c>
      <c r="M228" s="57">
        <f ca="1">SUM(PSPOINTS[[#This Row],[Scale Point Issue]:[Space in Code]])</f>
        <v>0</v>
      </c>
      <c r="N228" s="57" t="s">
        <v>1401</v>
      </c>
      <c r="P228" s="12" t="s">
        <v>1404</v>
      </c>
      <c r="Q228" s="57" t="str">
        <f>_xlfn.XLOOKUP(PSPOINTS[[#This Row],[PayScaleCode]],'19_PayScales'!N:N,'19_PayScales'!O:O)</f>
        <v>Lead Practitioner Inner</v>
      </c>
      <c r="R228" s="12" t="s">
        <v>1529</v>
      </c>
      <c r="S228" s="12" t="s">
        <v>1529</v>
      </c>
      <c r="T228" s="12">
        <v>7</v>
      </c>
      <c r="U228" s="12" t="b">
        <v>0</v>
      </c>
      <c r="V228" s="15" t="b">
        <v>1</v>
      </c>
      <c r="W228" s="164">
        <v>45901</v>
      </c>
      <c r="X228" s="140"/>
      <c r="Y228" s="162">
        <v>70288</v>
      </c>
    </row>
    <row r="229" spans="1:25" x14ac:dyDescent="0.25">
      <c r="A229" s="158" t="str">
        <f>PSPOINTS[[#This Row],[PayScaleCode]]&amp;PSPOINTS[[#This Row],[RateDateFrom]]</f>
        <v>LP_INN45901</v>
      </c>
      <c r="B229" s="57">
        <f t="shared" si="3"/>
        <v>0</v>
      </c>
      <c r="C229" s="57" t="str">
        <f>PSPOINTS[[#This Row],[PayScaleCode]]&amp;PSPOINTS[[#This Row],[PayScalePointCode]]&amp;PSPOINTS[[#This Row],[RateDateFrom]]</f>
        <v>LP_INNLP0845901</v>
      </c>
      <c r="D229" s="57">
        <f>COUNTIF(PSPOINTS[Pay Scale String Duplicates],PSPOINTS[[#This Row],[Pay Scale String Duplicates]])-1</f>
        <v>0</v>
      </c>
      <c r="E229" s="57">
        <f>IF((MONTH(_xlfn.XLOOKUP(PSPOINTS[[#This Row],[PayScaleCode]],'19_PayScales'!N:N,'19_PayScales'!R:R)))=MONTH(PSPOINTS[[#This Row],[RateDateFrom]]),0,1)</f>
        <v>0</v>
      </c>
      <c r="F229" s="57">
        <f>IF(ISBLANK(PSPOINTS[[#This Row],[RateDateTo]]),0,IF(PSPOINTS[[#This Row],[RateDateFrom]]&lt;PSPOINTS[[#This Row],[RateDateTo]],0,1))</f>
        <v>0</v>
      </c>
      <c r="G229" s="57" cm="1">
        <f t="array" aca="1" ref="G229" ca="1">IF(CELL("format",PSPOINTS[[#This Row],[RateDateFrom]])="D1",0,1)+IF(CELL("format",PSPOINTS[[#This Row],[RateDateTo]])="D1",0,1)</f>
        <v>0</v>
      </c>
      <c r="H229" s="57">
        <f>IF(OR(PSPOINTS[[#This Row],[Hourly]]=TRUE,PSPOINTS[[#This Row],[Hourly]]=FALSE),IF(OR(PSPOINTS[[#This Row],[PayScalePointEnabled]]=TRUE,PSPOINTS[[#This Row],[PayScalePointEnabled]]=FALSE),0,1),1)</f>
        <v>0</v>
      </c>
      <c r="I229" s="57">
        <f>IF(LEN(PSPOINTS[[#This Row],[PayScalePointCode]])&lt;100,0,1)</f>
        <v>0</v>
      </c>
      <c r="J229" s="57">
        <f>IF(LEN(PSPOINTS[[#This Row],[PayScalePointTitle]])&lt;100,0,1)</f>
        <v>0</v>
      </c>
      <c r="K229" s="57">
        <f>(COUNTBLANK(PSPOINTS[[#This Row],[PayScalePointCode]:[RateDateFrom]])+COUNTBLANK(PSPOINTS[[#This Row],[PayScaleRate]]))</f>
        <v>0</v>
      </c>
      <c r="L229" s="120">
        <f>IF(SUBSTITUTE(TEXT(PSPOINTS[[#This Row],[PayScaleCode]],10)," ","")=TEXT(PSPOINTS[[#This Row],[PayScaleCode]],10),0,1)+IF(SUBSTITUTE(TEXT(PSPOINTS[[#This Row],[PayScalePointCode]],10)," ","")=TEXT(PSPOINTS[[#This Row],[PayScalePointCode]],10),0,1)</f>
        <v>0</v>
      </c>
      <c r="M229" s="57">
        <f ca="1">SUM(PSPOINTS[[#This Row],[Scale Point Issue]:[Space in Code]])</f>
        <v>0</v>
      </c>
      <c r="N229" s="57" t="s">
        <v>1401</v>
      </c>
      <c r="P229" s="12" t="s">
        <v>1404</v>
      </c>
      <c r="Q229" s="57" t="str">
        <f>_xlfn.XLOOKUP(PSPOINTS[[#This Row],[PayScaleCode]],'19_PayScales'!N:N,'19_PayScales'!O:O)</f>
        <v>Lead Practitioner Inner</v>
      </c>
      <c r="R229" s="12" t="s">
        <v>1530</v>
      </c>
      <c r="S229" s="12" t="s">
        <v>1530</v>
      </c>
      <c r="T229" s="12">
        <v>8</v>
      </c>
      <c r="U229" s="12" t="b">
        <v>0</v>
      </c>
      <c r="V229" s="15" t="b">
        <v>1</v>
      </c>
      <c r="W229" s="164">
        <v>45901</v>
      </c>
      <c r="X229" s="140"/>
      <c r="Y229" s="162">
        <v>71677</v>
      </c>
    </row>
    <row r="230" spans="1:25" x14ac:dyDescent="0.25">
      <c r="A230" s="158" t="str">
        <f>PSPOINTS[[#This Row],[PayScaleCode]]&amp;PSPOINTS[[#This Row],[RateDateFrom]]</f>
        <v>LP_INN45901</v>
      </c>
      <c r="B230" s="57">
        <f t="shared" si="3"/>
        <v>0</v>
      </c>
      <c r="C230" s="57" t="str">
        <f>PSPOINTS[[#This Row],[PayScaleCode]]&amp;PSPOINTS[[#This Row],[PayScalePointCode]]&amp;PSPOINTS[[#This Row],[RateDateFrom]]</f>
        <v>LP_INNLP0945901</v>
      </c>
      <c r="D230" s="57">
        <f>COUNTIF(PSPOINTS[Pay Scale String Duplicates],PSPOINTS[[#This Row],[Pay Scale String Duplicates]])-1</f>
        <v>0</v>
      </c>
      <c r="E230" s="57">
        <f>IF((MONTH(_xlfn.XLOOKUP(PSPOINTS[[#This Row],[PayScaleCode]],'19_PayScales'!N:N,'19_PayScales'!R:R)))=MONTH(PSPOINTS[[#This Row],[RateDateFrom]]),0,1)</f>
        <v>0</v>
      </c>
      <c r="F230" s="57">
        <f>IF(ISBLANK(PSPOINTS[[#This Row],[RateDateTo]]),0,IF(PSPOINTS[[#This Row],[RateDateFrom]]&lt;PSPOINTS[[#This Row],[RateDateTo]],0,1))</f>
        <v>0</v>
      </c>
      <c r="G230" s="57" cm="1">
        <f t="array" aca="1" ref="G230" ca="1">IF(CELL("format",PSPOINTS[[#This Row],[RateDateFrom]])="D1",0,1)+IF(CELL("format",PSPOINTS[[#This Row],[RateDateTo]])="D1",0,1)</f>
        <v>0</v>
      </c>
      <c r="H230" s="57">
        <f>IF(OR(PSPOINTS[[#This Row],[Hourly]]=TRUE,PSPOINTS[[#This Row],[Hourly]]=FALSE),IF(OR(PSPOINTS[[#This Row],[PayScalePointEnabled]]=TRUE,PSPOINTS[[#This Row],[PayScalePointEnabled]]=FALSE),0,1),1)</f>
        <v>0</v>
      </c>
      <c r="I230" s="57">
        <f>IF(LEN(PSPOINTS[[#This Row],[PayScalePointCode]])&lt;100,0,1)</f>
        <v>0</v>
      </c>
      <c r="J230" s="57">
        <f>IF(LEN(PSPOINTS[[#This Row],[PayScalePointTitle]])&lt;100,0,1)</f>
        <v>0</v>
      </c>
      <c r="K230" s="57">
        <f>(COUNTBLANK(PSPOINTS[[#This Row],[PayScalePointCode]:[RateDateFrom]])+COUNTBLANK(PSPOINTS[[#This Row],[PayScaleRate]]))</f>
        <v>0</v>
      </c>
      <c r="L230" s="120">
        <f>IF(SUBSTITUTE(TEXT(PSPOINTS[[#This Row],[PayScaleCode]],10)," ","")=TEXT(PSPOINTS[[#This Row],[PayScaleCode]],10),0,1)+IF(SUBSTITUTE(TEXT(PSPOINTS[[#This Row],[PayScalePointCode]],10)," ","")=TEXT(PSPOINTS[[#This Row],[PayScalePointCode]],10),0,1)</f>
        <v>0</v>
      </c>
      <c r="M230" s="57">
        <f ca="1">SUM(PSPOINTS[[#This Row],[Scale Point Issue]:[Space in Code]])</f>
        <v>0</v>
      </c>
      <c r="N230" s="57" t="s">
        <v>1401</v>
      </c>
      <c r="P230" s="12" t="s">
        <v>1404</v>
      </c>
      <c r="Q230" s="57" t="str">
        <f>_xlfn.XLOOKUP(PSPOINTS[[#This Row],[PayScaleCode]],'19_PayScales'!N:N,'19_PayScales'!O:O)</f>
        <v>Lead Practitioner Inner</v>
      </c>
      <c r="R230" s="12" t="s">
        <v>1531</v>
      </c>
      <c r="S230" s="12" t="s">
        <v>1531</v>
      </c>
      <c r="T230" s="12">
        <v>9</v>
      </c>
      <c r="U230" s="12" t="b">
        <v>0</v>
      </c>
      <c r="V230" s="15" t="b">
        <v>1</v>
      </c>
      <c r="W230" s="164">
        <v>45901</v>
      </c>
      <c r="X230" s="140"/>
      <c r="Y230" s="162">
        <v>73218</v>
      </c>
    </row>
    <row r="231" spans="1:25" x14ac:dyDescent="0.25">
      <c r="A231" s="158" t="str">
        <f>PSPOINTS[[#This Row],[PayScaleCode]]&amp;PSPOINTS[[#This Row],[RateDateFrom]]</f>
        <v>LP_INN45901</v>
      </c>
      <c r="B231" s="57">
        <f t="shared" si="3"/>
        <v>0</v>
      </c>
      <c r="C231" s="57" t="str">
        <f>PSPOINTS[[#This Row],[PayScaleCode]]&amp;PSPOINTS[[#This Row],[PayScalePointCode]]&amp;PSPOINTS[[#This Row],[RateDateFrom]]</f>
        <v>LP_INNLP1045901</v>
      </c>
      <c r="D231" s="57">
        <f>COUNTIF(PSPOINTS[Pay Scale String Duplicates],PSPOINTS[[#This Row],[Pay Scale String Duplicates]])-1</f>
        <v>0</v>
      </c>
      <c r="E231" s="57">
        <f>IF((MONTH(_xlfn.XLOOKUP(PSPOINTS[[#This Row],[PayScaleCode]],'19_PayScales'!N:N,'19_PayScales'!R:R)))=MONTH(PSPOINTS[[#This Row],[RateDateFrom]]),0,1)</f>
        <v>0</v>
      </c>
      <c r="F231" s="57">
        <f>IF(ISBLANK(PSPOINTS[[#This Row],[RateDateTo]]),0,IF(PSPOINTS[[#This Row],[RateDateFrom]]&lt;PSPOINTS[[#This Row],[RateDateTo]],0,1))</f>
        <v>0</v>
      </c>
      <c r="G231" s="57" cm="1">
        <f t="array" aca="1" ref="G231" ca="1">IF(CELL("format",PSPOINTS[[#This Row],[RateDateFrom]])="D1",0,1)+IF(CELL("format",PSPOINTS[[#This Row],[RateDateTo]])="D1",0,1)</f>
        <v>0</v>
      </c>
      <c r="H231" s="57">
        <f>IF(OR(PSPOINTS[[#This Row],[Hourly]]=TRUE,PSPOINTS[[#This Row],[Hourly]]=FALSE),IF(OR(PSPOINTS[[#This Row],[PayScalePointEnabled]]=TRUE,PSPOINTS[[#This Row],[PayScalePointEnabled]]=FALSE),0,1),1)</f>
        <v>0</v>
      </c>
      <c r="I231" s="57">
        <f>IF(LEN(PSPOINTS[[#This Row],[PayScalePointCode]])&lt;100,0,1)</f>
        <v>0</v>
      </c>
      <c r="J231" s="57">
        <f>IF(LEN(PSPOINTS[[#This Row],[PayScalePointTitle]])&lt;100,0,1)</f>
        <v>0</v>
      </c>
      <c r="K231" s="57">
        <f>(COUNTBLANK(PSPOINTS[[#This Row],[PayScalePointCode]:[RateDateFrom]])+COUNTBLANK(PSPOINTS[[#This Row],[PayScaleRate]]))</f>
        <v>0</v>
      </c>
      <c r="L231" s="120">
        <f>IF(SUBSTITUTE(TEXT(PSPOINTS[[#This Row],[PayScaleCode]],10)," ","")=TEXT(PSPOINTS[[#This Row],[PayScaleCode]],10),0,1)+IF(SUBSTITUTE(TEXT(PSPOINTS[[#This Row],[PayScalePointCode]],10)," ","")=TEXT(PSPOINTS[[#This Row],[PayScalePointCode]],10),0,1)</f>
        <v>0</v>
      </c>
      <c r="M231" s="57">
        <f ca="1">SUM(PSPOINTS[[#This Row],[Scale Point Issue]:[Space in Code]])</f>
        <v>0</v>
      </c>
      <c r="N231" s="57" t="s">
        <v>1401</v>
      </c>
      <c r="P231" s="12" t="s">
        <v>1404</v>
      </c>
      <c r="Q231" s="57" t="str">
        <f>_xlfn.XLOOKUP(PSPOINTS[[#This Row],[PayScaleCode]],'19_PayScales'!N:N,'19_PayScales'!O:O)</f>
        <v>Lead Practitioner Inner</v>
      </c>
      <c r="R231" s="12" t="s">
        <v>1532</v>
      </c>
      <c r="S231" s="12" t="s">
        <v>1532</v>
      </c>
      <c r="T231" s="12">
        <v>10</v>
      </c>
      <c r="U231" s="12" t="b">
        <v>0</v>
      </c>
      <c r="V231" s="15" t="b">
        <v>1</v>
      </c>
      <c r="W231" s="164">
        <v>45901</v>
      </c>
      <c r="X231" s="140"/>
      <c r="Y231" s="162">
        <v>74844</v>
      </c>
    </row>
    <row r="232" spans="1:25" x14ac:dyDescent="0.25">
      <c r="A232" s="158" t="str">
        <f>PSPOINTS[[#This Row],[PayScaleCode]]&amp;PSPOINTS[[#This Row],[RateDateFrom]]</f>
        <v>LP_INN45901</v>
      </c>
      <c r="B232" s="57">
        <f t="shared" si="3"/>
        <v>0</v>
      </c>
      <c r="C232" s="57" t="str">
        <f>PSPOINTS[[#This Row],[PayScaleCode]]&amp;PSPOINTS[[#This Row],[PayScalePointCode]]&amp;PSPOINTS[[#This Row],[RateDateFrom]]</f>
        <v>LP_INNLP1145901</v>
      </c>
      <c r="D232" s="57">
        <f>COUNTIF(PSPOINTS[Pay Scale String Duplicates],PSPOINTS[[#This Row],[Pay Scale String Duplicates]])-1</f>
        <v>0</v>
      </c>
      <c r="E232" s="57">
        <f>IF((MONTH(_xlfn.XLOOKUP(PSPOINTS[[#This Row],[PayScaleCode]],'19_PayScales'!N:N,'19_PayScales'!R:R)))=MONTH(PSPOINTS[[#This Row],[RateDateFrom]]),0,1)</f>
        <v>0</v>
      </c>
      <c r="F232" s="57">
        <f>IF(ISBLANK(PSPOINTS[[#This Row],[RateDateTo]]),0,IF(PSPOINTS[[#This Row],[RateDateFrom]]&lt;PSPOINTS[[#This Row],[RateDateTo]],0,1))</f>
        <v>0</v>
      </c>
      <c r="G232" s="57" cm="1">
        <f t="array" aca="1" ref="G232" ca="1">IF(CELL("format",PSPOINTS[[#This Row],[RateDateFrom]])="D1",0,1)+IF(CELL("format",PSPOINTS[[#This Row],[RateDateTo]])="D1",0,1)</f>
        <v>0</v>
      </c>
      <c r="H232" s="57">
        <f>IF(OR(PSPOINTS[[#This Row],[Hourly]]=TRUE,PSPOINTS[[#This Row],[Hourly]]=FALSE),IF(OR(PSPOINTS[[#This Row],[PayScalePointEnabled]]=TRUE,PSPOINTS[[#This Row],[PayScalePointEnabled]]=FALSE),0,1),1)</f>
        <v>0</v>
      </c>
      <c r="I232" s="57">
        <f>IF(LEN(PSPOINTS[[#This Row],[PayScalePointCode]])&lt;100,0,1)</f>
        <v>0</v>
      </c>
      <c r="J232" s="57">
        <f>IF(LEN(PSPOINTS[[#This Row],[PayScalePointTitle]])&lt;100,0,1)</f>
        <v>0</v>
      </c>
      <c r="K232" s="57">
        <f>(COUNTBLANK(PSPOINTS[[#This Row],[PayScalePointCode]:[RateDateFrom]])+COUNTBLANK(PSPOINTS[[#This Row],[PayScaleRate]]))</f>
        <v>0</v>
      </c>
      <c r="L232" s="120">
        <f>IF(SUBSTITUTE(TEXT(PSPOINTS[[#This Row],[PayScaleCode]],10)," ","")=TEXT(PSPOINTS[[#This Row],[PayScaleCode]],10),0,1)+IF(SUBSTITUTE(TEXT(PSPOINTS[[#This Row],[PayScalePointCode]],10)," ","")=TEXT(PSPOINTS[[#This Row],[PayScalePointCode]],10),0,1)</f>
        <v>0</v>
      </c>
      <c r="M232" s="57">
        <f ca="1">SUM(PSPOINTS[[#This Row],[Scale Point Issue]:[Space in Code]])</f>
        <v>0</v>
      </c>
      <c r="N232" s="57" t="s">
        <v>1401</v>
      </c>
      <c r="P232" s="12" t="s">
        <v>1404</v>
      </c>
      <c r="Q232" s="57" t="str">
        <f>_xlfn.XLOOKUP(PSPOINTS[[#This Row],[PayScaleCode]],'19_PayScales'!N:N,'19_PayScales'!O:O)</f>
        <v>Lead Practitioner Inner</v>
      </c>
      <c r="R232" s="12" t="s">
        <v>1533</v>
      </c>
      <c r="S232" s="12" t="s">
        <v>1533</v>
      </c>
      <c r="T232" s="12">
        <v>11</v>
      </c>
      <c r="U232" s="12" t="b">
        <v>0</v>
      </c>
      <c r="V232" s="15" t="b">
        <v>1</v>
      </c>
      <c r="W232" s="164">
        <v>45901</v>
      </c>
      <c r="X232" s="140"/>
      <c r="Y232" s="162">
        <v>76529</v>
      </c>
    </row>
    <row r="233" spans="1:25" x14ac:dyDescent="0.25">
      <c r="A233" s="158" t="str">
        <f>PSPOINTS[[#This Row],[PayScaleCode]]&amp;PSPOINTS[[#This Row],[RateDateFrom]]</f>
        <v>LP_INN45901</v>
      </c>
      <c r="B233" s="57">
        <f t="shared" si="3"/>
        <v>0</v>
      </c>
      <c r="C233" s="57" t="str">
        <f>PSPOINTS[[#This Row],[PayScaleCode]]&amp;PSPOINTS[[#This Row],[PayScalePointCode]]&amp;PSPOINTS[[#This Row],[RateDateFrom]]</f>
        <v>LP_INNLP1245901</v>
      </c>
      <c r="D233" s="57">
        <f>COUNTIF(PSPOINTS[Pay Scale String Duplicates],PSPOINTS[[#This Row],[Pay Scale String Duplicates]])-1</f>
        <v>0</v>
      </c>
      <c r="E233" s="57">
        <f>IF((MONTH(_xlfn.XLOOKUP(PSPOINTS[[#This Row],[PayScaleCode]],'19_PayScales'!N:N,'19_PayScales'!R:R)))=MONTH(PSPOINTS[[#This Row],[RateDateFrom]]),0,1)</f>
        <v>0</v>
      </c>
      <c r="F233" s="57">
        <f>IF(ISBLANK(PSPOINTS[[#This Row],[RateDateTo]]),0,IF(PSPOINTS[[#This Row],[RateDateFrom]]&lt;PSPOINTS[[#This Row],[RateDateTo]],0,1))</f>
        <v>0</v>
      </c>
      <c r="G233" s="57" cm="1">
        <f t="array" aca="1" ref="G233" ca="1">IF(CELL("format",PSPOINTS[[#This Row],[RateDateFrom]])="D1",0,1)+IF(CELL("format",PSPOINTS[[#This Row],[RateDateTo]])="D1",0,1)</f>
        <v>0</v>
      </c>
      <c r="H233" s="57">
        <f>IF(OR(PSPOINTS[[#This Row],[Hourly]]=TRUE,PSPOINTS[[#This Row],[Hourly]]=FALSE),IF(OR(PSPOINTS[[#This Row],[PayScalePointEnabled]]=TRUE,PSPOINTS[[#This Row],[PayScalePointEnabled]]=FALSE),0,1),1)</f>
        <v>0</v>
      </c>
      <c r="I233" s="57">
        <f>IF(LEN(PSPOINTS[[#This Row],[PayScalePointCode]])&lt;100,0,1)</f>
        <v>0</v>
      </c>
      <c r="J233" s="57">
        <f>IF(LEN(PSPOINTS[[#This Row],[PayScalePointTitle]])&lt;100,0,1)</f>
        <v>0</v>
      </c>
      <c r="K233" s="57">
        <f>(COUNTBLANK(PSPOINTS[[#This Row],[PayScalePointCode]:[RateDateFrom]])+COUNTBLANK(PSPOINTS[[#This Row],[PayScaleRate]]))</f>
        <v>0</v>
      </c>
      <c r="L233" s="120">
        <f>IF(SUBSTITUTE(TEXT(PSPOINTS[[#This Row],[PayScaleCode]],10)," ","")=TEXT(PSPOINTS[[#This Row],[PayScaleCode]],10),0,1)+IF(SUBSTITUTE(TEXT(PSPOINTS[[#This Row],[PayScalePointCode]],10)," ","")=TEXT(PSPOINTS[[#This Row],[PayScalePointCode]],10),0,1)</f>
        <v>0</v>
      </c>
      <c r="M233" s="57">
        <f ca="1">SUM(PSPOINTS[[#This Row],[Scale Point Issue]:[Space in Code]])</f>
        <v>0</v>
      </c>
      <c r="N233" s="57" t="s">
        <v>1401</v>
      </c>
      <c r="P233" s="12" t="s">
        <v>1404</v>
      </c>
      <c r="Q233" s="57" t="str">
        <f>_xlfn.XLOOKUP(PSPOINTS[[#This Row],[PayScaleCode]],'19_PayScales'!N:N,'19_PayScales'!O:O)</f>
        <v>Lead Practitioner Inner</v>
      </c>
      <c r="R233" s="12" t="s">
        <v>1534</v>
      </c>
      <c r="S233" s="12" t="s">
        <v>1534</v>
      </c>
      <c r="T233" s="12">
        <v>12</v>
      </c>
      <c r="U233" s="12" t="b">
        <v>0</v>
      </c>
      <c r="V233" s="15" t="b">
        <v>1</v>
      </c>
      <c r="W233" s="164">
        <v>45901</v>
      </c>
      <c r="X233" s="140"/>
      <c r="Y233" s="162">
        <v>78072</v>
      </c>
    </row>
    <row r="234" spans="1:25" x14ac:dyDescent="0.25">
      <c r="A234" s="158" t="str">
        <f>PSPOINTS[[#This Row],[PayScaleCode]]&amp;PSPOINTS[[#This Row],[RateDateFrom]]</f>
        <v>LP_INN45901</v>
      </c>
      <c r="B234" s="57">
        <f t="shared" si="3"/>
        <v>0</v>
      </c>
      <c r="C234" s="57" t="str">
        <f>PSPOINTS[[#This Row],[PayScaleCode]]&amp;PSPOINTS[[#This Row],[PayScalePointCode]]&amp;PSPOINTS[[#This Row],[RateDateFrom]]</f>
        <v>LP_INNLP1345901</v>
      </c>
      <c r="D234" s="57">
        <f>COUNTIF(PSPOINTS[Pay Scale String Duplicates],PSPOINTS[[#This Row],[Pay Scale String Duplicates]])-1</f>
        <v>0</v>
      </c>
      <c r="E234" s="57">
        <f>IF((MONTH(_xlfn.XLOOKUP(PSPOINTS[[#This Row],[PayScaleCode]],'19_PayScales'!N:N,'19_PayScales'!R:R)))=MONTH(PSPOINTS[[#This Row],[RateDateFrom]]),0,1)</f>
        <v>0</v>
      </c>
      <c r="F234" s="57">
        <f>IF(ISBLANK(PSPOINTS[[#This Row],[RateDateTo]]),0,IF(PSPOINTS[[#This Row],[RateDateFrom]]&lt;PSPOINTS[[#This Row],[RateDateTo]],0,1))</f>
        <v>0</v>
      </c>
      <c r="G234" s="57" cm="1">
        <f t="array" aca="1" ref="G234" ca="1">IF(CELL("format",PSPOINTS[[#This Row],[RateDateFrom]])="D1",0,1)+IF(CELL("format",PSPOINTS[[#This Row],[RateDateTo]])="D1",0,1)</f>
        <v>0</v>
      </c>
      <c r="H234" s="57">
        <f>IF(OR(PSPOINTS[[#This Row],[Hourly]]=TRUE,PSPOINTS[[#This Row],[Hourly]]=FALSE),IF(OR(PSPOINTS[[#This Row],[PayScalePointEnabled]]=TRUE,PSPOINTS[[#This Row],[PayScalePointEnabled]]=FALSE),0,1),1)</f>
        <v>0</v>
      </c>
      <c r="I234" s="57">
        <f>IF(LEN(PSPOINTS[[#This Row],[PayScalePointCode]])&lt;100,0,1)</f>
        <v>0</v>
      </c>
      <c r="J234" s="57">
        <f>IF(LEN(PSPOINTS[[#This Row],[PayScalePointTitle]])&lt;100,0,1)</f>
        <v>0</v>
      </c>
      <c r="K234" s="57">
        <f>(COUNTBLANK(PSPOINTS[[#This Row],[PayScalePointCode]:[RateDateFrom]])+COUNTBLANK(PSPOINTS[[#This Row],[PayScaleRate]]))</f>
        <v>0</v>
      </c>
      <c r="L234" s="120">
        <f>IF(SUBSTITUTE(TEXT(PSPOINTS[[#This Row],[PayScaleCode]],10)," ","")=TEXT(PSPOINTS[[#This Row],[PayScaleCode]],10),0,1)+IF(SUBSTITUTE(TEXT(PSPOINTS[[#This Row],[PayScalePointCode]],10)," ","")=TEXT(PSPOINTS[[#This Row],[PayScalePointCode]],10),0,1)</f>
        <v>0</v>
      </c>
      <c r="M234" s="57">
        <f ca="1">SUM(PSPOINTS[[#This Row],[Scale Point Issue]:[Space in Code]])</f>
        <v>0</v>
      </c>
      <c r="N234" s="57" t="s">
        <v>1401</v>
      </c>
      <c r="P234" s="12" t="s">
        <v>1404</v>
      </c>
      <c r="Q234" s="57" t="str">
        <f>_xlfn.XLOOKUP(PSPOINTS[[#This Row],[PayScaleCode]],'19_PayScales'!N:N,'19_PayScales'!O:O)</f>
        <v>Lead Practitioner Inner</v>
      </c>
      <c r="R234" s="12" t="s">
        <v>1535</v>
      </c>
      <c r="S234" s="12" t="s">
        <v>1535</v>
      </c>
      <c r="T234" s="12">
        <v>13</v>
      </c>
      <c r="U234" s="12" t="b">
        <v>0</v>
      </c>
      <c r="V234" s="15" t="b">
        <v>1</v>
      </c>
      <c r="W234" s="164">
        <v>45901</v>
      </c>
      <c r="X234" s="140"/>
      <c r="Y234" s="162">
        <v>79776</v>
      </c>
    </row>
    <row r="235" spans="1:25" x14ac:dyDescent="0.25">
      <c r="A235" s="158" t="str">
        <f>PSPOINTS[[#This Row],[PayScaleCode]]&amp;PSPOINTS[[#This Row],[RateDateFrom]]</f>
        <v>LP_INN45901</v>
      </c>
      <c r="B235" s="57">
        <f t="shared" si="3"/>
        <v>0</v>
      </c>
      <c r="C235" s="57" t="str">
        <f>PSPOINTS[[#This Row],[PayScaleCode]]&amp;PSPOINTS[[#This Row],[PayScalePointCode]]&amp;PSPOINTS[[#This Row],[RateDateFrom]]</f>
        <v>LP_INNLP1445901</v>
      </c>
      <c r="D235" s="57">
        <f>COUNTIF(PSPOINTS[Pay Scale String Duplicates],PSPOINTS[[#This Row],[Pay Scale String Duplicates]])-1</f>
        <v>0</v>
      </c>
      <c r="E235" s="57">
        <f>IF((MONTH(_xlfn.XLOOKUP(PSPOINTS[[#This Row],[PayScaleCode]],'19_PayScales'!N:N,'19_PayScales'!R:R)))=MONTH(PSPOINTS[[#This Row],[RateDateFrom]]),0,1)</f>
        <v>0</v>
      </c>
      <c r="F235" s="57">
        <f>IF(ISBLANK(PSPOINTS[[#This Row],[RateDateTo]]),0,IF(PSPOINTS[[#This Row],[RateDateFrom]]&lt;PSPOINTS[[#This Row],[RateDateTo]],0,1))</f>
        <v>0</v>
      </c>
      <c r="G235" s="57" cm="1">
        <f t="array" aca="1" ref="G235" ca="1">IF(CELL("format",PSPOINTS[[#This Row],[RateDateFrom]])="D1",0,1)+IF(CELL("format",PSPOINTS[[#This Row],[RateDateTo]])="D1",0,1)</f>
        <v>0</v>
      </c>
      <c r="H235" s="57">
        <f>IF(OR(PSPOINTS[[#This Row],[Hourly]]=TRUE,PSPOINTS[[#This Row],[Hourly]]=FALSE),IF(OR(PSPOINTS[[#This Row],[PayScalePointEnabled]]=TRUE,PSPOINTS[[#This Row],[PayScalePointEnabled]]=FALSE),0,1),1)</f>
        <v>0</v>
      </c>
      <c r="I235" s="57">
        <f>IF(LEN(PSPOINTS[[#This Row],[PayScalePointCode]])&lt;100,0,1)</f>
        <v>0</v>
      </c>
      <c r="J235" s="57">
        <f>IF(LEN(PSPOINTS[[#This Row],[PayScalePointTitle]])&lt;100,0,1)</f>
        <v>0</v>
      </c>
      <c r="K235" s="57">
        <f>(COUNTBLANK(PSPOINTS[[#This Row],[PayScalePointCode]:[RateDateFrom]])+COUNTBLANK(PSPOINTS[[#This Row],[PayScaleRate]]))</f>
        <v>0</v>
      </c>
      <c r="L235" s="120">
        <f>IF(SUBSTITUTE(TEXT(PSPOINTS[[#This Row],[PayScaleCode]],10)," ","")=TEXT(PSPOINTS[[#This Row],[PayScaleCode]],10),0,1)+IF(SUBSTITUTE(TEXT(PSPOINTS[[#This Row],[PayScalePointCode]],10)," ","")=TEXT(PSPOINTS[[#This Row],[PayScalePointCode]],10),0,1)</f>
        <v>0</v>
      </c>
      <c r="M235" s="57">
        <f ca="1">SUM(PSPOINTS[[#This Row],[Scale Point Issue]:[Space in Code]])</f>
        <v>0</v>
      </c>
      <c r="N235" s="57" t="s">
        <v>1401</v>
      </c>
      <c r="P235" s="12" t="s">
        <v>1404</v>
      </c>
      <c r="Q235" s="57" t="str">
        <f>_xlfn.XLOOKUP(PSPOINTS[[#This Row],[PayScaleCode]],'19_PayScales'!N:N,'19_PayScales'!O:O)</f>
        <v>Lead Practitioner Inner</v>
      </c>
      <c r="R235" s="12" t="s">
        <v>1536</v>
      </c>
      <c r="S235" s="12" t="s">
        <v>1536</v>
      </c>
      <c r="T235" s="12">
        <v>14</v>
      </c>
      <c r="U235" s="12" t="b">
        <v>0</v>
      </c>
      <c r="V235" s="15" t="b">
        <v>1</v>
      </c>
      <c r="W235" s="164">
        <v>45901</v>
      </c>
      <c r="X235" s="140"/>
      <c r="Y235" s="162">
        <v>81519</v>
      </c>
    </row>
    <row r="236" spans="1:25" x14ac:dyDescent="0.25">
      <c r="A236" s="158" t="str">
        <f>PSPOINTS[[#This Row],[PayScaleCode]]&amp;PSPOINTS[[#This Row],[RateDateFrom]]</f>
        <v>LP_INN45901</v>
      </c>
      <c r="B236" s="57">
        <f t="shared" si="3"/>
        <v>0</v>
      </c>
      <c r="C236" s="57" t="str">
        <f>PSPOINTS[[#This Row],[PayScaleCode]]&amp;PSPOINTS[[#This Row],[PayScalePointCode]]&amp;PSPOINTS[[#This Row],[RateDateFrom]]</f>
        <v>LP_INNLP1545901</v>
      </c>
      <c r="D236" s="57">
        <f>COUNTIF(PSPOINTS[Pay Scale String Duplicates],PSPOINTS[[#This Row],[Pay Scale String Duplicates]])-1</f>
        <v>0</v>
      </c>
      <c r="E236" s="57">
        <f>IF((MONTH(_xlfn.XLOOKUP(PSPOINTS[[#This Row],[PayScaleCode]],'19_PayScales'!N:N,'19_PayScales'!R:R)))=MONTH(PSPOINTS[[#This Row],[RateDateFrom]]),0,1)</f>
        <v>0</v>
      </c>
      <c r="F236" s="57">
        <f>IF(ISBLANK(PSPOINTS[[#This Row],[RateDateTo]]),0,IF(PSPOINTS[[#This Row],[RateDateFrom]]&lt;PSPOINTS[[#This Row],[RateDateTo]],0,1))</f>
        <v>0</v>
      </c>
      <c r="G236" s="57" cm="1">
        <f t="array" aca="1" ref="G236" ca="1">IF(CELL("format",PSPOINTS[[#This Row],[RateDateFrom]])="D1",0,1)+IF(CELL("format",PSPOINTS[[#This Row],[RateDateTo]])="D1",0,1)</f>
        <v>0</v>
      </c>
      <c r="H236" s="57">
        <f>IF(OR(PSPOINTS[[#This Row],[Hourly]]=TRUE,PSPOINTS[[#This Row],[Hourly]]=FALSE),IF(OR(PSPOINTS[[#This Row],[PayScalePointEnabled]]=TRUE,PSPOINTS[[#This Row],[PayScalePointEnabled]]=FALSE),0,1),1)</f>
        <v>0</v>
      </c>
      <c r="I236" s="57">
        <f>IF(LEN(PSPOINTS[[#This Row],[PayScalePointCode]])&lt;100,0,1)</f>
        <v>0</v>
      </c>
      <c r="J236" s="57">
        <f>IF(LEN(PSPOINTS[[#This Row],[PayScalePointTitle]])&lt;100,0,1)</f>
        <v>0</v>
      </c>
      <c r="K236" s="57">
        <f>(COUNTBLANK(PSPOINTS[[#This Row],[PayScalePointCode]:[RateDateFrom]])+COUNTBLANK(PSPOINTS[[#This Row],[PayScaleRate]]))</f>
        <v>0</v>
      </c>
      <c r="L236" s="120">
        <f>IF(SUBSTITUTE(TEXT(PSPOINTS[[#This Row],[PayScaleCode]],10)," ","")=TEXT(PSPOINTS[[#This Row],[PayScaleCode]],10),0,1)+IF(SUBSTITUTE(TEXT(PSPOINTS[[#This Row],[PayScalePointCode]],10)," ","")=TEXT(PSPOINTS[[#This Row],[PayScalePointCode]],10),0,1)</f>
        <v>0</v>
      </c>
      <c r="M236" s="57">
        <f ca="1">SUM(PSPOINTS[[#This Row],[Scale Point Issue]:[Space in Code]])</f>
        <v>0</v>
      </c>
      <c r="N236" s="57" t="s">
        <v>1401</v>
      </c>
      <c r="P236" s="12" t="s">
        <v>1404</v>
      </c>
      <c r="Q236" s="57" t="str">
        <f>_xlfn.XLOOKUP(PSPOINTS[[#This Row],[PayScaleCode]],'19_PayScales'!N:N,'19_PayScales'!O:O)</f>
        <v>Lead Practitioner Inner</v>
      </c>
      <c r="R236" s="12" t="s">
        <v>1537</v>
      </c>
      <c r="S236" s="12" t="s">
        <v>1537</v>
      </c>
      <c r="T236" s="12">
        <v>15</v>
      </c>
      <c r="U236" s="12" t="b">
        <v>0</v>
      </c>
      <c r="V236" s="15" t="b">
        <v>1</v>
      </c>
      <c r="W236" s="164">
        <v>45901</v>
      </c>
      <c r="X236" s="140"/>
      <c r="Y236" s="162">
        <v>83297</v>
      </c>
    </row>
    <row r="237" spans="1:25" x14ac:dyDescent="0.25">
      <c r="A237" s="158" t="str">
        <f>PSPOINTS[[#This Row],[PayScaleCode]]&amp;PSPOINTS[[#This Row],[RateDateFrom]]</f>
        <v>LP_INN45901</v>
      </c>
      <c r="B237" s="57">
        <f t="shared" si="3"/>
        <v>0</v>
      </c>
      <c r="C237" s="57" t="str">
        <f>PSPOINTS[[#This Row],[PayScaleCode]]&amp;PSPOINTS[[#This Row],[PayScalePointCode]]&amp;PSPOINTS[[#This Row],[RateDateFrom]]</f>
        <v>LP_INNLP1645901</v>
      </c>
      <c r="D237" s="57">
        <f>COUNTIF(PSPOINTS[Pay Scale String Duplicates],PSPOINTS[[#This Row],[Pay Scale String Duplicates]])-1</f>
        <v>0</v>
      </c>
      <c r="E237" s="57">
        <f>IF((MONTH(_xlfn.XLOOKUP(PSPOINTS[[#This Row],[PayScaleCode]],'19_PayScales'!N:N,'19_PayScales'!R:R)))=MONTH(PSPOINTS[[#This Row],[RateDateFrom]]),0,1)</f>
        <v>0</v>
      </c>
      <c r="F237" s="57">
        <f>IF(ISBLANK(PSPOINTS[[#This Row],[RateDateTo]]),0,IF(PSPOINTS[[#This Row],[RateDateFrom]]&lt;PSPOINTS[[#This Row],[RateDateTo]],0,1))</f>
        <v>0</v>
      </c>
      <c r="G237" s="57" cm="1">
        <f t="array" aca="1" ref="G237" ca="1">IF(CELL("format",PSPOINTS[[#This Row],[RateDateFrom]])="D1",0,1)+IF(CELL("format",PSPOINTS[[#This Row],[RateDateTo]])="D1",0,1)</f>
        <v>0</v>
      </c>
      <c r="H237" s="57">
        <f>IF(OR(PSPOINTS[[#This Row],[Hourly]]=TRUE,PSPOINTS[[#This Row],[Hourly]]=FALSE),IF(OR(PSPOINTS[[#This Row],[PayScalePointEnabled]]=TRUE,PSPOINTS[[#This Row],[PayScalePointEnabled]]=FALSE),0,1),1)</f>
        <v>0</v>
      </c>
      <c r="I237" s="57">
        <f>IF(LEN(PSPOINTS[[#This Row],[PayScalePointCode]])&lt;100,0,1)</f>
        <v>0</v>
      </c>
      <c r="J237" s="57">
        <f>IF(LEN(PSPOINTS[[#This Row],[PayScalePointTitle]])&lt;100,0,1)</f>
        <v>0</v>
      </c>
      <c r="K237" s="57">
        <f>(COUNTBLANK(PSPOINTS[[#This Row],[PayScalePointCode]:[RateDateFrom]])+COUNTBLANK(PSPOINTS[[#This Row],[PayScaleRate]]))</f>
        <v>0</v>
      </c>
      <c r="L237" s="120">
        <f>IF(SUBSTITUTE(TEXT(PSPOINTS[[#This Row],[PayScaleCode]],10)," ","")=TEXT(PSPOINTS[[#This Row],[PayScaleCode]],10),0,1)+IF(SUBSTITUTE(TEXT(PSPOINTS[[#This Row],[PayScalePointCode]],10)," ","")=TEXT(PSPOINTS[[#This Row],[PayScalePointCode]],10),0,1)</f>
        <v>0</v>
      </c>
      <c r="M237" s="57">
        <f ca="1">SUM(PSPOINTS[[#This Row],[Scale Point Issue]:[Space in Code]])</f>
        <v>0</v>
      </c>
      <c r="N237" s="57" t="s">
        <v>1401</v>
      </c>
      <c r="P237" s="12" t="s">
        <v>1404</v>
      </c>
      <c r="Q237" s="57" t="str">
        <f>_xlfn.XLOOKUP(PSPOINTS[[#This Row],[PayScaleCode]],'19_PayScales'!N:N,'19_PayScales'!O:O)</f>
        <v>Lead Practitioner Inner</v>
      </c>
      <c r="R237" s="12" t="s">
        <v>1538</v>
      </c>
      <c r="S237" s="12" t="s">
        <v>1538</v>
      </c>
      <c r="T237" s="12">
        <v>16</v>
      </c>
      <c r="U237" s="12" t="b">
        <v>0</v>
      </c>
      <c r="V237" s="15" t="b">
        <v>1</v>
      </c>
      <c r="W237" s="164">
        <v>45901</v>
      </c>
      <c r="X237" s="140"/>
      <c r="Y237" s="162">
        <v>85258</v>
      </c>
    </row>
    <row r="238" spans="1:25" x14ac:dyDescent="0.25">
      <c r="A238" s="158" t="str">
        <f>PSPOINTS[[#This Row],[PayScaleCode]]&amp;PSPOINTS[[#This Row],[RateDateFrom]]</f>
        <v>LP_INN45901</v>
      </c>
      <c r="B238" s="57">
        <f t="shared" si="3"/>
        <v>0</v>
      </c>
      <c r="C238" s="57" t="str">
        <f>PSPOINTS[[#This Row],[PayScaleCode]]&amp;PSPOINTS[[#This Row],[PayScalePointCode]]&amp;PSPOINTS[[#This Row],[RateDateFrom]]</f>
        <v>LP_INNLP1745901</v>
      </c>
      <c r="D238" s="57">
        <f>COUNTIF(PSPOINTS[Pay Scale String Duplicates],PSPOINTS[[#This Row],[Pay Scale String Duplicates]])-1</f>
        <v>0</v>
      </c>
      <c r="E238" s="57">
        <f>IF((MONTH(_xlfn.XLOOKUP(PSPOINTS[[#This Row],[PayScaleCode]],'19_PayScales'!N:N,'19_PayScales'!R:R)))=MONTH(PSPOINTS[[#This Row],[RateDateFrom]]),0,1)</f>
        <v>0</v>
      </c>
      <c r="F238" s="57">
        <f>IF(ISBLANK(PSPOINTS[[#This Row],[RateDateTo]]),0,IF(PSPOINTS[[#This Row],[RateDateFrom]]&lt;PSPOINTS[[#This Row],[RateDateTo]],0,1))</f>
        <v>0</v>
      </c>
      <c r="G238" s="57" cm="1">
        <f t="array" aca="1" ref="G238" ca="1">IF(CELL("format",PSPOINTS[[#This Row],[RateDateFrom]])="D1",0,1)+IF(CELL("format",PSPOINTS[[#This Row],[RateDateTo]])="D1",0,1)</f>
        <v>0</v>
      </c>
      <c r="H238" s="57">
        <f>IF(OR(PSPOINTS[[#This Row],[Hourly]]=TRUE,PSPOINTS[[#This Row],[Hourly]]=FALSE),IF(OR(PSPOINTS[[#This Row],[PayScalePointEnabled]]=TRUE,PSPOINTS[[#This Row],[PayScalePointEnabled]]=FALSE),0,1),1)</f>
        <v>0</v>
      </c>
      <c r="I238" s="57">
        <f>IF(LEN(PSPOINTS[[#This Row],[PayScalePointCode]])&lt;100,0,1)</f>
        <v>0</v>
      </c>
      <c r="J238" s="57">
        <f>IF(LEN(PSPOINTS[[#This Row],[PayScalePointTitle]])&lt;100,0,1)</f>
        <v>0</v>
      </c>
      <c r="K238" s="57">
        <f>(COUNTBLANK(PSPOINTS[[#This Row],[PayScalePointCode]:[RateDateFrom]])+COUNTBLANK(PSPOINTS[[#This Row],[PayScaleRate]]))</f>
        <v>0</v>
      </c>
      <c r="L238" s="120">
        <f>IF(SUBSTITUTE(TEXT(PSPOINTS[[#This Row],[PayScaleCode]],10)," ","")=TEXT(PSPOINTS[[#This Row],[PayScaleCode]],10),0,1)+IF(SUBSTITUTE(TEXT(PSPOINTS[[#This Row],[PayScalePointCode]],10)," ","")=TEXT(PSPOINTS[[#This Row],[PayScalePointCode]],10),0,1)</f>
        <v>0</v>
      </c>
      <c r="M238" s="57">
        <f ca="1">SUM(PSPOINTS[[#This Row],[Scale Point Issue]:[Space in Code]])</f>
        <v>0</v>
      </c>
      <c r="N238" s="57" t="s">
        <v>1401</v>
      </c>
      <c r="P238" s="12" t="s">
        <v>1404</v>
      </c>
      <c r="Q238" s="57" t="str">
        <f>_xlfn.XLOOKUP(PSPOINTS[[#This Row],[PayScaleCode]],'19_PayScales'!N:N,'19_PayScales'!O:O)</f>
        <v>Lead Practitioner Inner</v>
      </c>
      <c r="R238" s="12" t="s">
        <v>1539</v>
      </c>
      <c r="S238" s="12" t="s">
        <v>1539</v>
      </c>
      <c r="T238" s="12">
        <v>17</v>
      </c>
      <c r="U238" s="12" t="b">
        <v>0</v>
      </c>
      <c r="V238" s="15" t="b">
        <v>1</v>
      </c>
      <c r="W238" s="164">
        <v>45901</v>
      </c>
      <c r="X238" s="140"/>
      <c r="Y238" s="162">
        <v>86990</v>
      </c>
    </row>
    <row r="239" spans="1:25" x14ac:dyDescent="0.25">
      <c r="A239" s="158" t="str">
        <f>PSPOINTS[[#This Row],[PayScaleCode]]&amp;PSPOINTS[[#This Row],[RateDateFrom]]</f>
        <v>LP_INN45901</v>
      </c>
      <c r="B239" s="57">
        <f t="shared" si="3"/>
        <v>0</v>
      </c>
      <c r="C239" s="57" t="str">
        <f>PSPOINTS[[#This Row],[PayScaleCode]]&amp;PSPOINTS[[#This Row],[PayScalePointCode]]&amp;PSPOINTS[[#This Row],[RateDateFrom]]</f>
        <v>LP_INNLP1845901</v>
      </c>
      <c r="D239" s="57">
        <f>COUNTIF(PSPOINTS[Pay Scale String Duplicates],PSPOINTS[[#This Row],[Pay Scale String Duplicates]])-1</f>
        <v>0</v>
      </c>
      <c r="E239" s="57">
        <f>IF((MONTH(_xlfn.XLOOKUP(PSPOINTS[[#This Row],[PayScaleCode]],'19_PayScales'!N:N,'19_PayScales'!R:R)))=MONTH(PSPOINTS[[#This Row],[RateDateFrom]]),0,1)</f>
        <v>0</v>
      </c>
      <c r="F239" s="57">
        <f>IF(ISBLANK(PSPOINTS[[#This Row],[RateDateTo]]),0,IF(PSPOINTS[[#This Row],[RateDateFrom]]&lt;PSPOINTS[[#This Row],[RateDateTo]],0,1))</f>
        <v>0</v>
      </c>
      <c r="G239" s="57" cm="1">
        <f t="array" aca="1" ref="G239" ca="1">IF(CELL("format",PSPOINTS[[#This Row],[RateDateFrom]])="D1",0,1)+IF(CELL("format",PSPOINTS[[#This Row],[RateDateTo]])="D1",0,1)</f>
        <v>0</v>
      </c>
      <c r="H239" s="57">
        <f>IF(OR(PSPOINTS[[#This Row],[Hourly]]=TRUE,PSPOINTS[[#This Row],[Hourly]]=FALSE),IF(OR(PSPOINTS[[#This Row],[PayScalePointEnabled]]=TRUE,PSPOINTS[[#This Row],[PayScalePointEnabled]]=FALSE),0,1),1)</f>
        <v>0</v>
      </c>
      <c r="I239" s="57">
        <f>IF(LEN(PSPOINTS[[#This Row],[PayScalePointCode]])&lt;100,0,1)</f>
        <v>0</v>
      </c>
      <c r="J239" s="57">
        <f>IF(LEN(PSPOINTS[[#This Row],[PayScalePointTitle]])&lt;100,0,1)</f>
        <v>0</v>
      </c>
      <c r="K239" s="57">
        <f>(COUNTBLANK(PSPOINTS[[#This Row],[PayScalePointCode]:[RateDateFrom]])+COUNTBLANK(PSPOINTS[[#This Row],[PayScaleRate]]))</f>
        <v>0</v>
      </c>
      <c r="L239" s="120">
        <f>IF(SUBSTITUTE(TEXT(PSPOINTS[[#This Row],[PayScaleCode]],10)," ","")=TEXT(PSPOINTS[[#This Row],[PayScaleCode]],10),0,1)+IF(SUBSTITUTE(TEXT(PSPOINTS[[#This Row],[PayScalePointCode]],10)," ","")=TEXT(PSPOINTS[[#This Row],[PayScalePointCode]],10),0,1)</f>
        <v>0</v>
      </c>
      <c r="M239" s="57">
        <f ca="1">SUM(PSPOINTS[[#This Row],[Scale Point Issue]:[Space in Code]])</f>
        <v>0</v>
      </c>
      <c r="N239" s="57" t="s">
        <v>1401</v>
      </c>
      <c r="P239" s="12" t="s">
        <v>1404</v>
      </c>
      <c r="Q239" s="57" t="str">
        <f>_xlfn.XLOOKUP(PSPOINTS[[#This Row],[PayScaleCode]],'19_PayScales'!N:N,'19_PayScales'!O:O)</f>
        <v>Lead Practitioner Inner</v>
      </c>
      <c r="R239" s="12" t="s">
        <v>1460</v>
      </c>
      <c r="S239" s="12" t="s">
        <v>1460</v>
      </c>
      <c r="T239" s="12">
        <v>18</v>
      </c>
      <c r="U239" s="12" t="b">
        <v>0</v>
      </c>
      <c r="V239" s="15" t="b">
        <v>1</v>
      </c>
      <c r="W239" s="164">
        <v>45901</v>
      </c>
      <c r="X239" s="140"/>
      <c r="Y239" s="162">
        <v>88930</v>
      </c>
    </row>
    <row r="240" spans="1:25" hidden="1" x14ac:dyDescent="0.25">
      <c r="A240" s="158" t="str">
        <f>PSPOINTS[[#This Row],[PayScaleCode]]&amp;PSPOINTS[[#This Row],[RateDateFrom]]</f>
        <v>UQ_INN45901</v>
      </c>
      <c r="B240" s="57">
        <f t="shared" si="3"/>
        <v>0</v>
      </c>
      <c r="C240" s="57" t="str">
        <f>PSPOINTS[[#This Row],[PayScaleCode]]&amp;PSPOINTS[[#This Row],[PayScalePointCode]]&amp;PSPOINTS[[#This Row],[RateDateFrom]]</f>
        <v>UQ_INNUQ145901</v>
      </c>
      <c r="D240" s="57">
        <f>COUNTIF(PSPOINTS[Pay Scale String Duplicates],PSPOINTS[[#This Row],[Pay Scale String Duplicates]])-1</f>
        <v>0</v>
      </c>
      <c r="E240" s="57">
        <f>IF((MONTH(_xlfn.XLOOKUP(PSPOINTS[[#This Row],[PayScaleCode]],'19_PayScales'!N:N,'19_PayScales'!R:R)))=MONTH(PSPOINTS[[#This Row],[RateDateFrom]]),0,1)</f>
        <v>0</v>
      </c>
      <c r="F240" s="57">
        <f>IF(ISBLANK(PSPOINTS[[#This Row],[RateDateTo]]),0,IF(PSPOINTS[[#This Row],[RateDateFrom]]&lt;PSPOINTS[[#This Row],[RateDateTo]],0,1))</f>
        <v>0</v>
      </c>
      <c r="G240" s="57" cm="1">
        <f t="array" aca="1" ref="G240" ca="1">IF(CELL("format",PSPOINTS[[#This Row],[RateDateFrom]])="D1",0,1)+IF(CELL("format",PSPOINTS[[#This Row],[RateDateTo]])="D1",0,1)</f>
        <v>0</v>
      </c>
      <c r="H240" s="57">
        <f>IF(OR(PSPOINTS[[#This Row],[Hourly]]=TRUE,PSPOINTS[[#This Row],[Hourly]]=FALSE),IF(OR(PSPOINTS[[#This Row],[PayScalePointEnabled]]=TRUE,PSPOINTS[[#This Row],[PayScalePointEnabled]]=FALSE),0,1),1)</f>
        <v>0</v>
      </c>
      <c r="I240" s="57">
        <f>IF(LEN(PSPOINTS[[#This Row],[PayScalePointCode]])&lt;100,0,1)</f>
        <v>0</v>
      </c>
      <c r="J240" s="57">
        <f>IF(LEN(PSPOINTS[[#This Row],[PayScalePointTitle]])&lt;100,0,1)</f>
        <v>0</v>
      </c>
      <c r="K240" s="57">
        <f>(COUNTBLANK(PSPOINTS[[#This Row],[PayScalePointCode]:[RateDateFrom]])+COUNTBLANK(PSPOINTS[[#This Row],[PayScaleRate]]))</f>
        <v>0</v>
      </c>
      <c r="L240" s="120">
        <f>IF(SUBSTITUTE(TEXT(PSPOINTS[[#This Row],[PayScaleCode]],10)," ","")=TEXT(PSPOINTS[[#This Row],[PayScaleCode]],10),0,1)+IF(SUBSTITUTE(TEXT(PSPOINTS[[#This Row],[PayScalePointCode]],10)," ","")=TEXT(PSPOINTS[[#This Row],[PayScalePointCode]],10),0,1)</f>
        <v>0</v>
      </c>
      <c r="M240" s="57">
        <f ca="1">SUM(PSPOINTS[[#This Row],[Scale Point Issue]:[Space in Code]])</f>
        <v>0</v>
      </c>
      <c r="N240" s="57" t="s">
        <v>1401</v>
      </c>
      <c r="P240" s="12" t="s">
        <v>1406</v>
      </c>
      <c r="Q240" s="57" t="str">
        <f>_xlfn.XLOOKUP(PSPOINTS[[#This Row],[PayScaleCode]],'19_PayScales'!N:N,'19_PayScales'!O:O)</f>
        <v>Teachers Unqualified Inner</v>
      </c>
      <c r="R240" s="12" t="s">
        <v>1451</v>
      </c>
      <c r="S240" s="12" t="s">
        <v>1451</v>
      </c>
      <c r="T240" s="12">
        <v>1</v>
      </c>
      <c r="U240" s="12" t="b">
        <v>0</v>
      </c>
      <c r="V240" s="15" t="b">
        <v>1</v>
      </c>
      <c r="W240" s="164">
        <v>45901</v>
      </c>
      <c r="X240" s="140"/>
      <c r="Y240" s="162">
        <v>28343</v>
      </c>
    </row>
    <row r="241" spans="1:25" hidden="1" x14ac:dyDescent="0.25">
      <c r="A241" s="158" t="str">
        <f>PSPOINTS[[#This Row],[PayScaleCode]]&amp;PSPOINTS[[#This Row],[RateDateFrom]]</f>
        <v>UQ_INN45901</v>
      </c>
      <c r="B241" s="57">
        <f t="shared" si="3"/>
        <v>0</v>
      </c>
      <c r="C241" s="57" t="str">
        <f>PSPOINTS[[#This Row],[PayScaleCode]]&amp;PSPOINTS[[#This Row],[PayScalePointCode]]&amp;PSPOINTS[[#This Row],[RateDateFrom]]</f>
        <v>UQ_INNUQ245901</v>
      </c>
      <c r="D241" s="57">
        <f>COUNTIF(PSPOINTS[Pay Scale String Duplicates],PSPOINTS[[#This Row],[Pay Scale String Duplicates]])-1</f>
        <v>0</v>
      </c>
      <c r="E241" s="57">
        <f>IF((MONTH(_xlfn.XLOOKUP(PSPOINTS[[#This Row],[PayScaleCode]],'19_PayScales'!N:N,'19_PayScales'!R:R)))=MONTH(PSPOINTS[[#This Row],[RateDateFrom]]),0,1)</f>
        <v>0</v>
      </c>
      <c r="F241" s="57">
        <f>IF(ISBLANK(PSPOINTS[[#This Row],[RateDateTo]]),0,IF(PSPOINTS[[#This Row],[RateDateFrom]]&lt;PSPOINTS[[#This Row],[RateDateTo]],0,1))</f>
        <v>0</v>
      </c>
      <c r="G241" s="57" cm="1">
        <f t="array" aca="1" ref="G241" ca="1">IF(CELL("format",PSPOINTS[[#This Row],[RateDateFrom]])="D1",0,1)+IF(CELL("format",PSPOINTS[[#This Row],[RateDateTo]])="D1",0,1)</f>
        <v>0</v>
      </c>
      <c r="H241" s="57">
        <f>IF(OR(PSPOINTS[[#This Row],[Hourly]]=TRUE,PSPOINTS[[#This Row],[Hourly]]=FALSE),IF(OR(PSPOINTS[[#This Row],[PayScalePointEnabled]]=TRUE,PSPOINTS[[#This Row],[PayScalePointEnabled]]=FALSE),0,1),1)</f>
        <v>0</v>
      </c>
      <c r="I241" s="57">
        <f>IF(LEN(PSPOINTS[[#This Row],[PayScalePointCode]])&lt;100,0,1)</f>
        <v>0</v>
      </c>
      <c r="J241" s="57">
        <f>IF(LEN(PSPOINTS[[#This Row],[PayScalePointTitle]])&lt;100,0,1)</f>
        <v>0</v>
      </c>
      <c r="K241" s="57">
        <f>(COUNTBLANK(PSPOINTS[[#This Row],[PayScalePointCode]:[RateDateFrom]])+COUNTBLANK(PSPOINTS[[#This Row],[PayScaleRate]]))</f>
        <v>0</v>
      </c>
      <c r="L241" s="120">
        <f>IF(SUBSTITUTE(TEXT(PSPOINTS[[#This Row],[PayScaleCode]],10)," ","")=TEXT(PSPOINTS[[#This Row],[PayScaleCode]],10),0,1)+IF(SUBSTITUTE(TEXT(PSPOINTS[[#This Row],[PayScalePointCode]],10)," ","")=TEXT(PSPOINTS[[#This Row],[PayScalePointCode]],10),0,1)</f>
        <v>0</v>
      </c>
      <c r="M241" s="57">
        <f ca="1">SUM(PSPOINTS[[#This Row],[Scale Point Issue]:[Space in Code]])</f>
        <v>0</v>
      </c>
      <c r="N241" s="57" t="s">
        <v>1401</v>
      </c>
      <c r="P241" s="12" t="s">
        <v>1406</v>
      </c>
      <c r="Q241" s="57" t="str">
        <f>_xlfn.XLOOKUP(PSPOINTS[[#This Row],[PayScaleCode]],'19_PayScales'!N:N,'19_PayScales'!O:O)</f>
        <v>Teachers Unqualified Inner</v>
      </c>
      <c r="R241" s="12" t="s">
        <v>1540</v>
      </c>
      <c r="S241" s="12" t="s">
        <v>1540</v>
      </c>
      <c r="T241" s="12">
        <v>2</v>
      </c>
      <c r="U241" s="12" t="b">
        <v>0</v>
      </c>
      <c r="V241" s="15" t="b">
        <v>1</v>
      </c>
      <c r="W241" s="164">
        <v>45901</v>
      </c>
      <c r="X241" s="140"/>
      <c r="Y241" s="162">
        <v>30935</v>
      </c>
    </row>
    <row r="242" spans="1:25" hidden="1" x14ac:dyDescent="0.25">
      <c r="A242" s="158" t="str">
        <f>PSPOINTS[[#This Row],[PayScaleCode]]&amp;PSPOINTS[[#This Row],[RateDateFrom]]</f>
        <v>UQ_INN45901</v>
      </c>
      <c r="B242" s="57">
        <f t="shared" si="3"/>
        <v>0</v>
      </c>
      <c r="C242" s="57" t="str">
        <f>PSPOINTS[[#This Row],[PayScaleCode]]&amp;PSPOINTS[[#This Row],[PayScalePointCode]]&amp;PSPOINTS[[#This Row],[RateDateFrom]]</f>
        <v>UQ_INNUQ345901</v>
      </c>
      <c r="D242" s="57">
        <f>COUNTIF(PSPOINTS[Pay Scale String Duplicates],PSPOINTS[[#This Row],[Pay Scale String Duplicates]])-1</f>
        <v>0</v>
      </c>
      <c r="E242" s="57">
        <f>IF((MONTH(_xlfn.XLOOKUP(PSPOINTS[[#This Row],[PayScaleCode]],'19_PayScales'!N:N,'19_PayScales'!R:R)))=MONTH(PSPOINTS[[#This Row],[RateDateFrom]]),0,1)</f>
        <v>0</v>
      </c>
      <c r="F242" s="57">
        <f>IF(ISBLANK(PSPOINTS[[#This Row],[RateDateTo]]),0,IF(PSPOINTS[[#This Row],[RateDateFrom]]&lt;PSPOINTS[[#This Row],[RateDateTo]],0,1))</f>
        <v>0</v>
      </c>
      <c r="G242" s="57" cm="1">
        <f t="array" aca="1" ref="G242" ca="1">IF(CELL("format",PSPOINTS[[#This Row],[RateDateFrom]])="D1",0,1)+IF(CELL("format",PSPOINTS[[#This Row],[RateDateTo]])="D1",0,1)</f>
        <v>0</v>
      </c>
      <c r="H242" s="57">
        <f>IF(OR(PSPOINTS[[#This Row],[Hourly]]=TRUE,PSPOINTS[[#This Row],[Hourly]]=FALSE),IF(OR(PSPOINTS[[#This Row],[PayScalePointEnabled]]=TRUE,PSPOINTS[[#This Row],[PayScalePointEnabled]]=FALSE),0,1),1)</f>
        <v>0</v>
      </c>
      <c r="I242" s="57">
        <f>IF(LEN(PSPOINTS[[#This Row],[PayScalePointCode]])&lt;100,0,1)</f>
        <v>0</v>
      </c>
      <c r="J242" s="57">
        <f>IF(LEN(PSPOINTS[[#This Row],[PayScalePointTitle]])&lt;100,0,1)</f>
        <v>0</v>
      </c>
      <c r="K242" s="57">
        <f>(COUNTBLANK(PSPOINTS[[#This Row],[PayScalePointCode]:[RateDateFrom]])+COUNTBLANK(PSPOINTS[[#This Row],[PayScaleRate]]))</f>
        <v>0</v>
      </c>
      <c r="L242" s="120">
        <f>IF(SUBSTITUTE(TEXT(PSPOINTS[[#This Row],[PayScaleCode]],10)," ","")=TEXT(PSPOINTS[[#This Row],[PayScaleCode]],10),0,1)+IF(SUBSTITUTE(TEXT(PSPOINTS[[#This Row],[PayScalePointCode]],10)," ","")=TEXT(PSPOINTS[[#This Row],[PayScalePointCode]],10),0,1)</f>
        <v>0</v>
      </c>
      <c r="M242" s="57">
        <f ca="1">SUM(PSPOINTS[[#This Row],[Scale Point Issue]:[Space in Code]])</f>
        <v>0</v>
      </c>
      <c r="N242" s="57" t="s">
        <v>1401</v>
      </c>
      <c r="P242" s="12" t="s">
        <v>1406</v>
      </c>
      <c r="Q242" s="57" t="str">
        <f>_xlfn.XLOOKUP(PSPOINTS[[#This Row],[PayScaleCode]],'19_PayScales'!N:N,'19_PayScales'!O:O)</f>
        <v>Teachers Unqualified Inner</v>
      </c>
      <c r="R242" s="12" t="s">
        <v>1541</v>
      </c>
      <c r="S242" s="12" t="s">
        <v>1541</v>
      </c>
      <c r="T242" s="12">
        <v>3</v>
      </c>
      <c r="U242" s="12" t="b">
        <v>0</v>
      </c>
      <c r="V242" s="15" t="b">
        <v>1</v>
      </c>
      <c r="W242" s="164">
        <v>45901</v>
      </c>
      <c r="X242" s="140"/>
      <c r="Y242" s="162">
        <v>33528</v>
      </c>
    </row>
    <row r="243" spans="1:25" hidden="1" x14ac:dyDescent="0.25">
      <c r="A243" s="158" t="str">
        <f>PSPOINTS[[#This Row],[PayScaleCode]]&amp;PSPOINTS[[#This Row],[RateDateFrom]]</f>
        <v>UQ_INN45901</v>
      </c>
      <c r="B243" s="57">
        <f t="shared" si="3"/>
        <v>0</v>
      </c>
      <c r="C243" s="57" t="str">
        <f>PSPOINTS[[#This Row],[PayScaleCode]]&amp;PSPOINTS[[#This Row],[PayScalePointCode]]&amp;PSPOINTS[[#This Row],[RateDateFrom]]</f>
        <v>UQ_INNUQ445901</v>
      </c>
      <c r="D243" s="57">
        <f>COUNTIF(PSPOINTS[Pay Scale String Duplicates],PSPOINTS[[#This Row],[Pay Scale String Duplicates]])-1</f>
        <v>0</v>
      </c>
      <c r="E243" s="57">
        <f>IF((MONTH(_xlfn.XLOOKUP(PSPOINTS[[#This Row],[PayScaleCode]],'19_PayScales'!N:N,'19_PayScales'!R:R)))=MONTH(PSPOINTS[[#This Row],[RateDateFrom]]),0,1)</f>
        <v>0</v>
      </c>
      <c r="F243" s="57">
        <f>IF(ISBLANK(PSPOINTS[[#This Row],[RateDateTo]]),0,IF(PSPOINTS[[#This Row],[RateDateFrom]]&lt;PSPOINTS[[#This Row],[RateDateTo]],0,1))</f>
        <v>0</v>
      </c>
      <c r="G243" s="57" cm="1">
        <f t="array" aca="1" ref="G243" ca="1">IF(CELL("format",PSPOINTS[[#This Row],[RateDateFrom]])="D1",0,1)+IF(CELL("format",PSPOINTS[[#This Row],[RateDateTo]])="D1",0,1)</f>
        <v>0</v>
      </c>
      <c r="H243" s="57">
        <f>IF(OR(PSPOINTS[[#This Row],[Hourly]]=TRUE,PSPOINTS[[#This Row],[Hourly]]=FALSE),IF(OR(PSPOINTS[[#This Row],[PayScalePointEnabled]]=TRUE,PSPOINTS[[#This Row],[PayScalePointEnabled]]=FALSE),0,1),1)</f>
        <v>0</v>
      </c>
      <c r="I243" s="57">
        <f>IF(LEN(PSPOINTS[[#This Row],[PayScalePointCode]])&lt;100,0,1)</f>
        <v>0</v>
      </c>
      <c r="J243" s="57">
        <f>IF(LEN(PSPOINTS[[#This Row],[PayScalePointTitle]])&lt;100,0,1)</f>
        <v>0</v>
      </c>
      <c r="K243" s="57">
        <f>(COUNTBLANK(PSPOINTS[[#This Row],[PayScalePointCode]:[RateDateFrom]])+COUNTBLANK(PSPOINTS[[#This Row],[PayScaleRate]]))</f>
        <v>0</v>
      </c>
      <c r="L243" s="120">
        <f>IF(SUBSTITUTE(TEXT(PSPOINTS[[#This Row],[PayScaleCode]],10)," ","")=TEXT(PSPOINTS[[#This Row],[PayScaleCode]],10),0,1)+IF(SUBSTITUTE(TEXT(PSPOINTS[[#This Row],[PayScalePointCode]],10)," ","")=TEXT(PSPOINTS[[#This Row],[PayScalePointCode]],10),0,1)</f>
        <v>0</v>
      </c>
      <c r="M243" s="57">
        <f ca="1">SUM(PSPOINTS[[#This Row],[Scale Point Issue]:[Space in Code]])</f>
        <v>0</v>
      </c>
      <c r="N243" s="57" t="s">
        <v>1401</v>
      </c>
      <c r="P243" s="12" t="s">
        <v>1406</v>
      </c>
      <c r="Q243" s="57" t="str">
        <f>_xlfn.XLOOKUP(PSPOINTS[[#This Row],[PayScaleCode]],'19_PayScales'!N:N,'19_PayScales'!O:O)</f>
        <v>Teachers Unqualified Inner</v>
      </c>
      <c r="R243" s="12" t="s">
        <v>1542</v>
      </c>
      <c r="S243" s="12" t="s">
        <v>1542</v>
      </c>
      <c r="T243" s="12">
        <v>4</v>
      </c>
      <c r="U243" s="12" t="b">
        <v>0</v>
      </c>
      <c r="V243" s="15" t="b">
        <v>1</v>
      </c>
      <c r="W243" s="164">
        <v>45901</v>
      </c>
      <c r="X243" s="140"/>
      <c r="Y243" s="162">
        <v>35814</v>
      </c>
    </row>
    <row r="244" spans="1:25" hidden="1" x14ac:dyDescent="0.25">
      <c r="A244" s="158" t="str">
        <f>PSPOINTS[[#This Row],[PayScaleCode]]&amp;PSPOINTS[[#This Row],[RateDateFrom]]</f>
        <v>UQ_INN45901</v>
      </c>
      <c r="B244" s="57">
        <f t="shared" si="3"/>
        <v>0</v>
      </c>
      <c r="C244" s="57" t="str">
        <f>PSPOINTS[[#This Row],[PayScaleCode]]&amp;PSPOINTS[[#This Row],[PayScalePointCode]]&amp;PSPOINTS[[#This Row],[RateDateFrom]]</f>
        <v>UQ_INNUQ545901</v>
      </c>
      <c r="D244" s="57">
        <f>COUNTIF(PSPOINTS[Pay Scale String Duplicates],PSPOINTS[[#This Row],[Pay Scale String Duplicates]])-1</f>
        <v>0</v>
      </c>
      <c r="E244" s="57">
        <f>IF((MONTH(_xlfn.XLOOKUP(PSPOINTS[[#This Row],[PayScaleCode]],'19_PayScales'!N:N,'19_PayScales'!R:R)))=MONTH(PSPOINTS[[#This Row],[RateDateFrom]]),0,1)</f>
        <v>0</v>
      </c>
      <c r="F244" s="57">
        <f>IF(ISBLANK(PSPOINTS[[#This Row],[RateDateTo]]),0,IF(PSPOINTS[[#This Row],[RateDateFrom]]&lt;PSPOINTS[[#This Row],[RateDateTo]],0,1))</f>
        <v>0</v>
      </c>
      <c r="G244" s="57" cm="1">
        <f t="array" aca="1" ref="G244" ca="1">IF(CELL("format",PSPOINTS[[#This Row],[RateDateFrom]])="D1",0,1)+IF(CELL("format",PSPOINTS[[#This Row],[RateDateTo]])="D1",0,1)</f>
        <v>0</v>
      </c>
      <c r="H244" s="57">
        <f>IF(OR(PSPOINTS[[#This Row],[Hourly]]=TRUE,PSPOINTS[[#This Row],[Hourly]]=FALSE),IF(OR(PSPOINTS[[#This Row],[PayScalePointEnabled]]=TRUE,PSPOINTS[[#This Row],[PayScalePointEnabled]]=FALSE),0,1),1)</f>
        <v>0</v>
      </c>
      <c r="I244" s="57">
        <f>IF(LEN(PSPOINTS[[#This Row],[PayScalePointCode]])&lt;100,0,1)</f>
        <v>0</v>
      </c>
      <c r="J244" s="57">
        <f>IF(LEN(PSPOINTS[[#This Row],[PayScalePointTitle]])&lt;100,0,1)</f>
        <v>0</v>
      </c>
      <c r="K244" s="57">
        <f>(COUNTBLANK(PSPOINTS[[#This Row],[PayScalePointCode]:[RateDateFrom]])+COUNTBLANK(PSPOINTS[[#This Row],[PayScaleRate]]))</f>
        <v>0</v>
      </c>
      <c r="L244" s="120">
        <f>IF(SUBSTITUTE(TEXT(PSPOINTS[[#This Row],[PayScaleCode]],10)," ","")=TEXT(PSPOINTS[[#This Row],[PayScaleCode]],10),0,1)+IF(SUBSTITUTE(TEXT(PSPOINTS[[#This Row],[PayScalePointCode]],10)," ","")=TEXT(PSPOINTS[[#This Row],[PayScalePointCode]],10),0,1)</f>
        <v>0</v>
      </c>
      <c r="M244" s="57">
        <f ca="1">SUM(PSPOINTS[[#This Row],[Scale Point Issue]:[Space in Code]])</f>
        <v>0</v>
      </c>
      <c r="N244" s="57" t="s">
        <v>1401</v>
      </c>
      <c r="P244" s="12" t="s">
        <v>1406</v>
      </c>
      <c r="Q244" s="57" t="str">
        <f>_xlfn.XLOOKUP(PSPOINTS[[#This Row],[PayScaleCode]],'19_PayScales'!N:N,'19_PayScales'!O:O)</f>
        <v>Teachers Unqualified Inner</v>
      </c>
      <c r="R244" s="12" t="s">
        <v>1543</v>
      </c>
      <c r="S244" s="12" t="s">
        <v>1543</v>
      </c>
      <c r="T244" s="12">
        <v>5</v>
      </c>
      <c r="U244" s="12" t="b">
        <v>0</v>
      </c>
      <c r="V244" s="15" t="b">
        <v>1</v>
      </c>
      <c r="W244" s="164">
        <v>45901</v>
      </c>
      <c r="X244" s="140"/>
      <c r="Y244" s="162">
        <v>38402</v>
      </c>
    </row>
    <row r="245" spans="1:25" hidden="1" x14ac:dyDescent="0.25">
      <c r="A245" s="158" t="str">
        <f>PSPOINTS[[#This Row],[PayScaleCode]]&amp;PSPOINTS[[#This Row],[RateDateFrom]]</f>
        <v>UQ_INN45901</v>
      </c>
      <c r="B245" s="57">
        <f t="shared" si="3"/>
        <v>0</v>
      </c>
      <c r="C245" s="57" t="str">
        <f>PSPOINTS[[#This Row],[PayScaleCode]]&amp;PSPOINTS[[#This Row],[PayScalePointCode]]&amp;PSPOINTS[[#This Row],[RateDateFrom]]</f>
        <v>UQ_INNUQ645901</v>
      </c>
      <c r="D245" s="57">
        <f>COUNTIF(PSPOINTS[Pay Scale String Duplicates],PSPOINTS[[#This Row],[Pay Scale String Duplicates]])-1</f>
        <v>0</v>
      </c>
      <c r="E245" s="57">
        <f>IF((MONTH(_xlfn.XLOOKUP(PSPOINTS[[#This Row],[PayScaleCode]],'19_PayScales'!N:N,'19_PayScales'!R:R)))=MONTH(PSPOINTS[[#This Row],[RateDateFrom]]),0,1)</f>
        <v>0</v>
      </c>
      <c r="F245" s="57">
        <f>IF(ISBLANK(PSPOINTS[[#This Row],[RateDateTo]]),0,IF(PSPOINTS[[#This Row],[RateDateFrom]]&lt;PSPOINTS[[#This Row],[RateDateTo]],0,1))</f>
        <v>0</v>
      </c>
      <c r="G245" s="57" cm="1">
        <f t="array" aca="1" ref="G245" ca="1">IF(CELL("format",PSPOINTS[[#This Row],[RateDateFrom]])="D1",0,1)+IF(CELL("format",PSPOINTS[[#This Row],[RateDateTo]])="D1",0,1)</f>
        <v>0</v>
      </c>
      <c r="H245" s="57">
        <f>IF(OR(PSPOINTS[[#This Row],[Hourly]]=TRUE,PSPOINTS[[#This Row],[Hourly]]=FALSE),IF(OR(PSPOINTS[[#This Row],[PayScalePointEnabled]]=TRUE,PSPOINTS[[#This Row],[PayScalePointEnabled]]=FALSE),0,1),1)</f>
        <v>0</v>
      </c>
      <c r="I245" s="57">
        <f>IF(LEN(PSPOINTS[[#This Row],[PayScalePointCode]])&lt;100,0,1)</f>
        <v>0</v>
      </c>
      <c r="J245" s="57">
        <f>IF(LEN(PSPOINTS[[#This Row],[PayScalePointTitle]])&lt;100,0,1)</f>
        <v>0</v>
      </c>
      <c r="K245" s="57">
        <f>(COUNTBLANK(PSPOINTS[[#This Row],[PayScalePointCode]:[RateDateFrom]])+COUNTBLANK(PSPOINTS[[#This Row],[PayScaleRate]]))</f>
        <v>0</v>
      </c>
      <c r="L245" s="120">
        <f>IF(SUBSTITUTE(TEXT(PSPOINTS[[#This Row],[PayScaleCode]],10)," ","")=TEXT(PSPOINTS[[#This Row],[PayScaleCode]],10),0,1)+IF(SUBSTITUTE(TEXT(PSPOINTS[[#This Row],[PayScalePointCode]],10)," ","")=TEXT(PSPOINTS[[#This Row],[PayScalePointCode]],10),0,1)</f>
        <v>0</v>
      </c>
      <c r="M245" s="57">
        <f ca="1">SUM(PSPOINTS[[#This Row],[Scale Point Issue]:[Space in Code]])</f>
        <v>0</v>
      </c>
      <c r="N245" s="57" t="s">
        <v>1401</v>
      </c>
      <c r="P245" s="12" t="s">
        <v>1406</v>
      </c>
      <c r="Q245" s="57" t="str">
        <f>_xlfn.XLOOKUP(PSPOINTS[[#This Row],[PayScaleCode]],'19_PayScales'!N:N,'19_PayScales'!O:O)</f>
        <v>Teachers Unqualified Inner</v>
      </c>
      <c r="R245" s="12" t="s">
        <v>1452</v>
      </c>
      <c r="S245" s="12" t="s">
        <v>1452</v>
      </c>
      <c r="T245" s="12">
        <v>6</v>
      </c>
      <c r="U245" s="12" t="b">
        <v>0</v>
      </c>
      <c r="V245" s="15" t="b">
        <v>1</v>
      </c>
      <c r="W245" s="164">
        <v>45901</v>
      </c>
      <c r="X245" s="140"/>
      <c r="Y245" s="162">
        <v>40994</v>
      </c>
    </row>
    <row r="246" spans="1:25" hidden="1" x14ac:dyDescent="0.25">
      <c r="A246" s="158" t="str">
        <f>PSPOINTS[[#This Row],[PayScaleCode]]&amp;PSPOINTS[[#This Row],[RateDateFrom]]</f>
        <v>LS_INN45901</v>
      </c>
      <c r="B246" s="57">
        <f t="shared" si="3"/>
        <v>0</v>
      </c>
      <c r="C246" s="57" t="str">
        <f>PSPOINTS[[#This Row],[PayScaleCode]]&amp;PSPOINTS[[#This Row],[PayScalePointCode]]&amp;PSPOINTS[[#This Row],[RateDateFrom]]</f>
        <v>LS_INNL0145901</v>
      </c>
      <c r="D246" s="57">
        <f>COUNTIF(PSPOINTS[Pay Scale String Duplicates],PSPOINTS[[#This Row],[Pay Scale String Duplicates]])-1</f>
        <v>0</v>
      </c>
      <c r="E246" s="57">
        <f>IF((MONTH(_xlfn.XLOOKUP(PSPOINTS[[#This Row],[PayScaleCode]],'19_PayScales'!N:N,'19_PayScales'!R:R)))=MONTH(PSPOINTS[[#This Row],[RateDateFrom]]),0,1)</f>
        <v>0</v>
      </c>
      <c r="F246" s="57">
        <f>IF(ISBLANK(PSPOINTS[[#This Row],[RateDateTo]]),0,IF(PSPOINTS[[#This Row],[RateDateFrom]]&lt;PSPOINTS[[#This Row],[RateDateTo]],0,1))</f>
        <v>0</v>
      </c>
      <c r="G246" s="57" cm="1">
        <f t="array" aca="1" ref="G246" ca="1">IF(CELL("format",PSPOINTS[[#This Row],[RateDateFrom]])="D1",0,1)+IF(CELL("format",PSPOINTS[[#This Row],[RateDateTo]])="D1",0,1)</f>
        <v>0</v>
      </c>
      <c r="H246" s="57">
        <f>IF(OR(PSPOINTS[[#This Row],[Hourly]]=TRUE,PSPOINTS[[#This Row],[Hourly]]=FALSE),IF(OR(PSPOINTS[[#This Row],[PayScalePointEnabled]]=TRUE,PSPOINTS[[#This Row],[PayScalePointEnabled]]=FALSE),0,1),1)</f>
        <v>0</v>
      </c>
      <c r="I246" s="57">
        <f>IF(LEN(PSPOINTS[[#This Row],[PayScalePointCode]])&lt;100,0,1)</f>
        <v>0</v>
      </c>
      <c r="J246" s="57">
        <f>IF(LEN(PSPOINTS[[#This Row],[PayScalePointTitle]])&lt;100,0,1)</f>
        <v>0</v>
      </c>
      <c r="K246" s="57">
        <f>(COUNTBLANK(PSPOINTS[[#This Row],[PayScalePointCode]:[RateDateFrom]])+COUNTBLANK(PSPOINTS[[#This Row],[PayScaleRate]]))</f>
        <v>0</v>
      </c>
      <c r="L246" s="120">
        <f>IF(SUBSTITUTE(TEXT(PSPOINTS[[#This Row],[PayScaleCode]],10)," ","")=TEXT(PSPOINTS[[#This Row],[PayScaleCode]],10),0,1)+IF(SUBSTITUTE(TEXT(PSPOINTS[[#This Row],[PayScalePointCode]],10)," ","")=TEXT(PSPOINTS[[#This Row],[PayScalePointCode]],10),0,1)</f>
        <v>0</v>
      </c>
      <c r="M246" s="57">
        <f ca="1">SUM(PSPOINTS[[#This Row],[Scale Point Issue]:[Space in Code]])</f>
        <v>0</v>
      </c>
      <c r="N246" s="57" t="s">
        <v>1401</v>
      </c>
      <c r="P246" s="12" t="s">
        <v>1408</v>
      </c>
      <c r="Q246" s="57" t="str">
        <f>_xlfn.XLOOKUP(PSPOINTS[[#This Row],[PayScaleCode]],'19_PayScales'!N:N,'19_PayScales'!O:O)</f>
        <v>Leadership Group Inner</v>
      </c>
      <c r="R246" s="12" t="s">
        <v>1455</v>
      </c>
      <c r="S246" s="12" t="s">
        <v>1455</v>
      </c>
      <c r="T246" s="12">
        <v>1</v>
      </c>
      <c r="U246" s="12" t="b">
        <v>0</v>
      </c>
      <c r="V246" s="15" t="b">
        <v>1</v>
      </c>
      <c r="W246" s="164">
        <v>45901</v>
      </c>
      <c r="X246" s="140"/>
      <c r="Y246" s="162">
        <v>61554</v>
      </c>
    </row>
    <row r="247" spans="1:25" hidden="1" x14ac:dyDescent="0.25">
      <c r="A247" s="158" t="str">
        <f>PSPOINTS[[#This Row],[PayScaleCode]]&amp;PSPOINTS[[#This Row],[RateDateFrom]]</f>
        <v>LS_INN45901</v>
      </c>
      <c r="B247" s="57">
        <f t="shared" si="3"/>
        <v>0</v>
      </c>
      <c r="C247" s="57" t="str">
        <f>PSPOINTS[[#This Row],[PayScaleCode]]&amp;PSPOINTS[[#This Row],[PayScalePointCode]]&amp;PSPOINTS[[#This Row],[RateDateFrom]]</f>
        <v>LS_INNL0245901</v>
      </c>
      <c r="D247" s="57">
        <f>COUNTIF(PSPOINTS[Pay Scale String Duplicates],PSPOINTS[[#This Row],[Pay Scale String Duplicates]])-1</f>
        <v>0</v>
      </c>
      <c r="E247" s="57">
        <f>IF((MONTH(_xlfn.XLOOKUP(PSPOINTS[[#This Row],[PayScaleCode]],'19_PayScales'!N:N,'19_PayScales'!R:R)))=MONTH(PSPOINTS[[#This Row],[RateDateFrom]]),0,1)</f>
        <v>0</v>
      </c>
      <c r="F247" s="57">
        <f>IF(ISBLANK(PSPOINTS[[#This Row],[RateDateTo]]),0,IF(PSPOINTS[[#This Row],[RateDateFrom]]&lt;PSPOINTS[[#This Row],[RateDateTo]],0,1))</f>
        <v>0</v>
      </c>
      <c r="G247" s="57" cm="1">
        <f t="array" aca="1" ref="G247" ca="1">IF(CELL("format",PSPOINTS[[#This Row],[RateDateFrom]])="D1",0,1)+IF(CELL("format",PSPOINTS[[#This Row],[RateDateTo]])="D1",0,1)</f>
        <v>0</v>
      </c>
      <c r="H247" s="57">
        <f>IF(OR(PSPOINTS[[#This Row],[Hourly]]=TRUE,PSPOINTS[[#This Row],[Hourly]]=FALSE),IF(OR(PSPOINTS[[#This Row],[PayScalePointEnabled]]=TRUE,PSPOINTS[[#This Row],[PayScalePointEnabled]]=FALSE),0,1),1)</f>
        <v>0</v>
      </c>
      <c r="I247" s="57">
        <f>IF(LEN(PSPOINTS[[#This Row],[PayScalePointCode]])&lt;100,0,1)</f>
        <v>0</v>
      </c>
      <c r="J247" s="57">
        <f>IF(LEN(PSPOINTS[[#This Row],[PayScalePointTitle]])&lt;100,0,1)</f>
        <v>0</v>
      </c>
      <c r="K247" s="57">
        <f>(COUNTBLANK(PSPOINTS[[#This Row],[PayScalePointCode]:[RateDateFrom]])+COUNTBLANK(PSPOINTS[[#This Row],[PayScaleRate]]))</f>
        <v>0</v>
      </c>
      <c r="L247" s="120">
        <f>IF(SUBSTITUTE(TEXT(PSPOINTS[[#This Row],[PayScaleCode]],10)," ","")=TEXT(PSPOINTS[[#This Row],[PayScaleCode]],10),0,1)+IF(SUBSTITUTE(TEXT(PSPOINTS[[#This Row],[PayScalePointCode]],10)," ","")=TEXT(PSPOINTS[[#This Row],[PayScalePointCode]],10),0,1)</f>
        <v>0</v>
      </c>
      <c r="M247" s="57">
        <f ca="1">SUM(PSPOINTS[[#This Row],[Scale Point Issue]:[Space in Code]])</f>
        <v>0</v>
      </c>
      <c r="N247" s="57" t="s">
        <v>1401</v>
      </c>
      <c r="P247" s="12" t="s">
        <v>1408</v>
      </c>
      <c r="Q247" s="57" t="str">
        <f>_xlfn.XLOOKUP(PSPOINTS[[#This Row],[PayScaleCode]],'19_PayScales'!N:N,'19_PayScales'!O:O)</f>
        <v>Leadership Group Inner</v>
      </c>
      <c r="R247" s="12" t="s">
        <v>1544</v>
      </c>
      <c r="S247" s="12" t="s">
        <v>1544</v>
      </c>
      <c r="T247" s="12">
        <v>2</v>
      </c>
      <c r="U247" s="12" t="b">
        <v>0</v>
      </c>
      <c r="V247" s="15" t="b">
        <v>1</v>
      </c>
      <c r="W247" s="164">
        <v>45901</v>
      </c>
      <c r="X247" s="140"/>
      <c r="Y247" s="162">
        <v>62857</v>
      </c>
    </row>
    <row r="248" spans="1:25" hidden="1" x14ac:dyDescent="0.25">
      <c r="A248" s="158" t="str">
        <f>PSPOINTS[[#This Row],[PayScaleCode]]&amp;PSPOINTS[[#This Row],[RateDateFrom]]</f>
        <v>LS_INN45901</v>
      </c>
      <c r="B248" s="57">
        <f t="shared" si="3"/>
        <v>0</v>
      </c>
      <c r="C248" s="57" t="str">
        <f>PSPOINTS[[#This Row],[PayScaleCode]]&amp;PSPOINTS[[#This Row],[PayScalePointCode]]&amp;PSPOINTS[[#This Row],[RateDateFrom]]</f>
        <v>LS_INNL0345901</v>
      </c>
      <c r="D248" s="57">
        <f>COUNTIF(PSPOINTS[Pay Scale String Duplicates],PSPOINTS[[#This Row],[Pay Scale String Duplicates]])-1</f>
        <v>0</v>
      </c>
      <c r="E248" s="57">
        <f>IF((MONTH(_xlfn.XLOOKUP(PSPOINTS[[#This Row],[PayScaleCode]],'19_PayScales'!N:N,'19_PayScales'!R:R)))=MONTH(PSPOINTS[[#This Row],[RateDateFrom]]),0,1)</f>
        <v>0</v>
      </c>
      <c r="F248" s="57">
        <f>IF(ISBLANK(PSPOINTS[[#This Row],[RateDateTo]]),0,IF(PSPOINTS[[#This Row],[RateDateFrom]]&lt;PSPOINTS[[#This Row],[RateDateTo]],0,1))</f>
        <v>0</v>
      </c>
      <c r="G248" s="57" cm="1">
        <f t="array" aca="1" ref="G248" ca="1">IF(CELL("format",PSPOINTS[[#This Row],[RateDateFrom]])="D1",0,1)+IF(CELL("format",PSPOINTS[[#This Row],[RateDateTo]])="D1",0,1)</f>
        <v>0</v>
      </c>
      <c r="H248" s="57">
        <f>IF(OR(PSPOINTS[[#This Row],[Hourly]]=TRUE,PSPOINTS[[#This Row],[Hourly]]=FALSE),IF(OR(PSPOINTS[[#This Row],[PayScalePointEnabled]]=TRUE,PSPOINTS[[#This Row],[PayScalePointEnabled]]=FALSE),0,1),1)</f>
        <v>0</v>
      </c>
      <c r="I248" s="57">
        <f>IF(LEN(PSPOINTS[[#This Row],[PayScalePointCode]])&lt;100,0,1)</f>
        <v>0</v>
      </c>
      <c r="J248" s="57">
        <f>IF(LEN(PSPOINTS[[#This Row],[PayScalePointTitle]])&lt;100,0,1)</f>
        <v>0</v>
      </c>
      <c r="K248" s="57">
        <f>(COUNTBLANK(PSPOINTS[[#This Row],[PayScalePointCode]:[RateDateFrom]])+COUNTBLANK(PSPOINTS[[#This Row],[PayScaleRate]]))</f>
        <v>0</v>
      </c>
      <c r="L248" s="120">
        <f>IF(SUBSTITUTE(TEXT(PSPOINTS[[#This Row],[PayScaleCode]],10)," ","")=TEXT(PSPOINTS[[#This Row],[PayScaleCode]],10),0,1)+IF(SUBSTITUTE(TEXT(PSPOINTS[[#This Row],[PayScalePointCode]],10)," ","")=TEXT(PSPOINTS[[#This Row],[PayScalePointCode]],10),0,1)</f>
        <v>0</v>
      </c>
      <c r="M248" s="57">
        <f ca="1">SUM(PSPOINTS[[#This Row],[Scale Point Issue]:[Space in Code]])</f>
        <v>0</v>
      </c>
      <c r="N248" s="57" t="s">
        <v>1401</v>
      </c>
      <c r="P248" s="12" t="s">
        <v>1408</v>
      </c>
      <c r="Q248" s="57" t="str">
        <f>_xlfn.XLOOKUP(PSPOINTS[[#This Row],[PayScaleCode]],'19_PayScales'!N:N,'19_PayScales'!O:O)</f>
        <v>Leadership Group Inner</v>
      </c>
      <c r="R248" s="12" t="s">
        <v>1545</v>
      </c>
      <c r="S248" s="12" t="s">
        <v>1545</v>
      </c>
      <c r="T248" s="12">
        <v>3</v>
      </c>
      <c r="U248" s="12" t="b">
        <v>0</v>
      </c>
      <c r="V248" s="15" t="b">
        <v>1</v>
      </c>
      <c r="W248" s="164">
        <v>45901</v>
      </c>
      <c r="X248" s="140"/>
      <c r="Y248" s="162">
        <v>64187</v>
      </c>
    </row>
    <row r="249" spans="1:25" hidden="1" x14ac:dyDescent="0.25">
      <c r="A249" s="158" t="str">
        <f>PSPOINTS[[#This Row],[PayScaleCode]]&amp;PSPOINTS[[#This Row],[RateDateFrom]]</f>
        <v>LS_INN45901</v>
      </c>
      <c r="B249" s="57">
        <f t="shared" si="3"/>
        <v>0</v>
      </c>
      <c r="C249" s="57" t="str">
        <f>PSPOINTS[[#This Row],[PayScaleCode]]&amp;PSPOINTS[[#This Row],[PayScalePointCode]]&amp;PSPOINTS[[#This Row],[RateDateFrom]]</f>
        <v>LS_INNL0445901</v>
      </c>
      <c r="D249" s="57">
        <f>COUNTIF(PSPOINTS[Pay Scale String Duplicates],PSPOINTS[[#This Row],[Pay Scale String Duplicates]])-1</f>
        <v>0</v>
      </c>
      <c r="E249" s="57">
        <f>IF((MONTH(_xlfn.XLOOKUP(PSPOINTS[[#This Row],[PayScaleCode]],'19_PayScales'!N:N,'19_PayScales'!R:R)))=MONTH(PSPOINTS[[#This Row],[RateDateFrom]]),0,1)</f>
        <v>0</v>
      </c>
      <c r="F249" s="57">
        <f>IF(ISBLANK(PSPOINTS[[#This Row],[RateDateTo]]),0,IF(PSPOINTS[[#This Row],[RateDateFrom]]&lt;PSPOINTS[[#This Row],[RateDateTo]],0,1))</f>
        <v>0</v>
      </c>
      <c r="G249" s="57" cm="1">
        <f t="array" aca="1" ref="G249" ca="1">IF(CELL("format",PSPOINTS[[#This Row],[RateDateFrom]])="D1",0,1)+IF(CELL("format",PSPOINTS[[#This Row],[RateDateTo]])="D1",0,1)</f>
        <v>0</v>
      </c>
      <c r="H249" s="57">
        <f>IF(OR(PSPOINTS[[#This Row],[Hourly]]=TRUE,PSPOINTS[[#This Row],[Hourly]]=FALSE),IF(OR(PSPOINTS[[#This Row],[PayScalePointEnabled]]=TRUE,PSPOINTS[[#This Row],[PayScalePointEnabled]]=FALSE),0,1),1)</f>
        <v>0</v>
      </c>
      <c r="I249" s="57">
        <f>IF(LEN(PSPOINTS[[#This Row],[PayScalePointCode]])&lt;100,0,1)</f>
        <v>0</v>
      </c>
      <c r="J249" s="57">
        <f>IF(LEN(PSPOINTS[[#This Row],[PayScalePointTitle]])&lt;100,0,1)</f>
        <v>0</v>
      </c>
      <c r="K249" s="57">
        <f>(COUNTBLANK(PSPOINTS[[#This Row],[PayScalePointCode]:[RateDateFrom]])+COUNTBLANK(PSPOINTS[[#This Row],[PayScaleRate]]))</f>
        <v>0</v>
      </c>
      <c r="L249" s="120">
        <f>IF(SUBSTITUTE(TEXT(PSPOINTS[[#This Row],[PayScaleCode]],10)," ","")=TEXT(PSPOINTS[[#This Row],[PayScaleCode]],10),0,1)+IF(SUBSTITUTE(TEXT(PSPOINTS[[#This Row],[PayScalePointCode]],10)," ","")=TEXT(PSPOINTS[[#This Row],[PayScalePointCode]],10),0,1)</f>
        <v>0</v>
      </c>
      <c r="M249" s="57">
        <f ca="1">SUM(PSPOINTS[[#This Row],[Scale Point Issue]:[Space in Code]])</f>
        <v>0</v>
      </c>
      <c r="N249" s="57" t="s">
        <v>1401</v>
      </c>
      <c r="P249" s="12" t="s">
        <v>1408</v>
      </c>
      <c r="Q249" s="57" t="str">
        <f>_xlfn.XLOOKUP(PSPOINTS[[#This Row],[PayScaleCode]],'19_PayScales'!N:N,'19_PayScales'!O:O)</f>
        <v>Leadership Group Inner</v>
      </c>
      <c r="R249" s="12" t="s">
        <v>1546</v>
      </c>
      <c r="S249" s="12" t="s">
        <v>1546</v>
      </c>
      <c r="T249" s="12">
        <v>4</v>
      </c>
      <c r="U249" s="12" t="b">
        <v>0</v>
      </c>
      <c r="V249" s="15" t="b">
        <v>1</v>
      </c>
      <c r="W249" s="164">
        <v>45901</v>
      </c>
      <c r="X249" s="140"/>
      <c r="Y249" s="162">
        <v>65538</v>
      </c>
    </row>
    <row r="250" spans="1:25" hidden="1" x14ac:dyDescent="0.25">
      <c r="A250" s="158" t="str">
        <f>PSPOINTS[[#This Row],[PayScaleCode]]&amp;PSPOINTS[[#This Row],[RateDateFrom]]</f>
        <v>LS_INN45901</v>
      </c>
      <c r="B250" s="57">
        <f t="shared" si="3"/>
        <v>0</v>
      </c>
      <c r="C250" s="57" t="str">
        <f>PSPOINTS[[#This Row],[PayScaleCode]]&amp;PSPOINTS[[#This Row],[PayScalePointCode]]&amp;PSPOINTS[[#This Row],[RateDateFrom]]</f>
        <v>LS_INNL0545901</v>
      </c>
      <c r="D250" s="57">
        <f>COUNTIF(PSPOINTS[Pay Scale String Duplicates],PSPOINTS[[#This Row],[Pay Scale String Duplicates]])-1</f>
        <v>0</v>
      </c>
      <c r="E250" s="57">
        <f>IF((MONTH(_xlfn.XLOOKUP(PSPOINTS[[#This Row],[PayScaleCode]],'19_PayScales'!N:N,'19_PayScales'!R:R)))=MONTH(PSPOINTS[[#This Row],[RateDateFrom]]),0,1)</f>
        <v>0</v>
      </c>
      <c r="F250" s="57">
        <f>IF(ISBLANK(PSPOINTS[[#This Row],[RateDateTo]]),0,IF(PSPOINTS[[#This Row],[RateDateFrom]]&lt;PSPOINTS[[#This Row],[RateDateTo]],0,1))</f>
        <v>0</v>
      </c>
      <c r="G250" s="57" cm="1">
        <f t="array" aca="1" ref="G250" ca="1">IF(CELL("format",PSPOINTS[[#This Row],[RateDateFrom]])="D1",0,1)+IF(CELL("format",PSPOINTS[[#This Row],[RateDateTo]])="D1",0,1)</f>
        <v>0</v>
      </c>
      <c r="H250" s="57">
        <f>IF(OR(PSPOINTS[[#This Row],[Hourly]]=TRUE,PSPOINTS[[#This Row],[Hourly]]=FALSE),IF(OR(PSPOINTS[[#This Row],[PayScalePointEnabled]]=TRUE,PSPOINTS[[#This Row],[PayScalePointEnabled]]=FALSE),0,1),1)</f>
        <v>0</v>
      </c>
      <c r="I250" s="57">
        <f>IF(LEN(PSPOINTS[[#This Row],[PayScalePointCode]])&lt;100,0,1)</f>
        <v>0</v>
      </c>
      <c r="J250" s="57">
        <f>IF(LEN(PSPOINTS[[#This Row],[PayScalePointTitle]])&lt;100,0,1)</f>
        <v>0</v>
      </c>
      <c r="K250" s="57">
        <f>(COUNTBLANK(PSPOINTS[[#This Row],[PayScalePointCode]:[RateDateFrom]])+COUNTBLANK(PSPOINTS[[#This Row],[PayScaleRate]]))</f>
        <v>0</v>
      </c>
      <c r="L250" s="120">
        <f>IF(SUBSTITUTE(TEXT(PSPOINTS[[#This Row],[PayScaleCode]],10)," ","")=TEXT(PSPOINTS[[#This Row],[PayScaleCode]],10),0,1)+IF(SUBSTITUTE(TEXT(PSPOINTS[[#This Row],[PayScalePointCode]],10)," ","")=TEXT(PSPOINTS[[#This Row],[PayScalePointCode]],10),0,1)</f>
        <v>0</v>
      </c>
      <c r="M250" s="57">
        <f ca="1">SUM(PSPOINTS[[#This Row],[Scale Point Issue]:[Space in Code]])</f>
        <v>0</v>
      </c>
      <c r="N250" s="57" t="s">
        <v>1401</v>
      </c>
      <c r="P250" s="12" t="s">
        <v>1408</v>
      </c>
      <c r="Q250" s="57" t="str">
        <f>_xlfn.XLOOKUP(PSPOINTS[[#This Row],[PayScaleCode]],'19_PayScales'!N:N,'19_PayScales'!O:O)</f>
        <v>Leadership Group Inner</v>
      </c>
      <c r="R250" s="12" t="s">
        <v>1547</v>
      </c>
      <c r="S250" s="12" t="s">
        <v>1547</v>
      </c>
      <c r="T250" s="12">
        <v>5</v>
      </c>
      <c r="U250" s="12" t="b">
        <v>0</v>
      </c>
      <c r="V250" s="15" t="b">
        <v>1</v>
      </c>
      <c r="W250" s="164">
        <v>45901</v>
      </c>
      <c r="X250" s="140"/>
      <c r="Y250" s="162">
        <v>66935</v>
      </c>
    </row>
    <row r="251" spans="1:25" hidden="1" x14ac:dyDescent="0.25">
      <c r="A251" s="158" t="str">
        <f>PSPOINTS[[#This Row],[PayScaleCode]]&amp;PSPOINTS[[#This Row],[RateDateFrom]]</f>
        <v>LS_INN45901</v>
      </c>
      <c r="B251" s="57">
        <f t="shared" si="3"/>
        <v>0</v>
      </c>
      <c r="C251" s="57" t="str">
        <f>PSPOINTS[[#This Row],[PayScaleCode]]&amp;PSPOINTS[[#This Row],[PayScalePointCode]]&amp;PSPOINTS[[#This Row],[RateDateFrom]]</f>
        <v>LS_INNL0645901</v>
      </c>
      <c r="D251" s="57">
        <f>COUNTIF(PSPOINTS[Pay Scale String Duplicates],PSPOINTS[[#This Row],[Pay Scale String Duplicates]])-1</f>
        <v>0</v>
      </c>
      <c r="E251" s="57">
        <f>IF((MONTH(_xlfn.XLOOKUP(PSPOINTS[[#This Row],[PayScaleCode]],'19_PayScales'!N:N,'19_PayScales'!R:R)))=MONTH(PSPOINTS[[#This Row],[RateDateFrom]]),0,1)</f>
        <v>0</v>
      </c>
      <c r="F251" s="57">
        <f>IF(ISBLANK(PSPOINTS[[#This Row],[RateDateTo]]),0,IF(PSPOINTS[[#This Row],[RateDateFrom]]&lt;PSPOINTS[[#This Row],[RateDateTo]],0,1))</f>
        <v>0</v>
      </c>
      <c r="G251" s="57" cm="1">
        <f t="array" aca="1" ref="G251" ca="1">IF(CELL("format",PSPOINTS[[#This Row],[RateDateFrom]])="D1",0,1)+IF(CELL("format",PSPOINTS[[#This Row],[RateDateTo]])="D1",0,1)</f>
        <v>0</v>
      </c>
      <c r="H251" s="57">
        <f>IF(OR(PSPOINTS[[#This Row],[Hourly]]=TRUE,PSPOINTS[[#This Row],[Hourly]]=FALSE),IF(OR(PSPOINTS[[#This Row],[PayScalePointEnabled]]=TRUE,PSPOINTS[[#This Row],[PayScalePointEnabled]]=FALSE),0,1),1)</f>
        <v>0</v>
      </c>
      <c r="I251" s="57">
        <f>IF(LEN(PSPOINTS[[#This Row],[PayScalePointCode]])&lt;100,0,1)</f>
        <v>0</v>
      </c>
      <c r="J251" s="57">
        <f>IF(LEN(PSPOINTS[[#This Row],[PayScalePointTitle]])&lt;100,0,1)</f>
        <v>0</v>
      </c>
      <c r="K251" s="57">
        <f>(COUNTBLANK(PSPOINTS[[#This Row],[PayScalePointCode]:[RateDateFrom]])+COUNTBLANK(PSPOINTS[[#This Row],[PayScaleRate]]))</f>
        <v>0</v>
      </c>
      <c r="L251" s="120">
        <f>IF(SUBSTITUTE(TEXT(PSPOINTS[[#This Row],[PayScaleCode]],10)," ","")=TEXT(PSPOINTS[[#This Row],[PayScaleCode]],10),0,1)+IF(SUBSTITUTE(TEXT(PSPOINTS[[#This Row],[PayScalePointCode]],10)," ","")=TEXT(PSPOINTS[[#This Row],[PayScalePointCode]],10),0,1)</f>
        <v>0</v>
      </c>
      <c r="M251" s="57">
        <f ca="1">SUM(PSPOINTS[[#This Row],[Scale Point Issue]:[Space in Code]])</f>
        <v>0</v>
      </c>
      <c r="N251" s="57" t="s">
        <v>1401</v>
      </c>
      <c r="P251" s="12" t="s">
        <v>1408</v>
      </c>
      <c r="Q251" s="57" t="str">
        <f>_xlfn.XLOOKUP(PSPOINTS[[#This Row],[PayScaleCode]],'19_PayScales'!N:N,'19_PayScales'!O:O)</f>
        <v>Leadership Group Inner</v>
      </c>
      <c r="R251" s="12" t="s">
        <v>1548</v>
      </c>
      <c r="S251" s="12" t="s">
        <v>1548</v>
      </c>
      <c r="T251" s="12">
        <v>6</v>
      </c>
      <c r="U251" s="12" t="b">
        <v>0</v>
      </c>
      <c r="V251" s="15" t="b">
        <v>1</v>
      </c>
      <c r="W251" s="164">
        <v>45901</v>
      </c>
      <c r="X251" s="140"/>
      <c r="Y251" s="162">
        <v>68361</v>
      </c>
    </row>
    <row r="252" spans="1:25" hidden="1" x14ac:dyDescent="0.25">
      <c r="A252" s="158" t="str">
        <f>PSPOINTS[[#This Row],[PayScaleCode]]&amp;PSPOINTS[[#This Row],[RateDateFrom]]</f>
        <v>LS_INN45901</v>
      </c>
      <c r="B252" s="57">
        <f t="shared" si="3"/>
        <v>0</v>
      </c>
      <c r="C252" s="57" t="str">
        <f>PSPOINTS[[#This Row],[PayScaleCode]]&amp;PSPOINTS[[#This Row],[PayScalePointCode]]&amp;PSPOINTS[[#This Row],[RateDateFrom]]</f>
        <v>LS_INNL0745901</v>
      </c>
      <c r="D252" s="57">
        <f>COUNTIF(PSPOINTS[Pay Scale String Duplicates],PSPOINTS[[#This Row],[Pay Scale String Duplicates]])-1</f>
        <v>0</v>
      </c>
      <c r="E252" s="57">
        <f>IF((MONTH(_xlfn.XLOOKUP(PSPOINTS[[#This Row],[PayScaleCode]],'19_PayScales'!N:N,'19_PayScales'!R:R)))=MONTH(PSPOINTS[[#This Row],[RateDateFrom]]),0,1)</f>
        <v>0</v>
      </c>
      <c r="F252" s="57">
        <f>IF(ISBLANK(PSPOINTS[[#This Row],[RateDateTo]]),0,IF(PSPOINTS[[#This Row],[RateDateFrom]]&lt;PSPOINTS[[#This Row],[RateDateTo]],0,1))</f>
        <v>0</v>
      </c>
      <c r="G252" s="57" cm="1">
        <f t="array" aca="1" ref="G252" ca="1">IF(CELL("format",PSPOINTS[[#This Row],[RateDateFrom]])="D1",0,1)+IF(CELL("format",PSPOINTS[[#This Row],[RateDateTo]])="D1",0,1)</f>
        <v>0</v>
      </c>
      <c r="H252" s="57">
        <f>IF(OR(PSPOINTS[[#This Row],[Hourly]]=TRUE,PSPOINTS[[#This Row],[Hourly]]=FALSE),IF(OR(PSPOINTS[[#This Row],[PayScalePointEnabled]]=TRUE,PSPOINTS[[#This Row],[PayScalePointEnabled]]=FALSE),0,1),1)</f>
        <v>0</v>
      </c>
      <c r="I252" s="57">
        <f>IF(LEN(PSPOINTS[[#This Row],[PayScalePointCode]])&lt;100,0,1)</f>
        <v>0</v>
      </c>
      <c r="J252" s="57">
        <f>IF(LEN(PSPOINTS[[#This Row],[PayScalePointTitle]])&lt;100,0,1)</f>
        <v>0</v>
      </c>
      <c r="K252" s="57">
        <f>(COUNTBLANK(PSPOINTS[[#This Row],[PayScalePointCode]:[RateDateFrom]])+COUNTBLANK(PSPOINTS[[#This Row],[PayScaleRate]]))</f>
        <v>0</v>
      </c>
      <c r="L252" s="120">
        <f>IF(SUBSTITUTE(TEXT(PSPOINTS[[#This Row],[PayScaleCode]],10)," ","")=TEXT(PSPOINTS[[#This Row],[PayScaleCode]],10),0,1)+IF(SUBSTITUTE(TEXT(PSPOINTS[[#This Row],[PayScalePointCode]],10)," ","")=TEXT(PSPOINTS[[#This Row],[PayScalePointCode]],10),0,1)</f>
        <v>0</v>
      </c>
      <c r="M252" s="57">
        <f ca="1">SUM(PSPOINTS[[#This Row],[Scale Point Issue]:[Space in Code]])</f>
        <v>0</v>
      </c>
      <c r="N252" s="57" t="s">
        <v>1401</v>
      </c>
      <c r="P252" s="12" t="s">
        <v>1408</v>
      </c>
      <c r="Q252" s="57" t="str">
        <f>_xlfn.XLOOKUP(PSPOINTS[[#This Row],[PayScaleCode]],'19_PayScales'!N:N,'19_PayScales'!O:O)</f>
        <v>Leadership Group Inner</v>
      </c>
      <c r="R252" s="12" t="s">
        <v>1549</v>
      </c>
      <c r="S252" s="12" t="s">
        <v>1549</v>
      </c>
      <c r="T252" s="12">
        <v>7</v>
      </c>
      <c r="U252" s="12" t="b">
        <v>0</v>
      </c>
      <c r="V252" s="15" t="b">
        <v>1</v>
      </c>
      <c r="W252" s="164">
        <v>45901</v>
      </c>
      <c r="X252" s="140"/>
      <c r="Y252" s="162">
        <v>69942</v>
      </c>
    </row>
    <row r="253" spans="1:25" hidden="1" x14ac:dyDescent="0.25">
      <c r="A253" s="158" t="str">
        <f>PSPOINTS[[#This Row],[PayScaleCode]]&amp;PSPOINTS[[#This Row],[RateDateFrom]]</f>
        <v>LS_INN45901</v>
      </c>
      <c r="B253" s="57">
        <f t="shared" si="3"/>
        <v>0</v>
      </c>
      <c r="C253" s="57" t="str">
        <f>PSPOINTS[[#This Row],[PayScaleCode]]&amp;PSPOINTS[[#This Row],[PayScalePointCode]]&amp;PSPOINTS[[#This Row],[RateDateFrom]]</f>
        <v>LS_INNL0845901</v>
      </c>
      <c r="D253" s="57">
        <f>COUNTIF(PSPOINTS[Pay Scale String Duplicates],PSPOINTS[[#This Row],[Pay Scale String Duplicates]])-1</f>
        <v>0</v>
      </c>
      <c r="E253" s="57">
        <f>IF((MONTH(_xlfn.XLOOKUP(PSPOINTS[[#This Row],[PayScaleCode]],'19_PayScales'!N:N,'19_PayScales'!R:R)))=MONTH(PSPOINTS[[#This Row],[RateDateFrom]]),0,1)</f>
        <v>0</v>
      </c>
      <c r="F253" s="57">
        <f>IF(ISBLANK(PSPOINTS[[#This Row],[RateDateTo]]),0,IF(PSPOINTS[[#This Row],[RateDateFrom]]&lt;PSPOINTS[[#This Row],[RateDateTo]],0,1))</f>
        <v>0</v>
      </c>
      <c r="G253" s="57" cm="1">
        <f t="array" aca="1" ref="G253" ca="1">IF(CELL("format",PSPOINTS[[#This Row],[RateDateFrom]])="D1",0,1)+IF(CELL("format",PSPOINTS[[#This Row],[RateDateTo]])="D1",0,1)</f>
        <v>0</v>
      </c>
      <c r="H253" s="57">
        <f>IF(OR(PSPOINTS[[#This Row],[Hourly]]=TRUE,PSPOINTS[[#This Row],[Hourly]]=FALSE),IF(OR(PSPOINTS[[#This Row],[PayScalePointEnabled]]=TRUE,PSPOINTS[[#This Row],[PayScalePointEnabled]]=FALSE),0,1),1)</f>
        <v>0</v>
      </c>
      <c r="I253" s="57">
        <f>IF(LEN(PSPOINTS[[#This Row],[PayScalePointCode]])&lt;100,0,1)</f>
        <v>0</v>
      </c>
      <c r="J253" s="57">
        <f>IF(LEN(PSPOINTS[[#This Row],[PayScalePointTitle]])&lt;100,0,1)</f>
        <v>0</v>
      </c>
      <c r="K253" s="57">
        <f>(COUNTBLANK(PSPOINTS[[#This Row],[PayScalePointCode]:[RateDateFrom]])+COUNTBLANK(PSPOINTS[[#This Row],[PayScaleRate]]))</f>
        <v>0</v>
      </c>
      <c r="L253" s="120">
        <f>IF(SUBSTITUTE(TEXT(PSPOINTS[[#This Row],[PayScaleCode]],10)," ","")=TEXT(PSPOINTS[[#This Row],[PayScaleCode]],10),0,1)+IF(SUBSTITUTE(TEXT(PSPOINTS[[#This Row],[PayScalePointCode]],10)," ","")=TEXT(PSPOINTS[[#This Row],[PayScalePointCode]],10),0,1)</f>
        <v>0</v>
      </c>
      <c r="M253" s="57">
        <f ca="1">SUM(PSPOINTS[[#This Row],[Scale Point Issue]:[Space in Code]])</f>
        <v>0</v>
      </c>
      <c r="N253" s="57" t="s">
        <v>1401</v>
      </c>
      <c r="P253" s="12" t="s">
        <v>1408</v>
      </c>
      <c r="Q253" s="57" t="str">
        <f>_xlfn.XLOOKUP(PSPOINTS[[#This Row],[PayScaleCode]],'19_PayScales'!N:N,'19_PayScales'!O:O)</f>
        <v>Leadership Group Inner</v>
      </c>
      <c r="R253" s="12" t="s">
        <v>1550</v>
      </c>
      <c r="S253" s="12" t="s">
        <v>1550</v>
      </c>
      <c r="T253" s="12">
        <v>8</v>
      </c>
      <c r="U253" s="12" t="b">
        <v>0</v>
      </c>
      <c r="V253" s="15" t="b">
        <v>1</v>
      </c>
      <c r="W253" s="164">
        <v>45901</v>
      </c>
      <c r="X253" s="140"/>
      <c r="Y253" s="162">
        <v>71327</v>
      </c>
    </row>
    <row r="254" spans="1:25" hidden="1" x14ac:dyDescent="0.25">
      <c r="A254" s="158" t="str">
        <f>PSPOINTS[[#This Row],[PayScaleCode]]&amp;PSPOINTS[[#This Row],[RateDateFrom]]</f>
        <v>LS_INN45901</v>
      </c>
      <c r="B254" s="57">
        <f t="shared" si="3"/>
        <v>0</v>
      </c>
      <c r="C254" s="57" t="str">
        <f>PSPOINTS[[#This Row],[PayScaleCode]]&amp;PSPOINTS[[#This Row],[PayScalePointCode]]&amp;PSPOINTS[[#This Row],[RateDateFrom]]</f>
        <v>LS_INNL0945901</v>
      </c>
      <c r="D254" s="57">
        <f>COUNTIF(PSPOINTS[Pay Scale String Duplicates],PSPOINTS[[#This Row],[Pay Scale String Duplicates]])-1</f>
        <v>0</v>
      </c>
      <c r="E254" s="57">
        <f>IF((MONTH(_xlfn.XLOOKUP(PSPOINTS[[#This Row],[PayScaleCode]],'19_PayScales'!N:N,'19_PayScales'!R:R)))=MONTH(PSPOINTS[[#This Row],[RateDateFrom]]),0,1)</f>
        <v>0</v>
      </c>
      <c r="F254" s="57">
        <f>IF(ISBLANK(PSPOINTS[[#This Row],[RateDateTo]]),0,IF(PSPOINTS[[#This Row],[RateDateFrom]]&lt;PSPOINTS[[#This Row],[RateDateTo]],0,1))</f>
        <v>0</v>
      </c>
      <c r="G254" s="57" cm="1">
        <f t="array" aca="1" ref="G254" ca="1">IF(CELL("format",PSPOINTS[[#This Row],[RateDateFrom]])="D1",0,1)+IF(CELL("format",PSPOINTS[[#This Row],[RateDateTo]])="D1",0,1)</f>
        <v>0</v>
      </c>
      <c r="H254" s="57">
        <f>IF(OR(PSPOINTS[[#This Row],[Hourly]]=TRUE,PSPOINTS[[#This Row],[Hourly]]=FALSE),IF(OR(PSPOINTS[[#This Row],[PayScalePointEnabled]]=TRUE,PSPOINTS[[#This Row],[PayScalePointEnabled]]=FALSE),0,1),1)</f>
        <v>0</v>
      </c>
      <c r="I254" s="57">
        <f>IF(LEN(PSPOINTS[[#This Row],[PayScalePointCode]])&lt;100,0,1)</f>
        <v>0</v>
      </c>
      <c r="J254" s="57">
        <f>IF(LEN(PSPOINTS[[#This Row],[PayScalePointTitle]])&lt;100,0,1)</f>
        <v>0</v>
      </c>
      <c r="K254" s="57">
        <f>(COUNTBLANK(PSPOINTS[[#This Row],[PayScalePointCode]:[RateDateFrom]])+COUNTBLANK(PSPOINTS[[#This Row],[PayScaleRate]]))</f>
        <v>0</v>
      </c>
      <c r="L254" s="120">
        <f>IF(SUBSTITUTE(TEXT(PSPOINTS[[#This Row],[PayScaleCode]],10)," ","")=TEXT(PSPOINTS[[#This Row],[PayScaleCode]],10),0,1)+IF(SUBSTITUTE(TEXT(PSPOINTS[[#This Row],[PayScalePointCode]],10)," ","")=TEXT(PSPOINTS[[#This Row],[PayScalePointCode]],10),0,1)</f>
        <v>0</v>
      </c>
      <c r="M254" s="57">
        <f ca="1">SUM(PSPOINTS[[#This Row],[Scale Point Issue]:[Space in Code]])</f>
        <v>0</v>
      </c>
      <c r="N254" s="57" t="s">
        <v>1401</v>
      </c>
      <c r="P254" s="12" t="s">
        <v>1408</v>
      </c>
      <c r="Q254" s="57" t="str">
        <f>_xlfn.XLOOKUP(PSPOINTS[[#This Row],[PayScaleCode]],'19_PayScales'!N:N,'19_PayScales'!O:O)</f>
        <v>Leadership Group Inner</v>
      </c>
      <c r="R254" s="12" t="s">
        <v>1551</v>
      </c>
      <c r="S254" s="12" t="s">
        <v>1551</v>
      </c>
      <c r="T254" s="12">
        <v>9</v>
      </c>
      <c r="U254" s="12" t="b">
        <v>0</v>
      </c>
      <c r="V254" s="15" t="b">
        <v>1</v>
      </c>
      <c r="W254" s="164">
        <v>45901</v>
      </c>
      <c r="X254" s="140"/>
      <c r="Y254" s="162">
        <v>72858</v>
      </c>
    </row>
    <row r="255" spans="1:25" hidden="1" x14ac:dyDescent="0.25">
      <c r="A255" s="158" t="str">
        <f>PSPOINTS[[#This Row],[PayScaleCode]]&amp;PSPOINTS[[#This Row],[RateDateFrom]]</f>
        <v>LS_INN45901</v>
      </c>
      <c r="B255" s="57">
        <f t="shared" si="3"/>
        <v>0</v>
      </c>
      <c r="C255" s="57" t="str">
        <f>PSPOINTS[[#This Row],[PayScaleCode]]&amp;PSPOINTS[[#This Row],[PayScalePointCode]]&amp;PSPOINTS[[#This Row],[RateDateFrom]]</f>
        <v>LS_INNL1045901</v>
      </c>
      <c r="D255" s="57">
        <f>COUNTIF(PSPOINTS[Pay Scale String Duplicates],PSPOINTS[[#This Row],[Pay Scale String Duplicates]])-1</f>
        <v>0</v>
      </c>
      <c r="E255" s="57">
        <f>IF((MONTH(_xlfn.XLOOKUP(PSPOINTS[[#This Row],[PayScaleCode]],'19_PayScales'!N:N,'19_PayScales'!R:R)))=MONTH(PSPOINTS[[#This Row],[RateDateFrom]]),0,1)</f>
        <v>0</v>
      </c>
      <c r="F255" s="57">
        <f>IF(ISBLANK(PSPOINTS[[#This Row],[RateDateTo]]),0,IF(PSPOINTS[[#This Row],[RateDateFrom]]&lt;PSPOINTS[[#This Row],[RateDateTo]],0,1))</f>
        <v>0</v>
      </c>
      <c r="G255" s="57" cm="1">
        <f t="array" aca="1" ref="G255" ca="1">IF(CELL("format",PSPOINTS[[#This Row],[RateDateFrom]])="D1",0,1)+IF(CELL("format",PSPOINTS[[#This Row],[RateDateTo]])="D1",0,1)</f>
        <v>0</v>
      </c>
      <c r="H255" s="57">
        <f>IF(OR(PSPOINTS[[#This Row],[Hourly]]=TRUE,PSPOINTS[[#This Row],[Hourly]]=FALSE),IF(OR(PSPOINTS[[#This Row],[PayScalePointEnabled]]=TRUE,PSPOINTS[[#This Row],[PayScalePointEnabled]]=FALSE),0,1),1)</f>
        <v>0</v>
      </c>
      <c r="I255" s="57">
        <f>IF(LEN(PSPOINTS[[#This Row],[PayScalePointCode]])&lt;100,0,1)</f>
        <v>0</v>
      </c>
      <c r="J255" s="57">
        <f>IF(LEN(PSPOINTS[[#This Row],[PayScalePointTitle]])&lt;100,0,1)</f>
        <v>0</v>
      </c>
      <c r="K255" s="57">
        <f>(COUNTBLANK(PSPOINTS[[#This Row],[PayScalePointCode]:[RateDateFrom]])+COUNTBLANK(PSPOINTS[[#This Row],[PayScaleRate]]))</f>
        <v>0</v>
      </c>
      <c r="L255" s="120">
        <f>IF(SUBSTITUTE(TEXT(PSPOINTS[[#This Row],[PayScaleCode]],10)," ","")=TEXT(PSPOINTS[[#This Row],[PayScaleCode]],10),0,1)+IF(SUBSTITUTE(TEXT(PSPOINTS[[#This Row],[PayScalePointCode]],10)," ","")=TEXT(PSPOINTS[[#This Row],[PayScalePointCode]],10),0,1)</f>
        <v>0</v>
      </c>
      <c r="M255" s="57">
        <f ca="1">SUM(PSPOINTS[[#This Row],[Scale Point Issue]:[Space in Code]])</f>
        <v>0</v>
      </c>
      <c r="N255" s="57" t="s">
        <v>1401</v>
      </c>
      <c r="P255" s="12" t="s">
        <v>1408</v>
      </c>
      <c r="Q255" s="57" t="str">
        <f>_xlfn.XLOOKUP(PSPOINTS[[#This Row],[PayScaleCode]],'19_PayScales'!N:N,'19_PayScales'!O:O)</f>
        <v>Leadership Group Inner</v>
      </c>
      <c r="R255" s="12" t="s">
        <v>1552</v>
      </c>
      <c r="S255" s="12" t="s">
        <v>1552</v>
      </c>
      <c r="T255" s="12">
        <v>10</v>
      </c>
      <c r="U255" s="12" t="b">
        <v>0</v>
      </c>
      <c r="V255" s="15" t="b">
        <v>1</v>
      </c>
      <c r="W255" s="164">
        <v>45901</v>
      </c>
      <c r="X255" s="140"/>
      <c r="Y255" s="162">
        <v>74479</v>
      </c>
    </row>
    <row r="256" spans="1:25" hidden="1" x14ac:dyDescent="0.25">
      <c r="A256" s="158" t="str">
        <f>PSPOINTS[[#This Row],[PayScaleCode]]&amp;PSPOINTS[[#This Row],[RateDateFrom]]</f>
        <v>LS_INN45901</v>
      </c>
      <c r="B256" s="57">
        <f t="shared" si="3"/>
        <v>0</v>
      </c>
      <c r="C256" s="57" t="str">
        <f>PSPOINTS[[#This Row],[PayScaleCode]]&amp;PSPOINTS[[#This Row],[PayScalePointCode]]&amp;PSPOINTS[[#This Row],[RateDateFrom]]</f>
        <v>LS_INNL1145901</v>
      </c>
      <c r="D256" s="57">
        <f>COUNTIF(PSPOINTS[Pay Scale String Duplicates],PSPOINTS[[#This Row],[Pay Scale String Duplicates]])-1</f>
        <v>0</v>
      </c>
      <c r="E256" s="57">
        <f>IF((MONTH(_xlfn.XLOOKUP(PSPOINTS[[#This Row],[PayScaleCode]],'19_PayScales'!N:N,'19_PayScales'!R:R)))=MONTH(PSPOINTS[[#This Row],[RateDateFrom]]),0,1)</f>
        <v>0</v>
      </c>
      <c r="F256" s="57">
        <f>IF(ISBLANK(PSPOINTS[[#This Row],[RateDateTo]]),0,IF(PSPOINTS[[#This Row],[RateDateFrom]]&lt;PSPOINTS[[#This Row],[RateDateTo]],0,1))</f>
        <v>0</v>
      </c>
      <c r="G256" s="57" cm="1">
        <f t="array" aca="1" ref="G256" ca="1">IF(CELL("format",PSPOINTS[[#This Row],[RateDateFrom]])="D1",0,1)+IF(CELL("format",PSPOINTS[[#This Row],[RateDateTo]])="D1",0,1)</f>
        <v>0</v>
      </c>
      <c r="H256" s="57">
        <f>IF(OR(PSPOINTS[[#This Row],[Hourly]]=TRUE,PSPOINTS[[#This Row],[Hourly]]=FALSE),IF(OR(PSPOINTS[[#This Row],[PayScalePointEnabled]]=TRUE,PSPOINTS[[#This Row],[PayScalePointEnabled]]=FALSE),0,1),1)</f>
        <v>0</v>
      </c>
      <c r="I256" s="57">
        <f>IF(LEN(PSPOINTS[[#This Row],[PayScalePointCode]])&lt;100,0,1)</f>
        <v>0</v>
      </c>
      <c r="J256" s="57">
        <f>IF(LEN(PSPOINTS[[#This Row],[PayScalePointTitle]])&lt;100,0,1)</f>
        <v>0</v>
      </c>
      <c r="K256" s="57">
        <f>(COUNTBLANK(PSPOINTS[[#This Row],[PayScalePointCode]:[RateDateFrom]])+COUNTBLANK(PSPOINTS[[#This Row],[PayScaleRate]]))</f>
        <v>0</v>
      </c>
      <c r="L256" s="120">
        <f>IF(SUBSTITUTE(TEXT(PSPOINTS[[#This Row],[PayScaleCode]],10)," ","")=TEXT(PSPOINTS[[#This Row],[PayScaleCode]],10),0,1)+IF(SUBSTITUTE(TEXT(PSPOINTS[[#This Row],[PayScalePointCode]],10)," ","")=TEXT(PSPOINTS[[#This Row],[PayScalePointCode]],10),0,1)</f>
        <v>0</v>
      </c>
      <c r="M256" s="57">
        <f ca="1">SUM(PSPOINTS[[#This Row],[Scale Point Issue]:[Space in Code]])</f>
        <v>0</v>
      </c>
      <c r="N256" s="57" t="s">
        <v>1401</v>
      </c>
      <c r="P256" s="12" t="s">
        <v>1408</v>
      </c>
      <c r="Q256" s="57" t="str">
        <f>_xlfn.XLOOKUP(PSPOINTS[[#This Row],[PayScaleCode]],'19_PayScales'!N:N,'19_PayScales'!O:O)</f>
        <v>Leadership Group Inner</v>
      </c>
      <c r="R256" s="12" t="s">
        <v>1553</v>
      </c>
      <c r="S256" s="12" t="s">
        <v>1553</v>
      </c>
      <c r="T256" s="12">
        <v>11</v>
      </c>
      <c r="U256" s="12" t="b">
        <v>0</v>
      </c>
      <c r="V256" s="15" t="b">
        <v>1</v>
      </c>
      <c r="W256" s="164">
        <v>45901</v>
      </c>
      <c r="X256" s="140"/>
      <c r="Y256" s="162">
        <v>76154</v>
      </c>
    </row>
    <row r="257" spans="1:25" hidden="1" x14ac:dyDescent="0.25">
      <c r="A257" s="158" t="str">
        <f>PSPOINTS[[#This Row],[PayScaleCode]]&amp;PSPOINTS[[#This Row],[RateDateFrom]]</f>
        <v>LS_INN45901</v>
      </c>
      <c r="B257" s="57">
        <f t="shared" si="3"/>
        <v>0</v>
      </c>
      <c r="C257" s="57" t="str">
        <f>PSPOINTS[[#This Row],[PayScaleCode]]&amp;PSPOINTS[[#This Row],[PayScalePointCode]]&amp;PSPOINTS[[#This Row],[RateDateFrom]]</f>
        <v>LS_INNL1245901</v>
      </c>
      <c r="D257" s="57">
        <f>COUNTIF(PSPOINTS[Pay Scale String Duplicates],PSPOINTS[[#This Row],[Pay Scale String Duplicates]])-1</f>
        <v>0</v>
      </c>
      <c r="E257" s="57">
        <f>IF((MONTH(_xlfn.XLOOKUP(PSPOINTS[[#This Row],[PayScaleCode]],'19_PayScales'!N:N,'19_PayScales'!R:R)))=MONTH(PSPOINTS[[#This Row],[RateDateFrom]]),0,1)</f>
        <v>0</v>
      </c>
      <c r="F257" s="57">
        <f>IF(ISBLANK(PSPOINTS[[#This Row],[RateDateTo]]),0,IF(PSPOINTS[[#This Row],[RateDateFrom]]&lt;PSPOINTS[[#This Row],[RateDateTo]],0,1))</f>
        <v>0</v>
      </c>
      <c r="G257" s="57" cm="1">
        <f t="array" aca="1" ref="G257" ca="1">IF(CELL("format",PSPOINTS[[#This Row],[RateDateFrom]])="D1",0,1)+IF(CELL("format",PSPOINTS[[#This Row],[RateDateTo]])="D1",0,1)</f>
        <v>0</v>
      </c>
      <c r="H257" s="57">
        <f>IF(OR(PSPOINTS[[#This Row],[Hourly]]=TRUE,PSPOINTS[[#This Row],[Hourly]]=FALSE),IF(OR(PSPOINTS[[#This Row],[PayScalePointEnabled]]=TRUE,PSPOINTS[[#This Row],[PayScalePointEnabled]]=FALSE),0,1),1)</f>
        <v>0</v>
      </c>
      <c r="I257" s="57">
        <f>IF(LEN(PSPOINTS[[#This Row],[PayScalePointCode]])&lt;100,0,1)</f>
        <v>0</v>
      </c>
      <c r="J257" s="57">
        <f>IF(LEN(PSPOINTS[[#This Row],[PayScalePointTitle]])&lt;100,0,1)</f>
        <v>0</v>
      </c>
      <c r="K257" s="57">
        <f>(COUNTBLANK(PSPOINTS[[#This Row],[PayScalePointCode]:[RateDateFrom]])+COUNTBLANK(PSPOINTS[[#This Row],[PayScaleRate]]))</f>
        <v>0</v>
      </c>
      <c r="L257" s="120">
        <f>IF(SUBSTITUTE(TEXT(PSPOINTS[[#This Row],[PayScaleCode]],10)," ","")=TEXT(PSPOINTS[[#This Row],[PayScaleCode]],10),0,1)+IF(SUBSTITUTE(TEXT(PSPOINTS[[#This Row],[PayScalePointCode]],10)," ","")=TEXT(PSPOINTS[[#This Row],[PayScalePointCode]],10),0,1)</f>
        <v>0</v>
      </c>
      <c r="M257" s="57">
        <f ca="1">SUM(PSPOINTS[[#This Row],[Scale Point Issue]:[Space in Code]])</f>
        <v>0</v>
      </c>
      <c r="N257" s="57" t="s">
        <v>1401</v>
      </c>
      <c r="P257" s="12" t="s">
        <v>1408</v>
      </c>
      <c r="Q257" s="57" t="str">
        <f>_xlfn.XLOOKUP(PSPOINTS[[#This Row],[PayScaleCode]],'19_PayScales'!N:N,'19_PayScales'!O:O)</f>
        <v>Leadership Group Inner</v>
      </c>
      <c r="R257" s="12" t="s">
        <v>1554</v>
      </c>
      <c r="S257" s="12" t="s">
        <v>1554</v>
      </c>
      <c r="T257" s="12">
        <v>12</v>
      </c>
      <c r="U257" s="12" t="b">
        <v>0</v>
      </c>
      <c r="V257" s="15" t="b">
        <v>1</v>
      </c>
      <c r="W257" s="164">
        <v>45901</v>
      </c>
      <c r="X257" s="140"/>
      <c r="Y257" s="162">
        <v>77691</v>
      </c>
    </row>
    <row r="258" spans="1:25" hidden="1" x14ac:dyDescent="0.25">
      <c r="A258" s="158" t="str">
        <f>PSPOINTS[[#This Row],[PayScaleCode]]&amp;PSPOINTS[[#This Row],[RateDateFrom]]</f>
        <v>LS_INN45901</v>
      </c>
      <c r="B258" s="57">
        <f t="shared" si="3"/>
        <v>0</v>
      </c>
      <c r="C258" s="57" t="str">
        <f>PSPOINTS[[#This Row],[PayScaleCode]]&amp;PSPOINTS[[#This Row],[PayScalePointCode]]&amp;PSPOINTS[[#This Row],[RateDateFrom]]</f>
        <v>LS_INNL1345901</v>
      </c>
      <c r="D258" s="57">
        <f>COUNTIF(PSPOINTS[Pay Scale String Duplicates],PSPOINTS[[#This Row],[Pay Scale String Duplicates]])-1</f>
        <v>0</v>
      </c>
      <c r="E258" s="57">
        <f>IF((MONTH(_xlfn.XLOOKUP(PSPOINTS[[#This Row],[PayScaleCode]],'19_PayScales'!N:N,'19_PayScales'!R:R)))=MONTH(PSPOINTS[[#This Row],[RateDateFrom]]),0,1)</f>
        <v>0</v>
      </c>
      <c r="F258" s="57">
        <f>IF(ISBLANK(PSPOINTS[[#This Row],[RateDateTo]]),0,IF(PSPOINTS[[#This Row],[RateDateFrom]]&lt;PSPOINTS[[#This Row],[RateDateTo]],0,1))</f>
        <v>0</v>
      </c>
      <c r="G258" s="57" cm="1">
        <f t="array" aca="1" ref="G258" ca="1">IF(CELL("format",PSPOINTS[[#This Row],[RateDateFrom]])="D1",0,1)+IF(CELL("format",PSPOINTS[[#This Row],[RateDateTo]])="D1",0,1)</f>
        <v>0</v>
      </c>
      <c r="H258" s="57">
        <f>IF(OR(PSPOINTS[[#This Row],[Hourly]]=TRUE,PSPOINTS[[#This Row],[Hourly]]=FALSE),IF(OR(PSPOINTS[[#This Row],[PayScalePointEnabled]]=TRUE,PSPOINTS[[#This Row],[PayScalePointEnabled]]=FALSE),0,1),1)</f>
        <v>0</v>
      </c>
      <c r="I258" s="57">
        <f>IF(LEN(PSPOINTS[[#This Row],[PayScalePointCode]])&lt;100,0,1)</f>
        <v>0</v>
      </c>
      <c r="J258" s="57">
        <f>IF(LEN(PSPOINTS[[#This Row],[PayScalePointTitle]])&lt;100,0,1)</f>
        <v>0</v>
      </c>
      <c r="K258" s="57">
        <f>(COUNTBLANK(PSPOINTS[[#This Row],[PayScalePointCode]:[RateDateFrom]])+COUNTBLANK(PSPOINTS[[#This Row],[PayScaleRate]]))</f>
        <v>0</v>
      </c>
      <c r="L258" s="120">
        <f>IF(SUBSTITUTE(TEXT(PSPOINTS[[#This Row],[PayScaleCode]],10)," ","")=TEXT(PSPOINTS[[#This Row],[PayScaleCode]],10),0,1)+IF(SUBSTITUTE(TEXT(PSPOINTS[[#This Row],[PayScalePointCode]],10)," ","")=TEXT(PSPOINTS[[#This Row],[PayScalePointCode]],10),0,1)</f>
        <v>0</v>
      </c>
      <c r="M258" s="57">
        <f ca="1">SUM(PSPOINTS[[#This Row],[Scale Point Issue]:[Space in Code]])</f>
        <v>0</v>
      </c>
      <c r="N258" s="57" t="s">
        <v>1401</v>
      </c>
      <c r="P258" s="12" t="s">
        <v>1408</v>
      </c>
      <c r="Q258" s="57" t="str">
        <f>_xlfn.XLOOKUP(PSPOINTS[[#This Row],[PayScaleCode]],'19_PayScales'!N:N,'19_PayScales'!O:O)</f>
        <v>Leadership Group Inner</v>
      </c>
      <c r="R258" s="12" t="s">
        <v>1555</v>
      </c>
      <c r="S258" s="12" t="s">
        <v>1555</v>
      </c>
      <c r="T258" s="12">
        <v>13</v>
      </c>
      <c r="U258" s="12" t="b">
        <v>0</v>
      </c>
      <c r="V258" s="15" t="b">
        <v>1</v>
      </c>
      <c r="W258" s="164">
        <v>45901</v>
      </c>
      <c r="X258" s="140"/>
      <c r="Y258" s="162">
        <v>79385</v>
      </c>
    </row>
    <row r="259" spans="1:25" hidden="1" x14ac:dyDescent="0.25">
      <c r="A259" s="158" t="str">
        <f>PSPOINTS[[#This Row],[PayScaleCode]]&amp;PSPOINTS[[#This Row],[RateDateFrom]]</f>
        <v>LS_INN45901</v>
      </c>
      <c r="B259" s="57">
        <f t="shared" si="3"/>
        <v>0</v>
      </c>
      <c r="C259" s="57" t="str">
        <f>PSPOINTS[[#This Row],[PayScaleCode]]&amp;PSPOINTS[[#This Row],[PayScalePointCode]]&amp;PSPOINTS[[#This Row],[RateDateFrom]]</f>
        <v>LS_INNL1445901</v>
      </c>
      <c r="D259" s="57">
        <f>COUNTIF(PSPOINTS[Pay Scale String Duplicates],PSPOINTS[[#This Row],[Pay Scale String Duplicates]])-1</f>
        <v>0</v>
      </c>
      <c r="E259" s="57">
        <f>IF((MONTH(_xlfn.XLOOKUP(PSPOINTS[[#This Row],[PayScaleCode]],'19_PayScales'!N:N,'19_PayScales'!R:R)))=MONTH(PSPOINTS[[#This Row],[RateDateFrom]]),0,1)</f>
        <v>0</v>
      </c>
      <c r="F259" s="57">
        <f>IF(ISBLANK(PSPOINTS[[#This Row],[RateDateTo]]),0,IF(PSPOINTS[[#This Row],[RateDateFrom]]&lt;PSPOINTS[[#This Row],[RateDateTo]],0,1))</f>
        <v>0</v>
      </c>
      <c r="G259" s="57" cm="1">
        <f t="array" aca="1" ref="G259" ca="1">IF(CELL("format",PSPOINTS[[#This Row],[RateDateFrom]])="D1",0,1)+IF(CELL("format",PSPOINTS[[#This Row],[RateDateTo]])="D1",0,1)</f>
        <v>0</v>
      </c>
      <c r="H259" s="57">
        <f>IF(OR(PSPOINTS[[#This Row],[Hourly]]=TRUE,PSPOINTS[[#This Row],[Hourly]]=FALSE),IF(OR(PSPOINTS[[#This Row],[PayScalePointEnabled]]=TRUE,PSPOINTS[[#This Row],[PayScalePointEnabled]]=FALSE),0,1),1)</f>
        <v>0</v>
      </c>
      <c r="I259" s="57">
        <f>IF(LEN(PSPOINTS[[#This Row],[PayScalePointCode]])&lt;100,0,1)</f>
        <v>0</v>
      </c>
      <c r="J259" s="57">
        <f>IF(LEN(PSPOINTS[[#This Row],[PayScalePointTitle]])&lt;100,0,1)</f>
        <v>0</v>
      </c>
      <c r="K259" s="57">
        <f>(COUNTBLANK(PSPOINTS[[#This Row],[PayScalePointCode]:[RateDateFrom]])+COUNTBLANK(PSPOINTS[[#This Row],[PayScaleRate]]))</f>
        <v>0</v>
      </c>
      <c r="L259" s="120">
        <f>IF(SUBSTITUTE(TEXT(PSPOINTS[[#This Row],[PayScaleCode]],10)," ","")=TEXT(PSPOINTS[[#This Row],[PayScaleCode]],10),0,1)+IF(SUBSTITUTE(TEXT(PSPOINTS[[#This Row],[PayScalePointCode]],10)," ","")=TEXT(PSPOINTS[[#This Row],[PayScalePointCode]],10),0,1)</f>
        <v>0</v>
      </c>
      <c r="M259" s="57">
        <f ca="1">SUM(PSPOINTS[[#This Row],[Scale Point Issue]:[Space in Code]])</f>
        <v>0</v>
      </c>
      <c r="N259" s="57" t="s">
        <v>1401</v>
      </c>
      <c r="P259" s="12" t="s">
        <v>1408</v>
      </c>
      <c r="Q259" s="57" t="str">
        <f>_xlfn.XLOOKUP(PSPOINTS[[#This Row],[PayScaleCode]],'19_PayScales'!N:N,'19_PayScales'!O:O)</f>
        <v>Leadership Group Inner</v>
      </c>
      <c r="R259" s="12" t="s">
        <v>1556</v>
      </c>
      <c r="S259" s="12" t="s">
        <v>1556</v>
      </c>
      <c r="T259" s="12">
        <v>14</v>
      </c>
      <c r="U259" s="12" t="b">
        <v>0</v>
      </c>
      <c r="V259" s="15" t="b">
        <v>1</v>
      </c>
      <c r="W259" s="164">
        <v>45901</v>
      </c>
      <c r="X259" s="140"/>
      <c r="Y259" s="162">
        <v>81120</v>
      </c>
    </row>
    <row r="260" spans="1:25" hidden="1" x14ac:dyDescent="0.25">
      <c r="A260" s="158" t="str">
        <f>PSPOINTS[[#This Row],[PayScaleCode]]&amp;PSPOINTS[[#This Row],[RateDateFrom]]</f>
        <v>LS_INN45901</v>
      </c>
      <c r="B260" s="57">
        <f t="shared" si="3"/>
        <v>0</v>
      </c>
      <c r="C260" s="57" t="str">
        <f>PSPOINTS[[#This Row],[PayScaleCode]]&amp;PSPOINTS[[#This Row],[PayScalePointCode]]&amp;PSPOINTS[[#This Row],[RateDateFrom]]</f>
        <v>LS_INNL1545901</v>
      </c>
      <c r="D260" s="57">
        <f>COUNTIF(PSPOINTS[Pay Scale String Duplicates],PSPOINTS[[#This Row],[Pay Scale String Duplicates]])-1</f>
        <v>0</v>
      </c>
      <c r="E260" s="57">
        <f>IF((MONTH(_xlfn.XLOOKUP(PSPOINTS[[#This Row],[PayScaleCode]],'19_PayScales'!N:N,'19_PayScales'!R:R)))=MONTH(PSPOINTS[[#This Row],[RateDateFrom]]),0,1)</f>
        <v>0</v>
      </c>
      <c r="F260" s="57">
        <f>IF(ISBLANK(PSPOINTS[[#This Row],[RateDateTo]]),0,IF(PSPOINTS[[#This Row],[RateDateFrom]]&lt;PSPOINTS[[#This Row],[RateDateTo]],0,1))</f>
        <v>0</v>
      </c>
      <c r="G260" s="57" cm="1">
        <f t="array" aca="1" ref="G260" ca="1">IF(CELL("format",PSPOINTS[[#This Row],[RateDateFrom]])="D1",0,1)+IF(CELL("format",PSPOINTS[[#This Row],[RateDateTo]])="D1",0,1)</f>
        <v>0</v>
      </c>
      <c r="H260" s="57">
        <f>IF(OR(PSPOINTS[[#This Row],[Hourly]]=TRUE,PSPOINTS[[#This Row],[Hourly]]=FALSE),IF(OR(PSPOINTS[[#This Row],[PayScalePointEnabled]]=TRUE,PSPOINTS[[#This Row],[PayScalePointEnabled]]=FALSE),0,1),1)</f>
        <v>0</v>
      </c>
      <c r="I260" s="57">
        <f>IF(LEN(PSPOINTS[[#This Row],[PayScalePointCode]])&lt;100,0,1)</f>
        <v>0</v>
      </c>
      <c r="J260" s="57">
        <f>IF(LEN(PSPOINTS[[#This Row],[PayScalePointTitle]])&lt;100,0,1)</f>
        <v>0</v>
      </c>
      <c r="K260" s="57">
        <f>(COUNTBLANK(PSPOINTS[[#This Row],[PayScalePointCode]:[RateDateFrom]])+COUNTBLANK(PSPOINTS[[#This Row],[PayScaleRate]]))</f>
        <v>0</v>
      </c>
      <c r="L260" s="120">
        <f>IF(SUBSTITUTE(TEXT(PSPOINTS[[#This Row],[PayScaleCode]],10)," ","")=TEXT(PSPOINTS[[#This Row],[PayScaleCode]],10),0,1)+IF(SUBSTITUTE(TEXT(PSPOINTS[[#This Row],[PayScalePointCode]],10)," ","")=TEXT(PSPOINTS[[#This Row],[PayScalePointCode]],10),0,1)</f>
        <v>0</v>
      </c>
      <c r="M260" s="57">
        <f ca="1">SUM(PSPOINTS[[#This Row],[Scale Point Issue]:[Space in Code]])</f>
        <v>0</v>
      </c>
      <c r="N260" s="57" t="s">
        <v>1401</v>
      </c>
      <c r="P260" s="12" t="s">
        <v>1408</v>
      </c>
      <c r="Q260" s="57" t="str">
        <f>_xlfn.XLOOKUP(PSPOINTS[[#This Row],[PayScaleCode]],'19_PayScales'!N:N,'19_PayScales'!O:O)</f>
        <v>Leadership Group Inner</v>
      </c>
      <c r="R260" s="12" t="s">
        <v>1557</v>
      </c>
      <c r="S260" s="12" t="s">
        <v>1557</v>
      </c>
      <c r="T260" s="12">
        <v>15</v>
      </c>
      <c r="U260" s="12" t="b">
        <v>0</v>
      </c>
      <c r="V260" s="15" t="b">
        <v>1</v>
      </c>
      <c r="W260" s="164">
        <v>45901</v>
      </c>
      <c r="X260" s="140"/>
      <c r="Y260" s="162">
        <v>82888</v>
      </c>
    </row>
    <row r="261" spans="1:25" hidden="1" x14ac:dyDescent="0.25">
      <c r="A261" s="158" t="str">
        <f>PSPOINTS[[#This Row],[PayScaleCode]]&amp;PSPOINTS[[#This Row],[RateDateFrom]]</f>
        <v>LS_INN45901</v>
      </c>
      <c r="B261" s="57">
        <f t="shared" si="3"/>
        <v>0</v>
      </c>
      <c r="C261" s="57" t="str">
        <f>PSPOINTS[[#This Row],[PayScaleCode]]&amp;PSPOINTS[[#This Row],[PayScalePointCode]]&amp;PSPOINTS[[#This Row],[RateDateFrom]]</f>
        <v>LS_INNL1645901</v>
      </c>
      <c r="D261" s="57">
        <f>COUNTIF(PSPOINTS[Pay Scale String Duplicates],PSPOINTS[[#This Row],[Pay Scale String Duplicates]])-1</f>
        <v>0</v>
      </c>
      <c r="E261" s="57">
        <f>IF((MONTH(_xlfn.XLOOKUP(PSPOINTS[[#This Row],[PayScaleCode]],'19_PayScales'!N:N,'19_PayScales'!R:R)))=MONTH(PSPOINTS[[#This Row],[RateDateFrom]]),0,1)</f>
        <v>0</v>
      </c>
      <c r="F261" s="57">
        <f>IF(ISBLANK(PSPOINTS[[#This Row],[RateDateTo]]),0,IF(PSPOINTS[[#This Row],[RateDateFrom]]&lt;PSPOINTS[[#This Row],[RateDateTo]],0,1))</f>
        <v>0</v>
      </c>
      <c r="G261" s="57" cm="1">
        <f t="array" aca="1" ref="G261" ca="1">IF(CELL("format",PSPOINTS[[#This Row],[RateDateFrom]])="D1",0,1)+IF(CELL("format",PSPOINTS[[#This Row],[RateDateTo]])="D1",0,1)</f>
        <v>0</v>
      </c>
      <c r="H261" s="57">
        <f>IF(OR(PSPOINTS[[#This Row],[Hourly]]=TRUE,PSPOINTS[[#This Row],[Hourly]]=FALSE),IF(OR(PSPOINTS[[#This Row],[PayScalePointEnabled]]=TRUE,PSPOINTS[[#This Row],[PayScalePointEnabled]]=FALSE),0,1),1)</f>
        <v>0</v>
      </c>
      <c r="I261" s="57">
        <f>IF(LEN(PSPOINTS[[#This Row],[PayScalePointCode]])&lt;100,0,1)</f>
        <v>0</v>
      </c>
      <c r="J261" s="57">
        <f>IF(LEN(PSPOINTS[[#This Row],[PayScalePointTitle]])&lt;100,0,1)</f>
        <v>0</v>
      </c>
      <c r="K261" s="57">
        <f>(COUNTBLANK(PSPOINTS[[#This Row],[PayScalePointCode]:[RateDateFrom]])+COUNTBLANK(PSPOINTS[[#This Row],[PayScaleRate]]))</f>
        <v>0</v>
      </c>
      <c r="L261" s="120">
        <f>IF(SUBSTITUTE(TEXT(PSPOINTS[[#This Row],[PayScaleCode]],10)," ","")=TEXT(PSPOINTS[[#This Row],[PayScaleCode]],10),0,1)+IF(SUBSTITUTE(TEXT(PSPOINTS[[#This Row],[PayScalePointCode]],10)," ","")=TEXT(PSPOINTS[[#This Row],[PayScalePointCode]],10),0,1)</f>
        <v>0</v>
      </c>
      <c r="M261" s="57">
        <f ca="1">SUM(PSPOINTS[[#This Row],[Scale Point Issue]:[Space in Code]])</f>
        <v>0</v>
      </c>
      <c r="N261" s="57" t="s">
        <v>1401</v>
      </c>
      <c r="P261" s="12" t="s">
        <v>1408</v>
      </c>
      <c r="Q261" s="57" t="str">
        <f>_xlfn.XLOOKUP(PSPOINTS[[#This Row],[PayScaleCode]],'19_PayScales'!N:N,'19_PayScales'!O:O)</f>
        <v>Leadership Group Inner</v>
      </c>
      <c r="R261" s="12" t="s">
        <v>1558</v>
      </c>
      <c r="S261" s="12" t="s">
        <v>1558</v>
      </c>
      <c r="T261" s="12">
        <v>16</v>
      </c>
      <c r="U261" s="12" t="b">
        <v>0</v>
      </c>
      <c r="V261" s="15" t="b">
        <v>1</v>
      </c>
      <c r="W261" s="164">
        <v>45901</v>
      </c>
      <c r="X261" s="140"/>
      <c r="Y261" s="162">
        <v>84841</v>
      </c>
    </row>
    <row r="262" spans="1:25" hidden="1" x14ac:dyDescent="0.25">
      <c r="A262" s="158" t="str">
        <f>PSPOINTS[[#This Row],[PayScaleCode]]&amp;PSPOINTS[[#This Row],[RateDateFrom]]</f>
        <v>LS_INN45901</v>
      </c>
      <c r="B262" s="57">
        <f t="shared" ref="B262:B325" si="4">IF(A262=A261,SUM(T262-T261)-1,T262-1)</f>
        <v>0</v>
      </c>
      <c r="C262" s="57" t="str">
        <f>PSPOINTS[[#This Row],[PayScaleCode]]&amp;PSPOINTS[[#This Row],[PayScalePointCode]]&amp;PSPOINTS[[#This Row],[RateDateFrom]]</f>
        <v>LS_INNL1745901</v>
      </c>
      <c r="D262" s="57">
        <f>COUNTIF(PSPOINTS[Pay Scale String Duplicates],PSPOINTS[[#This Row],[Pay Scale String Duplicates]])-1</f>
        <v>0</v>
      </c>
      <c r="E262" s="57">
        <f>IF((MONTH(_xlfn.XLOOKUP(PSPOINTS[[#This Row],[PayScaleCode]],'19_PayScales'!N:N,'19_PayScales'!R:R)))=MONTH(PSPOINTS[[#This Row],[RateDateFrom]]),0,1)</f>
        <v>0</v>
      </c>
      <c r="F262" s="57">
        <f>IF(ISBLANK(PSPOINTS[[#This Row],[RateDateTo]]),0,IF(PSPOINTS[[#This Row],[RateDateFrom]]&lt;PSPOINTS[[#This Row],[RateDateTo]],0,1))</f>
        <v>0</v>
      </c>
      <c r="G262" s="57" cm="1">
        <f t="array" aca="1" ref="G262" ca="1">IF(CELL("format",PSPOINTS[[#This Row],[RateDateFrom]])="D1",0,1)+IF(CELL("format",PSPOINTS[[#This Row],[RateDateTo]])="D1",0,1)</f>
        <v>0</v>
      </c>
      <c r="H262" s="57">
        <f>IF(OR(PSPOINTS[[#This Row],[Hourly]]=TRUE,PSPOINTS[[#This Row],[Hourly]]=FALSE),IF(OR(PSPOINTS[[#This Row],[PayScalePointEnabled]]=TRUE,PSPOINTS[[#This Row],[PayScalePointEnabled]]=FALSE),0,1),1)</f>
        <v>0</v>
      </c>
      <c r="I262" s="57">
        <f>IF(LEN(PSPOINTS[[#This Row],[PayScalePointCode]])&lt;100,0,1)</f>
        <v>0</v>
      </c>
      <c r="J262" s="57">
        <f>IF(LEN(PSPOINTS[[#This Row],[PayScalePointTitle]])&lt;100,0,1)</f>
        <v>0</v>
      </c>
      <c r="K262" s="57">
        <f>(COUNTBLANK(PSPOINTS[[#This Row],[PayScalePointCode]:[RateDateFrom]])+COUNTBLANK(PSPOINTS[[#This Row],[PayScaleRate]]))</f>
        <v>0</v>
      </c>
      <c r="L262" s="120">
        <f>IF(SUBSTITUTE(TEXT(PSPOINTS[[#This Row],[PayScaleCode]],10)," ","")=TEXT(PSPOINTS[[#This Row],[PayScaleCode]],10),0,1)+IF(SUBSTITUTE(TEXT(PSPOINTS[[#This Row],[PayScalePointCode]],10)," ","")=TEXT(PSPOINTS[[#This Row],[PayScalePointCode]],10),0,1)</f>
        <v>0</v>
      </c>
      <c r="M262" s="57">
        <f ca="1">SUM(PSPOINTS[[#This Row],[Scale Point Issue]:[Space in Code]])</f>
        <v>0</v>
      </c>
      <c r="N262" s="57" t="s">
        <v>1401</v>
      </c>
      <c r="P262" s="12" t="s">
        <v>1408</v>
      </c>
      <c r="Q262" s="57" t="str">
        <f>_xlfn.XLOOKUP(PSPOINTS[[#This Row],[PayScaleCode]],'19_PayScales'!N:N,'19_PayScales'!O:O)</f>
        <v>Leadership Group Inner</v>
      </c>
      <c r="R262" s="12" t="s">
        <v>1559</v>
      </c>
      <c r="S262" s="12" t="s">
        <v>1559</v>
      </c>
      <c r="T262" s="12">
        <v>17</v>
      </c>
      <c r="U262" s="12" t="b">
        <v>0</v>
      </c>
      <c r="V262" s="15" t="b">
        <v>1</v>
      </c>
      <c r="W262" s="164">
        <v>45901</v>
      </c>
      <c r="X262" s="140"/>
      <c r="Y262" s="162">
        <v>86566</v>
      </c>
    </row>
    <row r="263" spans="1:25" hidden="1" x14ac:dyDescent="0.25">
      <c r="A263" s="158" t="str">
        <f>PSPOINTS[[#This Row],[PayScaleCode]]&amp;PSPOINTS[[#This Row],[RateDateFrom]]</f>
        <v>LS_INN45901</v>
      </c>
      <c r="B263" s="57">
        <f t="shared" si="4"/>
        <v>0</v>
      </c>
      <c r="C263" s="57" t="str">
        <f>PSPOINTS[[#This Row],[PayScaleCode]]&amp;PSPOINTS[[#This Row],[PayScalePointCode]]&amp;PSPOINTS[[#This Row],[RateDateFrom]]</f>
        <v>LS_INNL1845901</v>
      </c>
      <c r="D263" s="57">
        <f>COUNTIF(PSPOINTS[Pay Scale String Duplicates],PSPOINTS[[#This Row],[Pay Scale String Duplicates]])-1</f>
        <v>0</v>
      </c>
      <c r="E263" s="57">
        <f>IF((MONTH(_xlfn.XLOOKUP(PSPOINTS[[#This Row],[PayScaleCode]],'19_PayScales'!N:N,'19_PayScales'!R:R)))=MONTH(PSPOINTS[[#This Row],[RateDateFrom]]),0,1)</f>
        <v>0</v>
      </c>
      <c r="F263" s="57">
        <f>IF(ISBLANK(PSPOINTS[[#This Row],[RateDateTo]]),0,IF(PSPOINTS[[#This Row],[RateDateFrom]]&lt;PSPOINTS[[#This Row],[RateDateTo]],0,1))</f>
        <v>0</v>
      </c>
      <c r="G263" s="57" cm="1">
        <f t="array" aca="1" ref="G263" ca="1">IF(CELL("format",PSPOINTS[[#This Row],[RateDateFrom]])="D1",0,1)+IF(CELL("format",PSPOINTS[[#This Row],[RateDateTo]])="D1",0,1)</f>
        <v>0</v>
      </c>
      <c r="H263" s="57">
        <f>IF(OR(PSPOINTS[[#This Row],[Hourly]]=TRUE,PSPOINTS[[#This Row],[Hourly]]=FALSE),IF(OR(PSPOINTS[[#This Row],[PayScalePointEnabled]]=TRUE,PSPOINTS[[#This Row],[PayScalePointEnabled]]=FALSE),0,1),1)</f>
        <v>0</v>
      </c>
      <c r="I263" s="57">
        <f>IF(LEN(PSPOINTS[[#This Row],[PayScalePointCode]])&lt;100,0,1)</f>
        <v>0</v>
      </c>
      <c r="J263" s="57">
        <f>IF(LEN(PSPOINTS[[#This Row],[PayScalePointTitle]])&lt;100,0,1)</f>
        <v>0</v>
      </c>
      <c r="K263" s="57">
        <f>(COUNTBLANK(PSPOINTS[[#This Row],[PayScalePointCode]:[RateDateFrom]])+COUNTBLANK(PSPOINTS[[#This Row],[PayScaleRate]]))</f>
        <v>0</v>
      </c>
      <c r="L263" s="120">
        <f>IF(SUBSTITUTE(TEXT(PSPOINTS[[#This Row],[PayScaleCode]],10)," ","")=TEXT(PSPOINTS[[#This Row],[PayScaleCode]],10),0,1)+IF(SUBSTITUTE(TEXT(PSPOINTS[[#This Row],[PayScalePointCode]],10)," ","")=TEXT(PSPOINTS[[#This Row],[PayScalePointCode]],10),0,1)</f>
        <v>0</v>
      </c>
      <c r="M263" s="57">
        <f ca="1">SUM(PSPOINTS[[#This Row],[Scale Point Issue]:[Space in Code]])</f>
        <v>0</v>
      </c>
      <c r="N263" s="57" t="s">
        <v>1401</v>
      </c>
      <c r="P263" s="12" t="s">
        <v>1408</v>
      </c>
      <c r="Q263" s="57" t="str">
        <f>_xlfn.XLOOKUP(PSPOINTS[[#This Row],[PayScaleCode]],'19_PayScales'!N:N,'19_PayScales'!O:O)</f>
        <v>Leadership Group Inner</v>
      </c>
      <c r="R263" s="12" t="s">
        <v>1560</v>
      </c>
      <c r="S263" s="12" t="s">
        <v>1560</v>
      </c>
      <c r="T263" s="12">
        <v>18</v>
      </c>
      <c r="U263" s="12" t="b">
        <v>0</v>
      </c>
      <c r="V263" s="15" t="b">
        <v>1</v>
      </c>
      <c r="W263" s="164">
        <v>45901</v>
      </c>
      <c r="X263" s="140"/>
      <c r="Y263" s="162">
        <v>88496</v>
      </c>
    </row>
    <row r="264" spans="1:25" hidden="1" x14ac:dyDescent="0.25">
      <c r="A264" s="158" t="str">
        <f>PSPOINTS[[#This Row],[PayScaleCode]]&amp;PSPOINTS[[#This Row],[RateDateFrom]]</f>
        <v>LS_INN45901</v>
      </c>
      <c r="B264" s="57">
        <f t="shared" si="4"/>
        <v>0</v>
      </c>
      <c r="C264" s="57" t="str">
        <f>PSPOINTS[[#This Row],[PayScaleCode]]&amp;PSPOINTS[[#This Row],[PayScalePointCode]]&amp;PSPOINTS[[#This Row],[RateDateFrom]]</f>
        <v>LS_INNL1945901</v>
      </c>
      <c r="D264" s="57">
        <f>COUNTIF(PSPOINTS[Pay Scale String Duplicates],PSPOINTS[[#This Row],[Pay Scale String Duplicates]])-1</f>
        <v>0</v>
      </c>
      <c r="E264" s="57">
        <f>IF((MONTH(_xlfn.XLOOKUP(PSPOINTS[[#This Row],[PayScaleCode]],'19_PayScales'!N:N,'19_PayScales'!R:R)))=MONTH(PSPOINTS[[#This Row],[RateDateFrom]]),0,1)</f>
        <v>0</v>
      </c>
      <c r="F264" s="57">
        <f>IF(ISBLANK(PSPOINTS[[#This Row],[RateDateTo]]),0,IF(PSPOINTS[[#This Row],[RateDateFrom]]&lt;PSPOINTS[[#This Row],[RateDateTo]],0,1))</f>
        <v>0</v>
      </c>
      <c r="G264" s="57" cm="1">
        <f t="array" aca="1" ref="G264" ca="1">IF(CELL("format",PSPOINTS[[#This Row],[RateDateFrom]])="D1",0,1)+IF(CELL("format",PSPOINTS[[#This Row],[RateDateTo]])="D1",0,1)</f>
        <v>0</v>
      </c>
      <c r="H264" s="57">
        <f>IF(OR(PSPOINTS[[#This Row],[Hourly]]=TRUE,PSPOINTS[[#This Row],[Hourly]]=FALSE),IF(OR(PSPOINTS[[#This Row],[PayScalePointEnabled]]=TRUE,PSPOINTS[[#This Row],[PayScalePointEnabled]]=FALSE),0,1),1)</f>
        <v>0</v>
      </c>
      <c r="I264" s="57">
        <f>IF(LEN(PSPOINTS[[#This Row],[PayScalePointCode]])&lt;100,0,1)</f>
        <v>0</v>
      </c>
      <c r="J264" s="57">
        <f>IF(LEN(PSPOINTS[[#This Row],[PayScalePointTitle]])&lt;100,0,1)</f>
        <v>0</v>
      </c>
      <c r="K264" s="57">
        <f>(COUNTBLANK(PSPOINTS[[#This Row],[PayScalePointCode]:[RateDateFrom]])+COUNTBLANK(PSPOINTS[[#This Row],[PayScaleRate]]))</f>
        <v>0</v>
      </c>
      <c r="L264" s="120">
        <f>IF(SUBSTITUTE(TEXT(PSPOINTS[[#This Row],[PayScaleCode]],10)," ","")=TEXT(PSPOINTS[[#This Row],[PayScaleCode]],10),0,1)+IF(SUBSTITUTE(TEXT(PSPOINTS[[#This Row],[PayScalePointCode]],10)," ","")=TEXT(PSPOINTS[[#This Row],[PayScalePointCode]],10),0,1)</f>
        <v>0</v>
      </c>
      <c r="M264" s="57">
        <f ca="1">SUM(PSPOINTS[[#This Row],[Scale Point Issue]:[Space in Code]])</f>
        <v>0</v>
      </c>
      <c r="N264" s="57" t="s">
        <v>1401</v>
      </c>
      <c r="P264" s="12" t="s">
        <v>1408</v>
      </c>
      <c r="Q264" s="57" t="str">
        <f>_xlfn.XLOOKUP(PSPOINTS[[#This Row],[PayScaleCode]],'19_PayScales'!N:N,'19_PayScales'!O:O)</f>
        <v>Leadership Group Inner</v>
      </c>
      <c r="R264" s="12" t="s">
        <v>1561</v>
      </c>
      <c r="S264" s="12" t="s">
        <v>1561</v>
      </c>
      <c r="T264" s="12">
        <v>19</v>
      </c>
      <c r="U264" s="12" t="b">
        <v>0</v>
      </c>
      <c r="V264" s="15" t="b">
        <v>1</v>
      </c>
      <c r="W264" s="164">
        <v>45901</v>
      </c>
      <c r="X264" s="140"/>
      <c r="Y264" s="162">
        <v>90446</v>
      </c>
    </row>
    <row r="265" spans="1:25" hidden="1" x14ac:dyDescent="0.25">
      <c r="A265" s="158" t="str">
        <f>PSPOINTS[[#This Row],[PayScaleCode]]&amp;PSPOINTS[[#This Row],[RateDateFrom]]</f>
        <v>LS_INN45901</v>
      </c>
      <c r="B265" s="57">
        <f t="shared" si="4"/>
        <v>0</v>
      </c>
      <c r="C265" s="57" t="str">
        <f>PSPOINTS[[#This Row],[PayScaleCode]]&amp;PSPOINTS[[#This Row],[PayScalePointCode]]&amp;PSPOINTS[[#This Row],[RateDateFrom]]</f>
        <v>LS_INNL2045901</v>
      </c>
      <c r="D265" s="57">
        <f>COUNTIF(PSPOINTS[Pay Scale String Duplicates],PSPOINTS[[#This Row],[Pay Scale String Duplicates]])-1</f>
        <v>0</v>
      </c>
      <c r="E265" s="57">
        <f>IF((MONTH(_xlfn.XLOOKUP(PSPOINTS[[#This Row],[PayScaleCode]],'19_PayScales'!N:N,'19_PayScales'!R:R)))=MONTH(PSPOINTS[[#This Row],[RateDateFrom]]),0,1)</f>
        <v>0</v>
      </c>
      <c r="F265" s="57">
        <f>IF(ISBLANK(PSPOINTS[[#This Row],[RateDateTo]]),0,IF(PSPOINTS[[#This Row],[RateDateFrom]]&lt;PSPOINTS[[#This Row],[RateDateTo]],0,1))</f>
        <v>0</v>
      </c>
      <c r="G265" s="57" cm="1">
        <f t="array" aca="1" ref="G265" ca="1">IF(CELL("format",PSPOINTS[[#This Row],[RateDateFrom]])="D1",0,1)+IF(CELL("format",PSPOINTS[[#This Row],[RateDateTo]])="D1",0,1)</f>
        <v>0</v>
      </c>
      <c r="H265" s="57">
        <f>IF(OR(PSPOINTS[[#This Row],[Hourly]]=TRUE,PSPOINTS[[#This Row],[Hourly]]=FALSE),IF(OR(PSPOINTS[[#This Row],[PayScalePointEnabled]]=TRUE,PSPOINTS[[#This Row],[PayScalePointEnabled]]=FALSE),0,1),1)</f>
        <v>0</v>
      </c>
      <c r="I265" s="57">
        <f>IF(LEN(PSPOINTS[[#This Row],[PayScalePointCode]])&lt;100,0,1)</f>
        <v>0</v>
      </c>
      <c r="J265" s="57">
        <f>IF(LEN(PSPOINTS[[#This Row],[PayScalePointTitle]])&lt;100,0,1)</f>
        <v>0</v>
      </c>
      <c r="K265" s="57">
        <f>(COUNTBLANK(PSPOINTS[[#This Row],[PayScalePointCode]:[RateDateFrom]])+COUNTBLANK(PSPOINTS[[#This Row],[PayScaleRate]]))</f>
        <v>0</v>
      </c>
      <c r="L265" s="120">
        <f>IF(SUBSTITUTE(TEXT(PSPOINTS[[#This Row],[PayScaleCode]],10)," ","")=TEXT(PSPOINTS[[#This Row],[PayScaleCode]],10),0,1)+IF(SUBSTITUTE(TEXT(PSPOINTS[[#This Row],[PayScalePointCode]],10)," ","")=TEXT(PSPOINTS[[#This Row],[PayScalePointCode]],10),0,1)</f>
        <v>0</v>
      </c>
      <c r="M265" s="57">
        <f ca="1">SUM(PSPOINTS[[#This Row],[Scale Point Issue]:[Space in Code]])</f>
        <v>0</v>
      </c>
      <c r="N265" s="57" t="s">
        <v>1401</v>
      </c>
      <c r="P265" s="12" t="s">
        <v>1408</v>
      </c>
      <c r="Q265" s="57" t="str">
        <f>_xlfn.XLOOKUP(PSPOINTS[[#This Row],[PayScaleCode]],'19_PayScales'!N:N,'19_PayScales'!O:O)</f>
        <v>Leadership Group Inner</v>
      </c>
      <c r="R265" s="12" t="s">
        <v>1562</v>
      </c>
      <c r="S265" s="12" t="s">
        <v>1562</v>
      </c>
      <c r="T265" s="12">
        <v>20</v>
      </c>
      <c r="U265" s="12" t="b">
        <v>0</v>
      </c>
      <c r="V265" s="15" t="b">
        <v>1</v>
      </c>
      <c r="W265" s="164">
        <v>45901</v>
      </c>
      <c r="X265" s="140"/>
      <c r="Y265" s="162">
        <v>92447</v>
      </c>
    </row>
    <row r="266" spans="1:25" hidden="1" x14ac:dyDescent="0.25">
      <c r="A266" s="158" t="str">
        <f>PSPOINTS[[#This Row],[PayScaleCode]]&amp;PSPOINTS[[#This Row],[RateDateFrom]]</f>
        <v>LS_INN45901</v>
      </c>
      <c r="B266" s="57">
        <f t="shared" si="4"/>
        <v>0</v>
      </c>
      <c r="C266" s="57" t="str">
        <f>PSPOINTS[[#This Row],[PayScaleCode]]&amp;PSPOINTS[[#This Row],[PayScalePointCode]]&amp;PSPOINTS[[#This Row],[RateDateFrom]]</f>
        <v>LS_INNL2145901</v>
      </c>
      <c r="D266" s="57">
        <f>COUNTIF(PSPOINTS[Pay Scale String Duplicates],PSPOINTS[[#This Row],[Pay Scale String Duplicates]])-1</f>
        <v>0</v>
      </c>
      <c r="E266" s="57">
        <f>IF((MONTH(_xlfn.XLOOKUP(PSPOINTS[[#This Row],[PayScaleCode]],'19_PayScales'!N:N,'19_PayScales'!R:R)))=MONTH(PSPOINTS[[#This Row],[RateDateFrom]]),0,1)</f>
        <v>0</v>
      </c>
      <c r="F266" s="57">
        <f>IF(ISBLANK(PSPOINTS[[#This Row],[RateDateTo]]),0,IF(PSPOINTS[[#This Row],[RateDateFrom]]&lt;PSPOINTS[[#This Row],[RateDateTo]],0,1))</f>
        <v>0</v>
      </c>
      <c r="G266" s="57" cm="1">
        <f t="array" aca="1" ref="G266" ca="1">IF(CELL("format",PSPOINTS[[#This Row],[RateDateFrom]])="D1",0,1)+IF(CELL("format",PSPOINTS[[#This Row],[RateDateTo]])="D1",0,1)</f>
        <v>0</v>
      </c>
      <c r="H266" s="57">
        <f>IF(OR(PSPOINTS[[#This Row],[Hourly]]=TRUE,PSPOINTS[[#This Row],[Hourly]]=FALSE),IF(OR(PSPOINTS[[#This Row],[PayScalePointEnabled]]=TRUE,PSPOINTS[[#This Row],[PayScalePointEnabled]]=FALSE),0,1),1)</f>
        <v>0</v>
      </c>
      <c r="I266" s="57">
        <f>IF(LEN(PSPOINTS[[#This Row],[PayScalePointCode]])&lt;100,0,1)</f>
        <v>0</v>
      </c>
      <c r="J266" s="57">
        <f>IF(LEN(PSPOINTS[[#This Row],[PayScalePointTitle]])&lt;100,0,1)</f>
        <v>0</v>
      </c>
      <c r="K266" s="57">
        <f>(COUNTBLANK(PSPOINTS[[#This Row],[PayScalePointCode]:[RateDateFrom]])+COUNTBLANK(PSPOINTS[[#This Row],[PayScaleRate]]))</f>
        <v>0</v>
      </c>
      <c r="L266" s="120">
        <f>IF(SUBSTITUTE(TEXT(PSPOINTS[[#This Row],[PayScaleCode]],10)," ","")=TEXT(PSPOINTS[[#This Row],[PayScaleCode]],10),0,1)+IF(SUBSTITUTE(TEXT(PSPOINTS[[#This Row],[PayScalePointCode]],10)," ","")=TEXT(PSPOINTS[[#This Row],[PayScalePointCode]],10),0,1)</f>
        <v>0</v>
      </c>
      <c r="M266" s="57">
        <f ca="1">SUM(PSPOINTS[[#This Row],[Scale Point Issue]:[Space in Code]])</f>
        <v>0</v>
      </c>
      <c r="N266" s="57" t="s">
        <v>1401</v>
      </c>
      <c r="P266" s="12" t="s">
        <v>1408</v>
      </c>
      <c r="Q266" s="57" t="str">
        <f>_xlfn.XLOOKUP(PSPOINTS[[#This Row],[PayScaleCode]],'19_PayScales'!N:N,'19_PayScales'!O:O)</f>
        <v>Leadership Group Inner</v>
      </c>
      <c r="R266" s="12" t="s">
        <v>1563</v>
      </c>
      <c r="S266" s="12" t="s">
        <v>1563</v>
      </c>
      <c r="T266" s="12">
        <v>21</v>
      </c>
      <c r="U266" s="12" t="b">
        <v>0</v>
      </c>
      <c r="V266" s="15" t="b">
        <v>1</v>
      </c>
      <c r="W266" s="164">
        <v>45901</v>
      </c>
      <c r="X266" s="140"/>
      <c r="Y266" s="162">
        <v>94491</v>
      </c>
    </row>
    <row r="267" spans="1:25" hidden="1" x14ac:dyDescent="0.25">
      <c r="A267" s="158" t="str">
        <f>PSPOINTS[[#This Row],[PayScaleCode]]&amp;PSPOINTS[[#This Row],[RateDateFrom]]</f>
        <v>LS_INN45901</v>
      </c>
      <c r="B267" s="57">
        <f t="shared" si="4"/>
        <v>0</v>
      </c>
      <c r="C267" s="57" t="str">
        <f>PSPOINTS[[#This Row],[PayScaleCode]]&amp;PSPOINTS[[#This Row],[PayScalePointCode]]&amp;PSPOINTS[[#This Row],[RateDateFrom]]</f>
        <v>LS_INNL2245901</v>
      </c>
      <c r="D267" s="57">
        <f>COUNTIF(PSPOINTS[Pay Scale String Duplicates],PSPOINTS[[#This Row],[Pay Scale String Duplicates]])-1</f>
        <v>0</v>
      </c>
      <c r="E267" s="57">
        <f>IF((MONTH(_xlfn.XLOOKUP(PSPOINTS[[#This Row],[PayScaleCode]],'19_PayScales'!N:N,'19_PayScales'!R:R)))=MONTH(PSPOINTS[[#This Row],[RateDateFrom]]),0,1)</f>
        <v>0</v>
      </c>
      <c r="F267" s="57">
        <f>IF(ISBLANK(PSPOINTS[[#This Row],[RateDateTo]]),0,IF(PSPOINTS[[#This Row],[RateDateFrom]]&lt;PSPOINTS[[#This Row],[RateDateTo]],0,1))</f>
        <v>0</v>
      </c>
      <c r="G267" s="57" cm="1">
        <f t="array" aca="1" ref="G267" ca="1">IF(CELL("format",PSPOINTS[[#This Row],[RateDateFrom]])="D1",0,1)+IF(CELL("format",PSPOINTS[[#This Row],[RateDateTo]])="D1",0,1)</f>
        <v>0</v>
      </c>
      <c r="H267" s="57">
        <f>IF(OR(PSPOINTS[[#This Row],[Hourly]]=TRUE,PSPOINTS[[#This Row],[Hourly]]=FALSE),IF(OR(PSPOINTS[[#This Row],[PayScalePointEnabled]]=TRUE,PSPOINTS[[#This Row],[PayScalePointEnabled]]=FALSE),0,1),1)</f>
        <v>0</v>
      </c>
      <c r="I267" s="57">
        <f>IF(LEN(PSPOINTS[[#This Row],[PayScalePointCode]])&lt;100,0,1)</f>
        <v>0</v>
      </c>
      <c r="J267" s="57">
        <f>IF(LEN(PSPOINTS[[#This Row],[PayScalePointTitle]])&lt;100,0,1)</f>
        <v>0</v>
      </c>
      <c r="K267" s="57">
        <f>(COUNTBLANK(PSPOINTS[[#This Row],[PayScalePointCode]:[RateDateFrom]])+COUNTBLANK(PSPOINTS[[#This Row],[PayScaleRate]]))</f>
        <v>0</v>
      </c>
      <c r="L267" s="120">
        <f>IF(SUBSTITUTE(TEXT(PSPOINTS[[#This Row],[PayScaleCode]],10)," ","")=TEXT(PSPOINTS[[#This Row],[PayScaleCode]],10),0,1)+IF(SUBSTITUTE(TEXT(PSPOINTS[[#This Row],[PayScalePointCode]],10)," ","")=TEXT(PSPOINTS[[#This Row],[PayScalePointCode]],10),0,1)</f>
        <v>0</v>
      </c>
      <c r="M267" s="57">
        <f ca="1">SUM(PSPOINTS[[#This Row],[Scale Point Issue]:[Space in Code]])</f>
        <v>0</v>
      </c>
      <c r="N267" s="57" t="s">
        <v>1401</v>
      </c>
      <c r="P267" s="12" t="s">
        <v>1408</v>
      </c>
      <c r="Q267" s="57" t="str">
        <f>_xlfn.XLOOKUP(PSPOINTS[[#This Row],[PayScaleCode]],'19_PayScales'!N:N,'19_PayScales'!O:O)</f>
        <v>Leadership Group Inner</v>
      </c>
      <c r="R267" s="12" t="s">
        <v>1564</v>
      </c>
      <c r="S267" s="12" t="s">
        <v>1564</v>
      </c>
      <c r="T267" s="12">
        <v>22</v>
      </c>
      <c r="U267" s="12" t="b">
        <v>0</v>
      </c>
      <c r="V267" s="15" t="b">
        <v>1</v>
      </c>
      <c r="W267" s="164">
        <v>45901</v>
      </c>
      <c r="X267" s="140"/>
      <c r="Y267" s="162">
        <v>96594</v>
      </c>
    </row>
    <row r="268" spans="1:25" hidden="1" x14ac:dyDescent="0.25">
      <c r="A268" s="158" t="str">
        <f>PSPOINTS[[#This Row],[PayScaleCode]]&amp;PSPOINTS[[#This Row],[RateDateFrom]]</f>
        <v>LS_INN45901</v>
      </c>
      <c r="B268" s="57">
        <f t="shared" si="4"/>
        <v>0</v>
      </c>
      <c r="C268" s="57" t="str">
        <f>PSPOINTS[[#This Row],[PayScaleCode]]&amp;PSPOINTS[[#This Row],[PayScalePointCode]]&amp;PSPOINTS[[#This Row],[RateDateFrom]]</f>
        <v>LS_INNL2345901</v>
      </c>
      <c r="D268" s="57">
        <f>COUNTIF(PSPOINTS[Pay Scale String Duplicates],PSPOINTS[[#This Row],[Pay Scale String Duplicates]])-1</f>
        <v>0</v>
      </c>
      <c r="E268" s="57">
        <f>IF((MONTH(_xlfn.XLOOKUP(PSPOINTS[[#This Row],[PayScaleCode]],'19_PayScales'!N:N,'19_PayScales'!R:R)))=MONTH(PSPOINTS[[#This Row],[RateDateFrom]]),0,1)</f>
        <v>0</v>
      </c>
      <c r="F268" s="57">
        <f>IF(ISBLANK(PSPOINTS[[#This Row],[RateDateTo]]),0,IF(PSPOINTS[[#This Row],[RateDateFrom]]&lt;PSPOINTS[[#This Row],[RateDateTo]],0,1))</f>
        <v>0</v>
      </c>
      <c r="G268" s="57" cm="1">
        <f t="array" aca="1" ref="G268" ca="1">IF(CELL("format",PSPOINTS[[#This Row],[RateDateFrom]])="D1",0,1)+IF(CELL("format",PSPOINTS[[#This Row],[RateDateTo]])="D1",0,1)</f>
        <v>0</v>
      </c>
      <c r="H268" s="57">
        <f>IF(OR(PSPOINTS[[#This Row],[Hourly]]=TRUE,PSPOINTS[[#This Row],[Hourly]]=FALSE),IF(OR(PSPOINTS[[#This Row],[PayScalePointEnabled]]=TRUE,PSPOINTS[[#This Row],[PayScalePointEnabled]]=FALSE),0,1),1)</f>
        <v>0</v>
      </c>
      <c r="I268" s="57">
        <f>IF(LEN(PSPOINTS[[#This Row],[PayScalePointCode]])&lt;100,0,1)</f>
        <v>0</v>
      </c>
      <c r="J268" s="57">
        <f>IF(LEN(PSPOINTS[[#This Row],[PayScalePointTitle]])&lt;100,0,1)</f>
        <v>0</v>
      </c>
      <c r="K268" s="57">
        <f>(COUNTBLANK(PSPOINTS[[#This Row],[PayScalePointCode]:[RateDateFrom]])+COUNTBLANK(PSPOINTS[[#This Row],[PayScaleRate]]))</f>
        <v>0</v>
      </c>
      <c r="L268" s="120">
        <f>IF(SUBSTITUTE(TEXT(PSPOINTS[[#This Row],[PayScaleCode]],10)," ","")=TEXT(PSPOINTS[[#This Row],[PayScaleCode]],10),0,1)+IF(SUBSTITUTE(TEXT(PSPOINTS[[#This Row],[PayScalePointCode]],10)," ","")=TEXT(PSPOINTS[[#This Row],[PayScalePointCode]],10),0,1)</f>
        <v>0</v>
      </c>
      <c r="M268" s="57">
        <f ca="1">SUM(PSPOINTS[[#This Row],[Scale Point Issue]:[Space in Code]])</f>
        <v>0</v>
      </c>
      <c r="N268" s="57" t="s">
        <v>1401</v>
      </c>
      <c r="P268" s="12" t="s">
        <v>1408</v>
      </c>
      <c r="Q268" s="57" t="str">
        <f>_xlfn.XLOOKUP(PSPOINTS[[#This Row],[PayScaleCode]],'19_PayScales'!N:N,'19_PayScales'!O:O)</f>
        <v>Leadership Group Inner</v>
      </c>
      <c r="R268" s="12" t="s">
        <v>1565</v>
      </c>
      <c r="S268" s="12" t="s">
        <v>1565</v>
      </c>
      <c r="T268" s="12">
        <v>23</v>
      </c>
      <c r="U268" s="12" t="b">
        <v>0</v>
      </c>
      <c r="V268" s="15" t="b">
        <v>1</v>
      </c>
      <c r="W268" s="164">
        <v>45901</v>
      </c>
      <c r="X268" s="140"/>
      <c r="Y268" s="162">
        <v>98737</v>
      </c>
    </row>
    <row r="269" spans="1:25" hidden="1" x14ac:dyDescent="0.25">
      <c r="A269" s="158" t="str">
        <f>PSPOINTS[[#This Row],[PayScaleCode]]&amp;PSPOINTS[[#This Row],[RateDateFrom]]</f>
        <v>LS_INN45901</v>
      </c>
      <c r="B269" s="57">
        <f t="shared" si="4"/>
        <v>0</v>
      </c>
      <c r="C269" s="57" t="str">
        <f>PSPOINTS[[#This Row],[PayScaleCode]]&amp;PSPOINTS[[#This Row],[PayScalePointCode]]&amp;PSPOINTS[[#This Row],[RateDateFrom]]</f>
        <v>LS_INNL2445901</v>
      </c>
      <c r="D269" s="57">
        <f>COUNTIF(PSPOINTS[Pay Scale String Duplicates],PSPOINTS[[#This Row],[Pay Scale String Duplicates]])-1</f>
        <v>0</v>
      </c>
      <c r="E269" s="57">
        <f>IF((MONTH(_xlfn.XLOOKUP(PSPOINTS[[#This Row],[PayScaleCode]],'19_PayScales'!N:N,'19_PayScales'!R:R)))=MONTH(PSPOINTS[[#This Row],[RateDateFrom]]),0,1)</f>
        <v>0</v>
      </c>
      <c r="F269" s="57">
        <f>IF(ISBLANK(PSPOINTS[[#This Row],[RateDateTo]]),0,IF(PSPOINTS[[#This Row],[RateDateFrom]]&lt;PSPOINTS[[#This Row],[RateDateTo]],0,1))</f>
        <v>0</v>
      </c>
      <c r="G269" s="57" cm="1">
        <f t="array" aca="1" ref="G269" ca="1">IF(CELL("format",PSPOINTS[[#This Row],[RateDateFrom]])="D1",0,1)+IF(CELL("format",PSPOINTS[[#This Row],[RateDateTo]])="D1",0,1)</f>
        <v>0</v>
      </c>
      <c r="H269" s="57">
        <f>IF(OR(PSPOINTS[[#This Row],[Hourly]]=TRUE,PSPOINTS[[#This Row],[Hourly]]=FALSE),IF(OR(PSPOINTS[[#This Row],[PayScalePointEnabled]]=TRUE,PSPOINTS[[#This Row],[PayScalePointEnabled]]=FALSE),0,1),1)</f>
        <v>0</v>
      </c>
      <c r="I269" s="57">
        <f>IF(LEN(PSPOINTS[[#This Row],[PayScalePointCode]])&lt;100,0,1)</f>
        <v>0</v>
      </c>
      <c r="J269" s="57">
        <f>IF(LEN(PSPOINTS[[#This Row],[PayScalePointTitle]])&lt;100,0,1)</f>
        <v>0</v>
      </c>
      <c r="K269" s="57">
        <f>(COUNTBLANK(PSPOINTS[[#This Row],[PayScalePointCode]:[RateDateFrom]])+COUNTBLANK(PSPOINTS[[#This Row],[PayScaleRate]]))</f>
        <v>0</v>
      </c>
      <c r="L269" s="120">
        <f>IF(SUBSTITUTE(TEXT(PSPOINTS[[#This Row],[PayScaleCode]],10)," ","")=TEXT(PSPOINTS[[#This Row],[PayScaleCode]],10),0,1)+IF(SUBSTITUTE(TEXT(PSPOINTS[[#This Row],[PayScalePointCode]],10)," ","")=TEXT(PSPOINTS[[#This Row],[PayScalePointCode]],10),0,1)</f>
        <v>0</v>
      </c>
      <c r="M269" s="57">
        <f ca="1">SUM(PSPOINTS[[#This Row],[Scale Point Issue]:[Space in Code]])</f>
        <v>0</v>
      </c>
      <c r="N269" s="57" t="s">
        <v>1401</v>
      </c>
      <c r="P269" s="12" t="s">
        <v>1408</v>
      </c>
      <c r="Q269" s="57" t="str">
        <f>_xlfn.XLOOKUP(PSPOINTS[[#This Row],[PayScaleCode]],'19_PayScales'!N:N,'19_PayScales'!O:O)</f>
        <v>Leadership Group Inner</v>
      </c>
      <c r="R269" s="12" t="s">
        <v>1566</v>
      </c>
      <c r="S269" s="12" t="s">
        <v>1566</v>
      </c>
      <c r="T269" s="12">
        <v>24</v>
      </c>
      <c r="U269" s="12" t="b">
        <v>0</v>
      </c>
      <c r="V269" s="15" t="b">
        <v>1</v>
      </c>
      <c r="W269" s="164">
        <v>45901</v>
      </c>
      <c r="X269" s="140"/>
      <c r="Y269" s="162">
        <v>100951</v>
      </c>
    </row>
    <row r="270" spans="1:25" hidden="1" x14ac:dyDescent="0.25">
      <c r="A270" s="158" t="str">
        <f>PSPOINTS[[#This Row],[PayScaleCode]]&amp;PSPOINTS[[#This Row],[RateDateFrom]]</f>
        <v>LS_INN45901</v>
      </c>
      <c r="B270" s="57">
        <f t="shared" si="4"/>
        <v>0</v>
      </c>
      <c r="C270" s="57" t="str">
        <f>PSPOINTS[[#This Row],[PayScaleCode]]&amp;PSPOINTS[[#This Row],[PayScalePointCode]]&amp;PSPOINTS[[#This Row],[RateDateFrom]]</f>
        <v>LS_INNL2545901</v>
      </c>
      <c r="D270" s="57">
        <f>COUNTIF(PSPOINTS[Pay Scale String Duplicates],PSPOINTS[[#This Row],[Pay Scale String Duplicates]])-1</f>
        <v>0</v>
      </c>
      <c r="E270" s="57">
        <f>IF((MONTH(_xlfn.XLOOKUP(PSPOINTS[[#This Row],[PayScaleCode]],'19_PayScales'!N:N,'19_PayScales'!R:R)))=MONTH(PSPOINTS[[#This Row],[RateDateFrom]]),0,1)</f>
        <v>0</v>
      </c>
      <c r="F270" s="57">
        <f>IF(ISBLANK(PSPOINTS[[#This Row],[RateDateTo]]),0,IF(PSPOINTS[[#This Row],[RateDateFrom]]&lt;PSPOINTS[[#This Row],[RateDateTo]],0,1))</f>
        <v>0</v>
      </c>
      <c r="G270" s="57" cm="1">
        <f t="array" aca="1" ref="G270" ca="1">IF(CELL("format",PSPOINTS[[#This Row],[RateDateFrom]])="D1",0,1)+IF(CELL("format",PSPOINTS[[#This Row],[RateDateTo]])="D1",0,1)</f>
        <v>0</v>
      </c>
      <c r="H270" s="57">
        <f>IF(OR(PSPOINTS[[#This Row],[Hourly]]=TRUE,PSPOINTS[[#This Row],[Hourly]]=FALSE),IF(OR(PSPOINTS[[#This Row],[PayScalePointEnabled]]=TRUE,PSPOINTS[[#This Row],[PayScalePointEnabled]]=FALSE),0,1),1)</f>
        <v>0</v>
      </c>
      <c r="I270" s="57">
        <f>IF(LEN(PSPOINTS[[#This Row],[PayScalePointCode]])&lt;100,0,1)</f>
        <v>0</v>
      </c>
      <c r="J270" s="57">
        <f>IF(LEN(PSPOINTS[[#This Row],[PayScalePointTitle]])&lt;100,0,1)</f>
        <v>0</v>
      </c>
      <c r="K270" s="57">
        <f>(COUNTBLANK(PSPOINTS[[#This Row],[PayScalePointCode]:[RateDateFrom]])+COUNTBLANK(PSPOINTS[[#This Row],[PayScaleRate]]))</f>
        <v>0</v>
      </c>
      <c r="L270" s="120">
        <f>IF(SUBSTITUTE(TEXT(PSPOINTS[[#This Row],[PayScaleCode]],10)," ","")=TEXT(PSPOINTS[[#This Row],[PayScaleCode]],10),0,1)+IF(SUBSTITUTE(TEXT(PSPOINTS[[#This Row],[PayScalePointCode]],10)," ","")=TEXT(PSPOINTS[[#This Row],[PayScalePointCode]],10),0,1)</f>
        <v>0</v>
      </c>
      <c r="M270" s="57">
        <f ca="1">SUM(PSPOINTS[[#This Row],[Scale Point Issue]:[Space in Code]])</f>
        <v>0</v>
      </c>
      <c r="N270" s="57" t="s">
        <v>1401</v>
      </c>
      <c r="P270" s="12" t="s">
        <v>1408</v>
      </c>
      <c r="Q270" s="57" t="str">
        <f>_xlfn.XLOOKUP(PSPOINTS[[#This Row],[PayScaleCode]],'19_PayScales'!N:N,'19_PayScales'!O:O)</f>
        <v>Leadership Group Inner</v>
      </c>
      <c r="R270" s="12" t="s">
        <v>1567</v>
      </c>
      <c r="S270" s="12" t="s">
        <v>1567</v>
      </c>
      <c r="T270" s="12">
        <v>25</v>
      </c>
      <c r="U270" s="12" t="b">
        <v>0</v>
      </c>
      <c r="V270" s="15" t="b">
        <v>1</v>
      </c>
      <c r="W270" s="164">
        <v>45901</v>
      </c>
      <c r="X270" s="140"/>
      <c r="Y270" s="162">
        <v>103211</v>
      </c>
    </row>
    <row r="271" spans="1:25" hidden="1" x14ac:dyDescent="0.25">
      <c r="A271" s="158" t="str">
        <f>PSPOINTS[[#This Row],[PayScaleCode]]&amp;PSPOINTS[[#This Row],[RateDateFrom]]</f>
        <v>LS_INN45901</v>
      </c>
      <c r="B271" s="57">
        <f t="shared" si="4"/>
        <v>0</v>
      </c>
      <c r="C271" s="57" t="str">
        <f>PSPOINTS[[#This Row],[PayScaleCode]]&amp;PSPOINTS[[#This Row],[PayScalePointCode]]&amp;PSPOINTS[[#This Row],[RateDateFrom]]</f>
        <v>LS_INNL2645901</v>
      </c>
      <c r="D271" s="57">
        <f>COUNTIF(PSPOINTS[Pay Scale String Duplicates],PSPOINTS[[#This Row],[Pay Scale String Duplicates]])-1</f>
        <v>0</v>
      </c>
      <c r="E271" s="57">
        <f>IF((MONTH(_xlfn.XLOOKUP(PSPOINTS[[#This Row],[PayScaleCode]],'19_PayScales'!N:N,'19_PayScales'!R:R)))=MONTH(PSPOINTS[[#This Row],[RateDateFrom]]),0,1)</f>
        <v>0</v>
      </c>
      <c r="F271" s="57">
        <f>IF(ISBLANK(PSPOINTS[[#This Row],[RateDateTo]]),0,IF(PSPOINTS[[#This Row],[RateDateFrom]]&lt;PSPOINTS[[#This Row],[RateDateTo]],0,1))</f>
        <v>0</v>
      </c>
      <c r="G271" s="57" cm="1">
        <f t="array" aca="1" ref="G271" ca="1">IF(CELL("format",PSPOINTS[[#This Row],[RateDateFrom]])="D1",0,1)+IF(CELL("format",PSPOINTS[[#This Row],[RateDateTo]])="D1",0,1)</f>
        <v>0</v>
      </c>
      <c r="H271" s="57">
        <f>IF(OR(PSPOINTS[[#This Row],[Hourly]]=TRUE,PSPOINTS[[#This Row],[Hourly]]=FALSE),IF(OR(PSPOINTS[[#This Row],[PayScalePointEnabled]]=TRUE,PSPOINTS[[#This Row],[PayScalePointEnabled]]=FALSE),0,1),1)</f>
        <v>0</v>
      </c>
      <c r="I271" s="57">
        <f>IF(LEN(PSPOINTS[[#This Row],[PayScalePointCode]])&lt;100,0,1)</f>
        <v>0</v>
      </c>
      <c r="J271" s="57">
        <f>IF(LEN(PSPOINTS[[#This Row],[PayScalePointTitle]])&lt;100,0,1)</f>
        <v>0</v>
      </c>
      <c r="K271" s="57">
        <f>(COUNTBLANK(PSPOINTS[[#This Row],[PayScalePointCode]:[RateDateFrom]])+COUNTBLANK(PSPOINTS[[#This Row],[PayScaleRate]]))</f>
        <v>0</v>
      </c>
      <c r="L271" s="120">
        <f>IF(SUBSTITUTE(TEXT(PSPOINTS[[#This Row],[PayScaleCode]],10)," ","")=TEXT(PSPOINTS[[#This Row],[PayScaleCode]],10),0,1)+IF(SUBSTITUTE(TEXT(PSPOINTS[[#This Row],[PayScalePointCode]],10)," ","")=TEXT(PSPOINTS[[#This Row],[PayScalePointCode]],10),0,1)</f>
        <v>0</v>
      </c>
      <c r="M271" s="57">
        <f ca="1">SUM(PSPOINTS[[#This Row],[Scale Point Issue]:[Space in Code]])</f>
        <v>0</v>
      </c>
      <c r="N271" s="57" t="s">
        <v>1401</v>
      </c>
      <c r="P271" s="12" t="s">
        <v>1408</v>
      </c>
      <c r="Q271" s="57" t="str">
        <f>_xlfn.XLOOKUP(PSPOINTS[[#This Row],[PayScaleCode]],'19_PayScales'!N:N,'19_PayScales'!O:O)</f>
        <v>Leadership Group Inner</v>
      </c>
      <c r="R271" s="12" t="s">
        <v>1568</v>
      </c>
      <c r="S271" s="12" t="s">
        <v>1568</v>
      </c>
      <c r="T271" s="12">
        <v>26</v>
      </c>
      <c r="U271" s="12" t="b">
        <v>0</v>
      </c>
      <c r="V271" s="15" t="b">
        <v>1</v>
      </c>
      <c r="W271" s="164">
        <v>45901</v>
      </c>
      <c r="X271" s="140"/>
      <c r="Y271" s="162">
        <v>105521</v>
      </c>
    </row>
    <row r="272" spans="1:25" hidden="1" x14ac:dyDescent="0.25">
      <c r="A272" s="158" t="str">
        <f>PSPOINTS[[#This Row],[PayScaleCode]]&amp;PSPOINTS[[#This Row],[RateDateFrom]]</f>
        <v>LS_INN45901</v>
      </c>
      <c r="B272" s="57">
        <f t="shared" si="4"/>
        <v>0</v>
      </c>
      <c r="C272" s="57" t="str">
        <f>PSPOINTS[[#This Row],[PayScaleCode]]&amp;PSPOINTS[[#This Row],[PayScalePointCode]]&amp;PSPOINTS[[#This Row],[RateDateFrom]]</f>
        <v>LS_INNL2745901</v>
      </c>
      <c r="D272" s="57">
        <f>COUNTIF(PSPOINTS[Pay Scale String Duplicates],PSPOINTS[[#This Row],[Pay Scale String Duplicates]])-1</f>
        <v>0</v>
      </c>
      <c r="E272" s="57">
        <f>IF((MONTH(_xlfn.XLOOKUP(PSPOINTS[[#This Row],[PayScaleCode]],'19_PayScales'!N:N,'19_PayScales'!R:R)))=MONTH(PSPOINTS[[#This Row],[RateDateFrom]]),0,1)</f>
        <v>0</v>
      </c>
      <c r="F272" s="57">
        <f>IF(ISBLANK(PSPOINTS[[#This Row],[RateDateTo]]),0,IF(PSPOINTS[[#This Row],[RateDateFrom]]&lt;PSPOINTS[[#This Row],[RateDateTo]],0,1))</f>
        <v>0</v>
      </c>
      <c r="G272" s="57" cm="1">
        <f t="array" aca="1" ref="G272" ca="1">IF(CELL("format",PSPOINTS[[#This Row],[RateDateFrom]])="D1",0,1)+IF(CELL("format",PSPOINTS[[#This Row],[RateDateTo]])="D1",0,1)</f>
        <v>0</v>
      </c>
      <c r="H272" s="57">
        <f>IF(OR(PSPOINTS[[#This Row],[Hourly]]=TRUE,PSPOINTS[[#This Row],[Hourly]]=FALSE),IF(OR(PSPOINTS[[#This Row],[PayScalePointEnabled]]=TRUE,PSPOINTS[[#This Row],[PayScalePointEnabled]]=FALSE),0,1),1)</f>
        <v>0</v>
      </c>
      <c r="I272" s="57">
        <f>IF(LEN(PSPOINTS[[#This Row],[PayScalePointCode]])&lt;100,0,1)</f>
        <v>0</v>
      </c>
      <c r="J272" s="57">
        <f>IF(LEN(PSPOINTS[[#This Row],[PayScalePointTitle]])&lt;100,0,1)</f>
        <v>0</v>
      </c>
      <c r="K272" s="57">
        <f>(COUNTBLANK(PSPOINTS[[#This Row],[PayScalePointCode]:[RateDateFrom]])+COUNTBLANK(PSPOINTS[[#This Row],[PayScaleRate]]))</f>
        <v>0</v>
      </c>
      <c r="L272" s="120">
        <f>IF(SUBSTITUTE(TEXT(PSPOINTS[[#This Row],[PayScaleCode]],10)," ","")=TEXT(PSPOINTS[[#This Row],[PayScaleCode]],10),0,1)+IF(SUBSTITUTE(TEXT(PSPOINTS[[#This Row],[PayScalePointCode]],10)," ","")=TEXT(PSPOINTS[[#This Row],[PayScalePointCode]],10),0,1)</f>
        <v>0</v>
      </c>
      <c r="M272" s="57">
        <f ca="1">SUM(PSPOINTS[[#This Row],[Scale Point Issue]:[Space in Code]])</f>
        <v>0</v>
      </c>
      <c r="N272" s="57" t="s">
        <v>1401</v>
      </c>
      <c r="P272" s="12" t="s">
        <v>1408</v>
      </c>
      <c r="Q272" s="57" t="str">
        <f>_xlfn.XLOOKUP(PSPOINTS[[#This Row],[PayScaleCode]],'19_PayScales'!N:N,'19_PayScales'!O:O)</f>
        <v>Leadership Group Inner</v>
      </c>
      <c r="R272" s="12" t="s">
        <v>1569</v>
      </c>
      <c r="S272" s="12" t="s">
        <v>1569</v>
      </c>
      <c r="T272" s="12">
        <v>27</v>
      </c>
      <c r="U272" s="12" t="b">
        <v>0</v>
      </c>
      <c r="V272" s="15" t="b">
        <v>1</v>
      </c>
      <c r="W272" s="164">
        <v>45901</v>
      </c>
      <c r="X272" s="140"/>
      <c r="Y272" s="162">
        <v>107891</v>
      </c>
    </row>
    <row r="273" spans="1:25" hidden="1" x14ac:dyDescent="0.25">
      <c r="A273" s="158" t="str">
        <f>PSPOINTS[[#This Row],[PayScaleCode]]&amp;PSPOINTS[[#This Row],[RateDateFrom]]</f>
        <v>LS_INN45901</v>
      </c>
      <c r="B273" s="57">
        <f t="shared" si="4"/>
        <v>0</v>
      </c>
      <c r="C273" s="57" t="str">
        <f>PSPOINTS[[#This Row],[PayScaleCode]]&amp;PSPOINTS[[#This Row],[PayScalePointCode]]&amp;PSPOINTS[[#This Row],[RateDateFrom]]</f>
        <v>LS_INNL2845901</v>
      </c>
      <c r="D273" s="57">
        <f>COUNTIF(PSPOINTS[Pay Scale String Duplicates],PSPOINTS[[#This Row],[Pay Scale String Duplicates]])-1</f>
        <v>0</v>
      </c>
      <c r="E273" s="57">
        <f>IF((MONTH(_xlfn.XLOOKUP(PSPOINTS[[#This Row],[PayScaleCode]],'19_PayScales'!N:N,'19_PayScales'!R:R)))=MONTH(PSPOINTS[[#This Row],[RateDateFrom]]),0,1)</f>
        <v>0</v>
      </c>
      <c r="F273" s="57">
        <f>IF(ISBLANK(PSPOINTS[[#This Row],[RateDateTo]]),0,IF(PSPOINTS[[#This Row],[RateDateFrom]]&lt;PSPOINTS[[#This Row],[RateDateTo]],0,1))</f>
        <v>0</v>
      </c>
      <c r="G273" s="57" cm="1">
        <f t="array" aca="1" ref="G273" ca="1">IF(CELL("format",PSPOINTS[[#This Row],[RateDateFrom]])="D1",0,1)+IF(CELL("format",PSPOINTS[[#This Row],[RateDateTo]])="D1",0,1)</f>
        <v>0</v>
      </c>
      <c r="H273" s="57">
        <f>IF(OR(PSPOINTS[[#This Row],[Hourly]]=TRUE,PSPOINTS[[#This Row],[Hourly]]=FALSE),IF(OR(PSPOINTS[[#This Row],[PayScalePointEnabled]]=TRUE,PSPOINTS[[#This Row],[PayScalePointEnabled]]=FALSE),0,1),1)</f>
        <v>0</v>
      </c>
      <c r="I273" s="57">
        <f>IF(LEN(PSPOINTS[[#This Row],[PayScalePointCode]])&lt;100,0,1)</f>
        <v>0</v>
      </c>
      <c r="J273" s="57">
        <f>IF(LEN(PSPOINTS[[#This Row],[PayScalePointTitle]])&lt;100,0,1)</f>
        <v>0</v>
      </c>
      <c r="K273" s="57">
        <f>(COUNTBLANK(PSPOINTS[[#This Row],[PayScalePointCode]:[RateDateFrom]])+COUNTBLANK(PSPOINTS[[#This Row],[PayScaleRate]]))</f>
        <v>0</v>
      </c>
      <c r="L273" s="120">
        <f>IF(SUBSTITUTE(TEXT(PSPOINTS[[#This Row],[PayScaleCode]],10)," ","")=TEXT(PSPOINTS[[#This Row],[PayScaleCode]],10),0,1)+IF(SUBSTITUTE(TEXT(PSPOINTS[[#This Row],[PayScalePointCode]],10)," ","")=TEXT(PSPOINTS[[#This Row],[PayScalePointCode]],10),0,1)</f>
        <v>0</v>
      </c>
      <c r="M273" s="57">
        <f ca="1">SUM(PSPOINTS[[#This Row],[Scale Point Issue]:[Space in Code]])</f>
        <v>0</v>
      </c>
      <c r="N273" s="57" t="s">
        <v>1401</v>
      </c>
      <c r="P273" s="12" t="s">
        <v>1408</v>
      </c>
      <c r="Q273" s="57" t="str">
        <f>_xlfn.XLOOKUP(PSPOINTS[[#This Row],[PayScaleCode]],'19_PayScales'!N:N,'19_PayScales'!O:O)</f>
        <v>Leadership Group Inner</v>
      </c>
      <c r="R273" s="12" t="s">
        <v>1570</v>
      </c>
      <c r="S273" s="12" t="s">
        <v>1570</v>
      </c>
      <c r="T273" s="12">
        <v>28</v>
      </c>
      <c r="U273" s="12" t="b">
        <v>0</v>
      </c>
      <c r="V273" s="15" t="b">
        <v>1</v>
      </c>
      <c r="W273" s="164">
        <v>45901</v>
      </c>
      <c r="X273" s="140"/>
      <c r="Y273" s="162">
        <v>110327</v>
      </c>
    </row>
    <row r="274" spans="1:25" hidden="1" x14ac:dyDescent="0.25">
      <c r="A274" s="158" t="str">
        <f>PSPOINTS[[#This Row],[PayScaleCode]]&amp;PSPOINTS[[#This Row],[RateDateFrom]]</f>
        <v>LS_INN45901</v>
      </c>
      <c r="B274" s="57">
        <f t="shared" si="4"/>
        <v>0</v>
      </c>
      <c r="C274" s="57" t="str">
        <f>PSPOINTS[[#This Row],[PayScaleCode]]&amp;PSPOINTS[[#This Row],[PayScalePointCode]]&amp;PSPOINTS[[#This Row],[RateDateFrom]]</f>
        <v>LS_INNL2945901</v>
      </c>
      <c r="D274" s="57">
        <f>COUNTIF(PSPOINTS[Pay Scale String Duplicates],PSPOINTS[[#This Row],[Pay Scale String Duplicates]])-1</f>
        <v>0</v>
      </c>
      <c r="E274" s="57">
        <f>IF((MONTH(_xlfn.XLOOKUP(PSPOINTS[[#This Row],[PayScaleCode]],'19_PayScales'!N:N,'19_PayScales'!R:R)))=MONTH(PSPOINTS[[#This Row],[RateDateFrom]]),0,1)</f>
        <v>0</v>
      </c>
      <c r="F274" s="57">
        <f>IF(ISBLANK(PSPOINTS[[#This Row],[RateDateTo]]),0,IF(PSPOINTS[[#This Row],[RateDateFrom]]&lt;PSPOINTS[[#This Row],[RateDateTo]],0,1))</f>
        <v>0</v>
      </c>
      <c r="G274" s="57" cm="1">
        <f t="array" aca="1" ref="G274" ca="1">IF(CELL("format",PSPOINTS[[#This Row],[RateDateFrom]])="D1",0,1)+IF(CELL("format",PSPOINTS[[#This Row],[RateDateTo]])="D1",0,1)</f>
        <v>0</v>
      </c>
      <c r="H274" s="57">
        <f>IF(OR(PSPOINTS[[#This Row],[Hourly]]=TRUE,PSPOINTS[[#This Row],[Hourly]]=FALSE),IF(OR(PSPOINTS[[#This Row],[PayScalePointEnabled]]=TRUE,PSPOINTS[[#This Row],[PayScalePointEnabled]]=FALSE),0,1),1)</f>
        <v>0</v>
      </c>
      <c r="I274" s="57">
        <f>IF(LEN(PSPOINTS[[#This Row],[PayScalePointCode]])&lt;100,0,1)</f>
        <v>0</v>
      </c>
      <c r="J274" s="57">
        <f>IF(LEN(PSPOINTS[[#This Row],[PayScalePointTitle]])&lt;100,0,1)</f>
        <v>0</v>
      </c>
      <c r="K274" s="57">
        <f>(COUNTBLANK(PSPOINTS[[#This Row],[PayScalePointCode]:[RateDateFrom]])+COUNTBLANK(PSPOINTS[[#This Row],[PayScaleRate]]))</f>
        <v>0</v>
      </c>
      <c r="L274" s="120">
        <f>IF(SUBSTITUTE(TEXT(PSPOINTS[[#This Row],[PayScaleCode]],10)," ","")=TEXT(PSPOINTS[[#This Row],[PayScaleCode]],10),0,1)+IF(SUBSTITUTE(TEXT(PSPOINTS[[#This Row],[PayScalePointCode]],10)," ","")=TEXT(PSPOINTS[[#This Row],[PayScalePointCode]],10),0,1)</f>
        <v>0</v>
      </c>
      <c r="M274" s="57">
        <f ca="1">SUM(PSPOINTS[[#This Row],[Scale Point Issue]:[Space in Code]])</f>
        <v>0</v>
      </c>
      <c r="N274" s="57" t="s">
        <v>1401</v>
      </c>
      <c r="P274" s="12" t="s">
        <v>1408</v>
      </c>
      <c r="Q274" s="57" t="str">
        <f>_xlfn.XLOOKUP(PSPOINTS[[#This Row],[PayScaleCode]],'19_PayScales'!N:N,'19_PayScales'!O:O)</f>
        <v>Leadership Group Inner</v>
      </c>
      <c r="R274" s="12" t="s">
        <v>1571</v>
      </c>
      <c r="S274" s="12" t="s">
        <v>1571</v>
      </c>
      <c r="T274" s="12">
        <v>29</v>
      </c>
      <c r="U274" s="12" t="b">
        <v>0</v>
      </c>
      <c r="V274" s="15" t="b">
        <v>1</v>
      </c>
      <c r="W274" s="164">
        <v>45901</v>
      </c>
      <c r="X274" s="140"/>
      <c r="Y274" s="162">
        <v>112823</v>
      </c>
    </row>
    <row r="275" spans="1:25" hidden="1" x14ac:dyDescent="0.25">
      <c r="A275" s="158" t="str">
        <f>PSPOINTS[[#This Row],[PayScaleCode]]&amp;PSPOINTS[[#This Row],[RateDateFrom]]</f>
        <v>LS_INN45901</v>
      </c>
      <c r="B275" s="57">
        <f t="shared" si="4"/>
        <v>0</v>
      </c>
      <c r="C275" s="57" t="str">
        <f>PSPOINTS[[#This Row],[PayScaleCode]]&amp;PSPOINTS[[#This Row],[PayScalePointCode]]&amp;PSPOINTS[[#This Row],[RateDateFrom]]</f>
        <v>LS_INNL3045901</v>
      </c>
      <c r="D275" s="57">
        <f>COUNTIF(PSPOINTS[Pay Scale String Duplicates],PSPOINTS[[#This Row],[Pay Scale String Duplicates]])-1</f>
        <v>0</v>
      </c>
      <c r="E275" s="57">
        <f>IF((MONTH(_xlfn.XLOOKUP(PSPOINTS[[#This Row],[PayScaleCode]],'19_PayScales'!N:N,'19_PayScales'!R:R)))=MONTH(PSPOINTS[[#This Row],[RateDateFrom]]),0,1)</f>
        <v>0</v>
      </c>
      <c r="F275" s="57">
        <f>IF(ISBLANK(PSPOINTS[[#This Row],[RateDateTo]]),0,IF(PSPOINTS[[#This Row],[RateDateFrom]]&lt;PSPOINTS[[#This Row],[RateDateTo]],0,1))</f>
        <v>0</v>
      </c>
      <c r="G275" s="57" cm="1">
        <f t="array" aca="1" ref="G275" ca="1">IF(CELL("format",PSPOINTS[[#This Row],[RateDateFrom]])="D1",0,1)+IF(CELL("format",PSPOINTS[[#This Row],[RateDateTo]])="D1",0,1)</f>
        <v>0</v>
      </c>
      <c r="H275" s="57">
        <f>IF(OR(PSPOINTS[[#This Row],[Hourly]]=TRUE,PSPOINTS[[#This Row],[Hourly]]=FALSE),IF(OR(PSPOINTS[[#This Row],[PayScalePointEnabled]]=TRUE,PSPOINTS[[#This Row],[PayScalePointEnabled]]=FALSE),0,1),1)</f>
        <v>0</v>
      </c>
      <c r="I275" s="57">
        <f>IF(LEN(PSPOINTS[[#This Row],[PayScalePointCode]])&lt;100,0,1)</f>
        <v>0</v>
      </c>
      <c r="J275" s="57">
        <f>IF(LEN(PSPOINTS[[#This Row],[PayScalePointTitle]])&lt;100,0,1)</f>
        <v>0</v>
      </c>
      <c r="K275" s="57">
        <f>(COUNTBLANK(PSPOINTS[[#This Row],[PayScalePointCode]:[RateDateFrom]])+COUNTBLANK(PSPOINTS[[#This Row],[PayScaleRate]]))</f>
        <v>0</v>
      </c>
      <c r="L275" s="120">
        <f>IF(SUBSTITUTE(TEXT(PSPOINTS[[#This Row],[PayScaleCode]],10)," ","")=TEXT(PSPOINTS[[#This Row],[PayScaleCode]],10),0,1)+IF(SUBSTITUTE(TEXT(PSPOINTS[[#This Row],[PayScalePointCode]],10)," ","")=TEXT(PSPOINTS[[#This Row],[PayScalePointCode]],10),0,1)</f>
        <v>0</v>
      </c>
      <c r="M275" s="57">
        <f ca="1">SUM(PSPOINTS[[#This Row],[Scale Point Issue]:[Space in Code]])</f>
        <v>0</v>
      </c>
      <c r="N275" s="57" t="s">
        <v>1401</v>
      </c>
      <c r="P275" s="12" t="s">
        <v>1408</v>
      </c>
      <c r="Q275" s="57" t="str">
        <f>_xlfn.XLOOKUP(PSPOINTS[[#This Row],[PayScaleCode]],'19_PayScales'!N:N,'19_PayScales'!O:O)</f>
        <v>Leadership Group Inner</v>
      </c>
      <c r="R275" s="12" t="s">
        <v>1572</v>
      </c>
      <c r="S275" s="12" t="s">
        <v>1572</v>
      </c>
      <c r="T275" s="12">
        <v>30</v>
      </c>
      <c r="U275" s="12" t="b">
        <v>0</v>
      </c>
      <c r="V275" s="15" t="b">
        <v>1</v>
      </c>
      <c r="W275" s="164">
        <v>45901</v>
      </c>
      <c r="X275" s="140"/>
      <c r="Y275" s="162">
        <v>115382</v>
      </c>
    </row>
    <row r="276" spans="1:25" hidden="1" x14ac:dyDescent="0.25">
      <c r="A276" s="158" t="str">
        <f>PSPOINTS[[#This Row],[PayScaleCode]]&amp;PSPOINTS[[#This Row],[RateDateFrom]]</f>
        <v>LS_INN45901</v>
      </c>
      <c r="B276" s="57">
        <f t="shared" si="4"/>
        <v>0</v>
      </c>
      <c r="C276" s="57" t="str">
        <f>PSPOINTS[[#This Row],[PayScaleCode]]&amp;PSPOINTS[[#This Row],[PayScalePointCode]]&amp;PSPOINTS[[#This Row],[RateDateFrom]]</f>
        <v>LS_INNL3145901</v>
      </c>
      <c r="D276" s="57">
        <f>COUNTIF(PSPOINTS[Pay Scale String Duplicates],PSPOINTS[[#This Row],[Pay Scale String Duplicates]])-1</f>
        <v>0</v>
      </c>
      <c r="E276" s="57">
        <f>IF((MONTH(_xlfn.XLOOKUP(PSPOINTS[[#This Row],[PayScaleCode]],'19_PayScales'!N:N,'19_PayScales'!R:R)))=MONTH(PSPOINTS[[#This Row],[RateDateFrom]]),0,1)</f>
        <v>0</v>
      </c>
      <c r="F276" s="57">
        <f>IF(ISBLANK(PSPOINTS[[#This Row],[RateDateTo]]),0,IF(PSPOINTS[[#This Row],[RateDateFrom]]&lt;PSPOINTS[[#This Row],[RateDateTo]],0,1))</f>
        <v>0</v>
      </c>
      <c r="G276" s="57" cm="1">
        <f t="array" aca="1" ref="G276" ca="1">IF(CELL("format",PSPOINTS[[#This Row],[RateDateFrom]])="D1",0,1)+IF(CELL("format",PSPOINTS[[#This Row],[RateDateTo]])="D1",0,1)</f>
        <v>0</v>
      </c>
      <c r="H276" s="57">
        <f>IF(OR(PSPOINTS[[#This Row],[Hourly]]=TRUE,PSPOINTS[[#This Row],[Hourly]]=FALSE),IF(OR(PSPOINTS[[#This Row],[PayScalePointEnabled]]=TRUE,PSPOINTS[[#This Row],[PayScalePointEnabled]]=FALSE),0,1),1)</f>
        <v>0</v>
      </c>
      <c r="I276" s="57">
        <f>IF(LEN(PSPOINTS[[#This Row],[PayScalePointCode]])&lt;100,0,1)</f>
        <v>0</v>
      </c>
      <c r="J276" s="57">
        <f>IF(LEN(PSPOINTS[[#This Row],[PayScalePointTitle]])&lt;100,0,1)</f>
        <v>0</v>
      </c>
      <c r="K276" s="57">
        <f>(COUNTBLANK(PSPOINTS[[#This Row],[PayScalePointCode]:[RateDateFrom]])+COUNTBLANK(PSPOINTS[[#This Row],[PayScaleRate]]))</f>
        <v>0</v>
      </c>
      <c r="L276" s="120">
        <f>IF(SUBSTITUTE(TEXT(PSPOINTS[[#This Row],[PayScaleCode]],10)," ","")=TEXT(PSPOINTS[[#This Row],[PayScaleCode]],10),0,1)+IF(SUBSTITUTE(TEXT(PSPOINTS[[#This Row],[PayScalePointCode]],10)," ","")=TEXT(PSPOINTS[[#This Row],[PayScalePointCode]],10),0,1)</f>
        <v>0</v>
      </c>
      <c r="M276" s="57">
        <f ca="1">SUM(PSPOINTS[[#This Row],[Scale Point Issue]:[Space in Code]])</f>
        <v>0</v>
      </c>
      <c r="N276" s="57" t="s">
        <v>1401</v>
      </c>
      <c r="P276" s="12" t="s">
        <v>1408</v>
      </c>
      <c r="Q276" s="57" t="str">
        <f>_xlfn.XLOOKUP(PSPOINTS[[#This Row],[PayScaleCode]],'19_PayScales'!N:N,'19_PayScales'!O:O)</f>
        <v>Leadership Group Inner</v>
      </c>
      <c r="R276" s="12" t="s">
        <v>1573</v>
      </c>
      <c r="S276" s="12" t="s">
        <v>1573</v>
      </c>
      <c r="T276" s="12">
        <v>31</v>
      </c>
      <c r="U276" s="12" t="b">
        <v>0</v>
      </c>
      <c r="V276" s="15" t="b">
        <v>1</v>
      </c>
      <c r="W276" s="164">
        <v>45901</v>
      </c>
      <c r="X276" s="140"/>
      <c r="Y276" s="162">
        <v>117995</v>
      </c>
    </row>
    <row r="277" spans="1:25" hidden="1" x14ac:dyDescent="0.25">
      <c r="A277" s="158" t="str">
        <f>PSPOINTS[[#This Row],[PayScaleCode]]&amp;PSPOINTS[[#This Row],[RateDateFrom]]</f>
        <v>LS_INN45901</v>
      </c>
      <c r="B277" s="57">
        <f t="shared" si="4"/>
        <v>0</v>
      </c>
      <c r="C277" s="57" t="str">
        <f>PSPOINTS[[#This Row],[PayScaleCode]]&amp;PSPOINTS[[#This Row],[PayScalePointCode]]&amp;PSPOINTS[[#This Row],[RateDateFrom]]</f>
        <v>LS_INNL3245901</v>
      </c>
      <c r="D277" s="57">
        <f>COUNTIF(PSPOINTS[Pay Scale String Duplicates],PSPOINTS[[#This Row],[Pay Scale String Duplicates]])-1</f>
        <v>0</v>
      </c>
      <c r="E277" s="57">
        <f>IF((MONTH(_xlfn.XLOOKUP(PSPOINTS[[#This Row],[PayScaleCode]],'19_PayScales'!N:N,'19_PayScales'!R:R)))=MONTH(PSPOINTS[[#This Row],[RateDateFrom]]),0,1)</f>
        <v>0</v>
      </c>
      <c r="F277" s="57">
        <f>IF(ISBLANK(PSPOINTS[[#This Row],[RateDateTo]]),0,IF(PSPOINTS[[#This Row],[RateDateFrom]]&lt;PSPOINTS[[#This Row],[RateDateTo]],0,1))</f>
        <v>0</v>
      </c>
      <c r="G277" s="57" cm="1">
        <f t="array" aca="1" ref="G277" ca="1">IF(CELL("format",PSPOINTS[[#This Row],[RateDateFrom]])="D1",0,1)+IF(CELL("format",PSPOINTS[[#This Row],[RateDateTo]])="D1",0,1)</f>
        <v>0</v>
      </c>
      <c r="H277" s="57">
        <f>IF(OR(PSPOINTS[[#This Row],[Hourly]]=TRUE,PSPOINTS[[#This Row],[Hourly]]=FALSE),IF(OR(PSPOINTS[[#This Row],[PayScalePointEnabled]]=TRUE,PSPOINTS[[#This Row],[PayScalePointEnabled]]=FALSE),0,1),1)</f>
        <v>0</v>
      </c>
      <c r="I277" s="57">
        <f>IF(LEN(PSPOINTS[[#This Row],[PayScalePointCode]])&lt;100,0,1)</f>
        <v>0</v>
      </c>
      <c r="J277" s="57">
        <f>IF(LEN(PSPOINTS[[#This Row],[PayScalePointTitle]])&lt;100,0,1)</f>
        <v>0</v>
      </c>
      <c r="K277" s="57">
        <f>(COUNTBLANK(PSPOINTS[[#This Row],[PayScalePointCode]:[RateDateFrom]])+COUNTBLANK(PSPOINTS[[#This Row],[PayScaleRate]]))</f>
        <v>0</v>
      </c>
      <c r="L277" s="120">
        <f>IF(SUBSTITUTE(TEXT(PSPOINTS[[#This Row],[PayScaleCode]],10)," ","")=TEXT(PSPOINTS[[#This Row],[PayScaleCode]],10),0,1)+IF(SUBSTITUTE(TEXT(PSPOINTS[[#This Row],[PayScalePointCode]],10)," ","")=TEXT(PSPOINTS[[#This Row],[PayScalePointCode]],10),0,1)</f>
        <v>0</v>
      </c>
      <c r="M277" s="57">
        <f ca="1">SUM(PSPOINTS[[#This Row],[Scale Point Issue]:[Space in Code]])</f>
        <v>0</v>
      </c>
      <c r="N277" s="57" t="s">
        <v>1401</v>
      </c>
      <c r="P277" s="12" t="s">
        <v>1408</v>
      </c>
      <c r="Q277" s="57" t="str">
        <f>_xlfn.XLOOKUP(PSPOINTS[[#This Row],[PayScaleCode]],'19_PayScales'!N:N,'19_PayScales'!O:O)</f>
        <v>Leadership Group Inner</v>
      </c>
      <c r="R277" s="12" t="s">
        <v>1574</v>
      </c>
      <c r="S277" s="12" t="s">
        <v>1574</v>
      </c>
      <c r="T277" s="12">
        <v>32</v>
      </c>
      <c r="U277" s="12" t="b">
        <v>0</v>
      </c>
      <c r="V277" s="15" t="b">
        <v>1</v>
      </c>
      <c r="W277" s="164">
        <v>45901</v>
      </c>
      <c r="X277" s="140"/>
      <c r="Y277" s="162">
        <v>120678</v>
      </c>
    </row>
    <row r="278" spans="1:25" hidden="1" x14ac:dyDescent="0.25">
      <c r="A278" s="158" t="str">
        <f>PSPOINTS[[#This Row],[PayScaleCode]]&amp;PSPOINTS[[#This Row],[RateDateFrom]]</f>
        <v>LS_INN45901</v>
      </c>
      <c r="B278" s="57">
        <f t="shared" si="4"/>
        <v>0</v>
      </c>
      <c r="C278" s="57" t="str">
        <f>PSPOINTS[[#This Row],[PayScaleCode]]&amp;PSPOINTS[[#This Row],[PayScalePointCode]]&amp;PSPOINTS[[#This Row],[RateDateFrom]]</f>
        <v>LS_INNL3345901</v>
      </c>
      <c r="D278" s="57">
        <f>COUNTIF(PSPOINTS[Pay Scale String Duplicates],PSPOINTS[[#This Row],[Pay Scale String Duplicates]])-1</f>
        <v>0</v>
      </c>
      <c r="E278" s="57">
        <f>IF((MONTH(_xlfn.XLOOKUP(PSPOINTS[[#This Row],[PayScaleCode]],'19_PayScales'!N:N,'19_PayScales'!R:R)))=MONTH(PSPOINTS[[#This Row],[RateDateFrom]]),0,1)</f>
        <v>0</v>
      </c>
      <c r="F278" s="57">
        <f>IF(ISBLANK(PSPOINTS[[#This Row],[RateDateTo]]),0,IF(PSPOINTS[[#This Row],[RateDateFrom]]&lt;PSPOINTS[[#This Row],[RateDateTo]],0,1))</f>
        <v>0</v>
      </c>
      <c r="G278" s="57" cm="1">
        <f t="array" aca="1" ref="G278" ca="1">IF(CELL("format",PSPOINTS[[#This Row],[RateDateFrom]])="D1",0,1)+IF(CELL("format",PSPOINTS[[#This Row],[RateDateTo]])="D1",0,1)</f>
        <v>0</v>
      </c>
      <c r="H278" s="57">
        <f>IF(OR(PSPOINTS[[#This Row],[Hourly]]=TRUE,PSPOINTS[[#This Row],[Hourly]]=FALSE),IF(OR(PSPOINTS[[#This Row],[PayScalePointEnabled]]=TRUE,PSPOINTS[[#This Row],[PayScalePointEnabled]]=FALSE),0,1),1)</f>
        <v>0</v>
      </c>
      <c r="I278" s="57">
        <f>IF(LEN(PSPOINTS[[#This Row],[PayScalePointCode]])&lt;100,0,1)</f>
        <v>0</v>
      </c>
      <c r="J278" s="57">
        <f>IF(LEN(PSPOINTS[[#This Row],[PayScalePointTitle]])&lt;100,0,1)</f>
        <v>0</v>
      </c>
      <c r="K278" s="57">
        <f>(COUNTBLANK(PSPOINTS[[#This Row],[PayScalePointCode]:[RateDateFrom]])+COUNTBLANK(PSPOINTS[[#This Row],[PayScaleRate]]))</f>
        <v>0</v>
      </c>
      <c r="L278" s="120">
        <f>IF(SUBSTITUTE(TEXT(PSPOINTS[[#This Row],[PayScaleCode]],10)," ","")=TEXT(PSPOINTS[[#This Row],[PayScaleCode]],10),0,1)+IF(SUBSTITUTE(TEXT(PSPOINTS[[#This Row],[PayScalePointCode]],10)," ","")=TEXT(PSPOINTS[[#This Row],[PayScalePointCode]],10),0,1)</f>
        <v>0</v>
      </c>
      <c r="M278" s="57">
        <f ca="1">SUM(PSPOINTS[[#This Row],[Scale Point Issue]:[Space in Code]])</f>
        <v>0</v>
      </c>
      <c r="N278" s="57" t="s">
        <v>1401</v>
      </c>
      <c r="P278" s="12" t="s">
        <v>1408</v>
      </c>
      <c r="Q278" s="57" t="str">
        <f>_xlfn.XLOOKUP(PSPOINTS[[#This Row],[PayScaleCode]],'19_PayScales'!N:N,'19_PayScales'!O:O)</f>
        <v>Leadership Group Inner</v>
      </c>
      <c r="R278" s="12" t="s">
        <v>1575</v>
      </c>
      <c r="S278" s="12" t="s">
        <v>1575</v>
      </c>
      <c r="T278" s="12">
        <v>33</v>
      </c>
      <c r="U278" s="12" t="b">
        <v>0</v>
      </c>
      <c r="V278" s="15" t="b">
        <v>1</v>
      </c>
      <c r="W278" s="164">
        <v>45901</v>
      </c>
      <c r="X278" s="140"/>
      <c r="Y278" s="162">
        <v>123438</v>
      </c>
    </row>
    <row r="279" spans="1:25" hidden="1" x14ac:dyDescent="0.25">
      <c r="A279" s="158" t="str">
        <f>PSPOINTS[[#This Row],[PayScaleCode]]&amp;PSPOINTS[[#This Row],[RateDateFrom]]</f>
        <v>LS_INN45901</v>
      </c>
      <c r="B279" s="57">
        <f t="shared" si="4"/>
        <v>0</v>
      </c>
      <c r="C279" s="57" t="str">
        <f>PSPOINTS[[#This Row],[PayScaleCode]]&amp;PSPOINTS[[#This Row],[PayScalePointCode]]&amp;PSPOINTS[[#This Row],[RateDateFrom]]</f>
        <v>LS_INNL3445901</v>
      </c>
      <c r="D279" s="57">
        <f>COUNTIF(PSPOINTS[Pay Scale String Duplicates],PSPOINTS[[#This Row],[Pay Scale String Duplicates]])-1</f>
        <v>0</v>
      </c>
      <c r="E279" s="57">
        <f>IF((MONTH(_xlfn.XLOOKUP(PSPOINTS[[#This Row],[PayScaleCode]],'19_PayScales'!N:N,'19_PayScales'!R:R)))=MONTH(PSPOINTS[[#This Row],[RateDateFrom]]),0,1)</f>
        <v>0</v>
      </c>
      <c r="F279" s="57">
        <f>IF(ISBLANK(PSPOINTS[[#This Row],[RateDateTo]]),0,IF(PSPOINTS[[#This Row],[RateDateFrom]]&lt;PSPOINTS[[#This Row],[RateDateTo]],0,1))</f>
        <v>0</v>
      </c>
      <c r="G279" s="57" cm="1">
        <f t="array" aca="1" ref="G279" ca="1">IF(CELL("format",PSPOINTS[[#This Row],[RateDateFrom]])="D1",0,1)+IF(CELL("format",PSPOINTS[[#This Row],[RateDateTo]])="D1",0,1)</f>
        <v>0</v>
      </c>
      <c r="H279" s="57">
        <f>IF(OR(PSPOINTS[[#This Row],[Hourly]]=TRUE,PSPOINTS[[#This Row],[Hourly]]=FALSE),IF(OR(PSPOINTS[[#This Row],[PayScalePointEnabled]]=TRUE,PSPOINTS[[#This Row],[PayScalePointEnabled]]=FALSE),0,1),1)</f>
        <v>0</v>
      </c>
      <c r="I279" s="57">
        <f>IF(LEN(PSPOINTS[[#This Row],[PayScalePointCode]])&lt;100,0,1)</f>
        <v>0</v>
      </c>
      <c r="J279" s="57">
        <f>IF(LEN(PSPOINTS[[#This Row],[PayScalePointTitle]])&lt;100,0,1)</f>
        <v>0</v>
      </c>
      <c r="K279" s="57">
        <f>(COUNTBLANK(PSPOINTS[[#This Row],[PayScalePointCode]:[RateDateFrom]])+COUNTBLANK(PSPOINTS[[#This Row],[PayScaleRate]]))</f>
        <v>0</v>
      </c>
      <c r="L279" s="120">
        <f>IF(SUBSTITUTE(TEXT(PSPOINTS[[#This Row],[PayScaleCode]],10)," ","")=TEXT(PSPOINTS[[#This Row],[PayScaleCode]],10),0,1)+IF(SUBSTITUTE(TEXT(PSPOINTS[[#This Row],[PayScalePointCode]],10)," ","")=TEXT(PSPOINTS[[#This Row],[PayScalePointCode]],10),0,1)</f>
        <v>0</v>
      </c>
      <c r="M279" s="57">
        <f ca="1">SUM(PSPOINTS[[#This Row],[Scale Point Issue]:[Space in Code]])</f>
        <v>0</v>
      </c>
      <c r="N279" s="57" t="s">
        <v>1401</v>
      </c>
      <c r="P279" s="12" t="s">
        <v>1408</v>
      </c>
      <c r="Q279" s="57" t="str">
        <f>_xlfn.XLOOKUP(PSPOINTS[[#This Row],[PayScaleCode]],'19_PayScales'!N:N,'19_PayScales'!O:O)</f>
        <v>Leadership Group Inner</v>
      </c>
      <c r="R279" s="12" t="s">
        <v>1576</v>
      </c>
      <c r="S279" s="12" t="s">
        <v>1576</v>
      </c>
      <c r="T279" s="12">
        <v>34</v>
      </c>
      <c r="U279" s="12" t="b">
        <v>0</v>
      </c>
      <c r="V279" s="15" t="b">
        <v>1</v>
      </c>
      <c r="W279" s="164">
        <v>45901</v>
      </c>
      <c r="X279" s="140"/>
      <c r="Y279" s="162">
        <v>126247</v>
      </c>
    </row>
    <row r="280" spans="1:25" hidden="1" x14ac:dyDescent="0.25">
      <c r="A280" s="158" t="str">
        <f>PSPOINTS[[#This Row],[PayScaleCode]]&amp;PSPOINTS[[#This Row],[RateDateFrom]]</f>
        <v>LS_INN45901</v>
      </c>
      <c r="B280" s="57">
        <f t="shared" si="4"/>
        <v>0</v>
      </c>
      <c r="C280" s="57" t="str">
        <f>PSPOINTS[[#This Row],[PayScaleCode]]&amp;PSPOINTS[[#This Row],[PayScalePointCode]]&amp;PSPOINTS[[#This Row],[RateDateFrom]]</f>
        <v>LS_INNL3545901</v>
      </c>
      <c r="D280" s="57">
        <f>COUNTIF(PSPOINTS[Pay Scale String Duplicates],PSPOINTS[[#This Row],[Pay Scale String Duplicates]])-1</f>
        <v>0</v>
      </c>
      <c r="E280" s="57">
        <f>IF((MONTH(_xlfn.XLOOKUP(PSPOINTS[[#This Row],[PayScaleCode]],'19_PayScales'!N:N,'19_PayScales'!R:R)))=MONTH(PSPOINTS[[#This Row],[RateDateFrom]]),0,1)</f>
        <v>0</v>
      </c>
      <c r="F280" s="57">
        <f>IF(ISBLANK(PSPOINTS[[#This Row],[RateDateTo]]),0,IF(PSPOINTS[[#This Row],[RateDateFrom]]&lt;PSPOINTS[[#This Row],[RateDateTo]],0,1))</f>
        <v>0</v>
      </c>
      <c r="G280" s="57" cm="1">
        <f t="array" aca="1" ref="G280" ca="1">IF(CELL("format",PSPOINTS[[#This Row],[RateDateFrom]])="D1",0,1)+IF(CELL("format",PSPOINTS[[#This Row],[RateDateTo]])="D1",0,1)</f>
        <v>0</v>
      </c>
      <c r="H280" s="57">
        <f>IF(OR(PSPOINTS[[#This Row],[Hourly]]=TRUE,PSPOINTS[[#This Row],[Hourly]]=FALSE),IF(OR(PSPOINTS[[#This Row],[PayScalePointEnabled]]=TRUE,PSPOINTS[[#This Row],[PayScalePointEnabled]]=FALSE),0,1),1)</f>
        <v>0</v>
      </c>
      <c r="I280" s="57">
        <f>IF(LEN(PSPOINTS[[#This Row],[PayScalePointCode]])&lt;100,0,1)</f>
        <v>0</v>
      </c>
      <c r="J280" s="57">
        <f>IF(LEN(PSPOINTS[[#This Row],[PayScalePointTitle]])&lt;100,0,1)</f>
        <v>0</v>
      </c>
      <c r="K280" s="57">
        <f>(COUNTBLANK(PSPOINTS[[#This Row],[PayScalePointCode]:[RateDateFrom]])+COUNTBLANK(PSPOINTS[[#This Row],[PayScaleRate]]))</f>
        <v>0</v>
      </c>
      <c r="L280" s="120">
        <f>IF(SUBSTITUTE(TEXT(PSPOINTS[[#This Row],[PayScaleCode]],10)," ","")=TEXT(PSPOINTS[[#This Row],[PayScaleCode]],10),0,1)+IF(SUBSTITUTE(TEXT(PSPOINTS[[#This Row],[PayScalePointCode]],10)," ","")=TEXT(PSPOINTS[[#This Row],[PayScalePointCode]],10),0,1)</f>
        <v>0</v>
      </c>
      <c r="M280" s="57">
        <f ca="1">SUM(PSPOINTS[[#This Row],[Scale Point Issue]:[Space in Code]])</f>
        <v>0</v>
      </c>
      <c r="N280" s="57" t="s">
        <v>1401</v>
      </c>
      <c r="P280" s="12" t="s">
        <v>1408</v>
      </c>
      <c r="Q280" s="57" t="str">
        <f>_xlfn.XLOOKUP(PSPOINTS[[#This Row],[PayScaleCode]],'19_PayScales'!N:N,'19_PayScales'!O:O)</f>
        <v>Leadership Group Inner</v>
      </c>
      <c r="R280" s="12" t="s">
        <v>1577</v>
      </c>
      <c r="S280" s="12" t="s">
        <v>1577</v>
      </c>
      <c r="T280" s="12">
        <v>35</v>
      </c>
      <c r="U280" s="12" t="b">
        <v>0</v>
      </c>
      <c r="V280" s="15" t="b">
        <v>1</v>
      </c>
      <c r="W280" s="164">
        <v>45901</v>
      </c>
      <c r="X280" s="140"/>
      <c r="Y280" s="162">
        <v>129141</v>
      </c>
    </row>
    <row r="281" spans="1:25" hidden="1" x14ac:dyDescent="0.25">
      <c r="A281" s="158" t="str">
        <f>PSPOINTS[[#This Row],[PayScaleCode]]&amp;PSPOINTS[[#This Row],[RateDateFrom]]</f>
        <v>LS_INN45901</v>
      </c>
      <c r="B281" s="57">
        <f t="shared" si="4"/>
        <v>0</v>
      </c>
      <c r="C281" s="57" t="str">
        <f>PSPOINTS[[#This Row],[PayScaleCode]]&amp;PSPOINTS[[#This Row],[PayScalePointCode]]&amp;PSPOINTS[[#This Row],[RateDateFrom]]</f>
        <v>LS_INNL3645901</v>
      </c>
      <c r="D281" s="57">
        <f>COUNTIF(PSPOINTS[Pay Scale String Duplicates],PSPOINTS[[#This Row],[Pay Scale String Duplicates]])-1</f>
        <v>0</v>
      </c>
      <c r="E281" s="57">
        <f>IF((MONTH(_xlfn.XLOOKUP(PSPOINTS[[#This Row],[PayScaleCode]],'19_PayScales'!N:N,'19_PayScales'!R:R)))=MONTH(PSPOINTS[[#This Row],[RateDateFrom]]),0,1)</f>
        <v>0</v>
      </c>
      <c r="F281" s="57">
        <f>IF(ISBLANK(PSPOINTS[[#This Row],[RateDateTo]]),0,IF(PSPOINTS[[#This Row],[RateDateFrom]]&lt;PSPOINTS[[#This Row],[RateDateTo]],0,1))</f>
        <v>0</v>
      </c>
      <c r="G281" s="57" cm="1">
        <f t="array" aca="1" ref="G281" ca="1">IF(CELL("format",PSPOINTS[[#This Row],[RateDateFrom]])="D1",0,1)+IF(CELL("format",PSPOINTS[[#This Row],[RateDateTo]])="D1",0,1)</f>
        <v>0</v>
      </c>
      <c r="H281" s="57">
        <f>IF(OR(PSPOINTS[[#This Row],[Hourly]]=TRUE,PSPOINTS[[#This Row],[Hourly]]=FALSE),IF(OR(PSPOINTS[[#This Row],[PayScalePointEnabled]]=TRUE,PSPOINTS[[#This Row],[PayScalePointEnabled]]=FALSE),0,1),1)</f>
        <v>0</v>
      </c>
      <c r="I281" s="57">
        <f>IF(LEN(PSPOINTS[[#This Row],[PayScalePointCode]])&lt;100,0,1)</f>
        <v>0</v>
      </c>
      <c r="J281" s="57">
        <f>IF(LEN(PSPOINTS[[#This Row],[PayScalePointTitle]])&lt;100,0,1)</f>
        <v>0</v>
      </c>
      <c r="K281" s="57">
        <f>(COUNTBLANK(PSPOINTS[[#This Row],[PayScalePointCode]:[RateDateFrom]])+COUNTBLANK(PSPOINTS[[#This Row],[PayScaleRate]]))</f>
        <v>0</v>
      </c>
      <c r="L281" s="120">
        <f>IF(SUBSTITUTE(TEXT(PSPOINTS[[#This Row],[PayScaleCode]],10)," ","")=TEXT(PSPOINTS[[#This Row],[PayScaleCode]],10),0,1)+IF(SUBSTITUTE(TEXT(PSPOINTS[[#This Row],[PayScalePointCode]],10)," ","")=TEXT(PSPOINTS[[#This Row],[PayScalePointCode]],10),0,1)</f>
        <v>0</v>
      </c>
      <c r="M281" s="57">
        <f ca="1">SUM(PSPOINTS[[#This Row],[Scale Point Issue]:[Space in Code]])</f>
        <v>0</v>
      </c>
      <c r="N281" s="57" t="s">
        <v>1401</v>
      </c>
      <c r="P281" s="12" t="s">
        <v>1408</v>
      </c>
      <c r="Q281" s="57" t="str">
        <f>_xlfn.XLOOKUP(PSPOINTS[[#This Row],[PayScaleCode]],'19_PayScales'!N:N,'19_PayScales'!O:O)</f>
        <v>Leadership Group Inner</v>
      </c>
      <c r="R281" s="12" t="s">
        <v>1578</v>
      </c>
      <c r="S281" s="12" t="s">
        <v>1578</v>
      </c>
      <c r="T281" s="12">
        <v>36</v>
      </c>
      <c r="U281" s="12" t="b">
        <v>0</v>
      </c>
      <c r="V281" s="15" t="b">
        <v>1</v>
      </c>
      <c r="W281" s="164">
        <v>45901</v>
      </c>
      <c r="X281" s="140"/>
      <c r="Y281" s="162">
        <v>132092</v>
      </c>
    </row>
    <row r="282" spans="1:25" hidden="1" x14ac:dyDescent="0.25">
      <c r="A282" s="158" t="str">
        <f>PSPOINTS[[#This Row],[PayScaleCode]]&amp;PSPOINTS[[#This Row],[RateDateFrom]]</f>
        <v>LS_INN45901</v>
      </c>
      <c r="B282" s="57">
        <f t="shared" si="4"/>
        <v>0</v>
      </c>
      <c r="C282" s="57" t="str">
        <f>PSPOINTS[[#This Row],[PayScaleCode]]&amp;PSPOINTS[[#This Row],[PayScalePointCode]]&amp;PSPOINTS[[#This Row],[RateDateFrom]]</f>
        <v>LS_INNL3745901</v>
      </c>
      <c r="D282" s="57">
        <f>COUNTIF(PSPOINTS[Pay Scale String Duplicates],PSPOINTS[[#This Row],[Pay Scale String Duplicates]])-1</f>
        <v>0</v>
      </c>
      <c r="E282" s="57">
        <f>IF((MONTH(_xlfn.XLOOKUP(PSPOINTS[[#This Row],[PayScaleCode]],'19_PayScales'!N:N,'19_PayScales'!R:R)))=MONTH(PSPOINTS[[#This Row],[RateDateFrom]]),0,1)</f>
        <v>0</v>
      </c>
      <c r="F282" s="57">
        <f>IF(ISBLANK(PSPOINTS[[#This Row],[RateDateTo]]),0,IF(PSPOINTS[[#This Row],[RateDateFrom]]&lt;PSPOINTS[[#This Row],[RateDateTo]],0,1))</f>
        <v>0</v>
      </c>
      <c r="G282" s="57" cm="1">
        <f t="array" aca="1" ref="G282" ca="1">IF(CELL("format",PSPOINTS[[#This Row],[RateDateFrom]])="D1",0,1)+IF(CELL("format",PSPOINTS[[#This Row],[RateDateTo]])="D1",0,1)</f>
        <v>0</v>
      </c>
      <c r="H282" s="57">
        <f>IF(OR(PSPOINTS[[#This Row],[Hourly]]=TRUE,PSPOINTS[[#This Row],[Hourly]]=FALSE),IF(OR(PSPOINTS[[#This Row],[PayScalePointEnabled]]=TRUE,PSPOINTS[[#This Row],[PayScalePointEnabled]]=FALSE),0,1),1)</f>
        <v>0</v>
      </c>
      <c r="I282" s="57">
        <f>IF(LEN(PSPOINTS[[#This Row],[PayScalePointCode]])&lt;100,0,1)</f>
        <v>0</v>
      </c>
      <c r="J282" s="57">
        <f>IF(LEN(PSPOINTS[[#This Row],[PayScalePointTitle]])&lt;100,0,1)</f>
        <v>0</v>
      </c>
      <c r="K282" s="57">
        <f>(COUNTBLANK(PSPOINTS[[#This Row],[PayScalePointCode]:[RateDateFrom]])+COUNTBLANK(PSPOINTS[[#This Row],[PayScaleRate]]))</f>
        <v>0</v>
      </c>
      <c r="L282" s="120">
        <f>IF(SUBSTITUTE(TEXT(PSPOINTS[[#This Row],[PayScaleCode]],10)," ","")=TEXT(PSPOINTS[[#This Row],[PayScaleCode]],10),0,1)+IF(SUBSTITUTE(TEXT(PSPOINTS[[#This Row],[PayScalePointCode]],10)," ","")=TEXT(PSPOINTS[[#This Row],[PayScalePointCode]],10),0,1)</f>
        <v>0</v>
      </c>
      <c r="M282" s="57">
        <f ca="1">SUM(PSPOINTS[[#This Row],[Scale Point Issue]:[Space in Code]])</f>
        <v>0</v>
      </c>
      <c r="N282" s="57" t="s">
        <v>1401</v>
      </c>
      <c r="P282" s="12" t="s">
        <v>1408</v>
      </c>
      <c r="Q282" s="57" t="str">
        <f>_xlfn.XLOOKUP(PSPOINTS[[#This Row],[PayScaleCode]],'19_PayScales'!N:N,'19_PayScales'!O:O)</f>
        <v>Leadership Group Inner</v>
      </c>
      <c r="R282" s="12" t="s">
        <v>1579</v>
      </c>
      <c r="S282" s="12" t="s">
        <v>1579</v>
      </c>
      <c r="T282" s="12">
        <v>37</v>
      </c>
      <c r="U282" s="12" t="b">
        <v>0</v>
      </c>
      <c r="V282" s="15" t="b">
        <v>1</v>
      </c>
      <c r="W282" s="164">
        <v>45901</v>
      </c>
      <c r="X282" s="140"/>
      <c r="Y282" s="162">
        <v>135141</v>
      </c>
    </row>
    <row r="283" spans="1:25" hidden="1" x14ac:dyDescent="0.25">
      <c r="A283" s="158" t="str">
        <f>PSPOINTS[[#This Row],[PayScaleCode]]&amp;PSPOINTS[[#This Row],[RateDateFrom]]</f>
        <v>LS_INN45901</v>
      </c>
      <c r="B283" s="57">
        <f t="shared" si="4"/>
        <v>0</v>
      </c>
      <c r="C283" s="57" t="str">
        <f>PSPOINTS[[#This Row],[PayScaleCode]]&amp;PSPOINTS[[#This Row],[PayScalePointCode]]&amp;PSPOINTS[[#This Row],[RateDateFrom]]</f>
        <v>LS_INNL3845901</v>
      </c>
      <c r="D283" s="57">
        <f>COUNTIF(PSPOINTS[Pay Scale String Duplicates],PSPOINTS[[#This Row],[Pay Scale String Duplicates]])-1</f>
        <v>0</v>
      </c>
      <c r="E283" s="57">
        <f>IF((MONTH(_xlfn.XLOOKUP(PSPOINTS[[#This Row],[PayScaleCode]],'19_PayScales'!N:N,'19_PayScales'!R:R)))=MONTH(PSPOINTS[[#This Row],[RateDateFrom]]),0,1)</f>
        <v>0</v>
      </c>
      <c r="F283" s="57">
        <f>IF(ISBLANK(PSPOINTS[[#This Row],[RateDateTo]]),0,IF(PSPOINTS[[#This Row],[RateDateFrom]]&lt;PSPOINTS[[#This Row],[RateDateTo]],0,1))</f>
        <v>0</v>
      </c>
      <c r="G283" s="57" cm="1">
        <f t="array" aca="1" ref="G283" ca="1">IF(CELL("format",PSPOINTS[[#This Row],[RateDateFrom]])="D1",0,1)+IF(CELL("format",PSPOINTS[[#This Row],[RateDateTo]])="D1",0,1)</f>
        <v>0</v>
      </c>
      <c r="H283" s="57">
        <f>IF(OR(PSPOINTS[[#This Row],[Hourly]]=TRUE,PSPOINTS[[#This Row],[Hourly]]=FALSE),IF(OR(PSPOINTS[[#This Row],[PayScalePointEnabled]]=TRUE,PSPOINTS[[#This Row],[PayScalePointEnabled]]=FALSE),0,1),1)</f>
        <v>0</v>
      </c>
      <c r="I283" s="57">
        <f>IF(LEN(PSPOINTS[[#This Row],[PayScalePointCode]])&lt;100,0,1)</f>
        <v>0</v>
      </c>
      <c r="J283" s="57">
        <f>IF(LEN(PSPOINTS[[#This Row],[PayScalePointTitle]])&lt;100,0,1)</f>
        <v>0</v>
      </c>
      <c r="K283" s="57">
        <f>(COUNTBLANK(PSPOINTS[[#This Row],[PayScalePointCode]:[RateDateFrom]])+COUNTBLANK(PSPOINTS[[#This Row],[PayScaleRate]]))</f>
        <v>0</v>
      </c>
      <c r="L283" s="120">
        <f>IF(SUBSTITUTE(TEXT(PSPOINTS[[#This Row],[PayScaleCode]],10)," ","")=TEXT(PSPOINTS[[#This Row],[PayScaleCode]],10),0,1)+IF(SUBSTITUTE(TEXT(PSPOINTS[[#This Row],[PayScalePointCode]],10)," ","")=TEXT(PSPOINTS[[#This Row],[PayScalePointCode]],10),0,1)</f>
        <v>0</v>
      </c>
      <c r="M283" s="57">
        <f ca="1">SUM(PSPOINTS[[#This Row],[Scale Point Issue]:[Space in Code]])</f>
        <v>0</v>
      </c>
      <c r="N283" s="57" t="s">
        <v>1401</v>
      </c>
      <c r="P283" s="12" t="s">
        <v>1408</v>
      </c>
      <c r="Q283" s="57" t="str">
        <f>_xlfn.XLOOKUP(PSPOINTS[[#This Row],[PayScaleCode]],'19_PayScales'!N:N,'19_PayScales'!O:O)</f>
        <v>Leadership Group Inner</v>
      </c>
      <c r="R283" s="12" t="s">
        <v>1580</v>
      </c>
      <c r="S283" s="12" t="s">
        <v>1580</v>
      </c>
      <c r="T283" s="12">
        <v>38</v>
      </c>
      <c r="U283" s="12" t="b">
        <v>0</v>
      </c>
      <c r="V283" s="15" t="b">
        <v>1</v>
      </c>
      <c r="W283" s="164">
        <v>45901</v>
      </c>
      <c r="X283" s="140"/>
      <c r="Y283" s="162">
        <v>138235</v>
      </c>
    </row>
    <row r="284" spans="1:25" hidden="1" x14ac:dyDescent="0.25">
      <c r="A284" s="158" t="str">
        <f>PSPOINTS[[#This Row],[PayScaleCode]]&amp;PSPOINTS[[#This Row],[RateDateFrom]]</f>
        <v>LS_INN45901</v>
      </c>
      <c r="B284" s="57">
        <f t="shared" si="4"/>
        <v>0</v>
      </c>
      <c r="C284" s="57" t="str">
        <f>PSPOINTS[[#This Row],[PayScaleCode]]&amp;PSPOINTS[[#This Row],[PayScalePointCode]]&amp;PSPOINTS[[#This Row],[RateDateFrom]]</f>
        <v>LS_INNL3945901</v>
      </c>
      <c r="D284" s="57">
        <f>COUNTIF(PSPOINTS[Pay Scale String Duplicates],PSPOINTS[[#This Row],[Pay Scale String Duplicates]])-1</f>
        <v>0</v>
      </c>
      <c r="E284" s="57">
        <f>IF((MONTH(_xlfn.XLOOKUP(PSPOINTS[[#This Row],[PayScaleCode]],'19_PayScales'!N:N,'19_PayScales'!R:R)))=MONTH(PSPOINTS[[#This Row],[RateDateFrom]]),0,1)</f>
        <v>0</v>
      </c>
      <c r="F284" s="57">
        <f>IF(ISBLANK(PSPOINTS[[#This Row],[RateDateTo]]),0,IF(PSPOINTS[[#This Row],[RateDateFrom]]&lt;PSPOINTS[[#This Row],[RateDateTo]],0,1))</f>
        <v>0</v>
      </c>
      <c r="G284" s="57" cm="1">
        <f t="array" aca="1" ref="G284" ca="1">IF(CELL("format",PSPOINTS[[#This Row],[RateDateFrom]])="D1",0,1)+IF(CELL("format",PSPOINTS[[#This Row],[RateDateTo]])="D1",0,1)</f>
        <v>0</v>
      </c>
      <c r="H284" s="57">
        <f>IF(OR(PSPOINTS[[#This Row],[Hourly]]=TRUE,PSPOINTS[[#This Row],[Hourly]]=FALSE),IF(OR(PSPOINTS[[#This Row],[PayScalePointEnabled]]=TRUE,PSPOINTS[[#This Row],[PayScalePointEnabled]]=FALSE),0,1),1)</f>
        <v>0</v>
      </c>
      <c r="I284" s="57">
        <f>IF(LEN(PSPOINTS[[#This Row],[PayScalePointCode]])&lt;100,0,1)</f>
        <v>0</v>
      </c>
      <c r="J284" s="57">
        <f>IF(LEN(PSPOINTS[[#This Row],[PayScalePointTitle]])&lt;100,0,1)</f>
        <v>0</v>
      </c>
      <c r="K284" s="57">
        <f>(COUNTBLANK(PSPOINTS[[#This Row],[PayScalePointCode]:[RateDateFrom]])+COUNTBLANK(PSPOINTS[[#This Row],[PayScaleRate]]))</f>
        <v>0</v>
      </c>
      <c r="L284" s="120">
        <f>IF(SUBSTITUTE(TEXT(PSPOINTS[[#This Row],[PayScaleCode]],10)," ","")=TEXT(PSPOINTS[[#This Row],[PayScaleCode]],10),0,1)+IF(SUBSTITUTE(TEXT(PSPOINTS[[#This Row],[PayScalePointCode]],10)," ","")=TEXT(PSPOINTS[[#This Row],[PayScalePointCode]],10),0,1)</f>
        <v>0</v>
      </c>
      <c r="M284" s="57">
        <f ca="1">SUM(PSPOINTS[[#This Row],[Scale Point Issue]:[Space in Code]])</f>
        <v>0</v>
      </c>
      <c r="N284" s="57" t="s">
        <v>1401</v>
      </c>
      <c r="P284" s="12" t="s">
        <v>1408</v>
      </c>
      <c r="Q284" s="57" t="str">
        <f>_xlfn.XLOOKUP(PSPOINTS[[#This Row],[PayScaleCode]],'19_PayScales'!N:N,'19_PayScales'!O:O)</f>
        <v>Leadership Group Inner</v>
      </c>
      <c r="R284" s="12" t="s">
        <v>1581</v>
      </c>
      <c r="S284" s="12" t="s">
        <v>1581</v>
      </c>
      <c r="T284" s="12">
        <v>39</v>
      </c>
      <c r="U284" s="12" t="b">
        <v>0</v>
      </c>
      <c r="V284" s="15" t="b">
        <v>1</v>
      </c>
      <c r="W284" s="164">
        <v>45901</v>
      </c>
      <c r="X284" s="140"/>
      <c r="Y284" s="162">
        <v>141365</v>
      </c>
    </row>
    <row r="285" spans="1:25" hidden="1" x14ac:dyDescent="0.25">
      <c r="A285" s="158" t="str">
        <f>PSPOINTS[[#This Row],[PayScaleCode]]&amp;PSPOINTS[[#This Row],[RateDateFrom]]</f>
        <v>LS_INN45901</v>
      </c>
      <c r="B285" s="57">
        <f t="shared" si="4"/>
        <v>0</v>
      </c>
      <c r="C285" s="57" t="str">
        <f>PSPOINTS[[#This Row],[PayScaleCode]]&amp;PSPOINTS[[#This Row],[PayScalePointCode]]&amp;PSPOINTS[[#This Row],[RateDateFrom]]</f>
        <v>LS_INNL4045901</v>
      </c>
      <c r="D285" s="57">
        <f>COUNTIF(PSPOINTS[Pay Scale String Duplicates],PSPOINTS[[#This Row],[Pay Scale String Duplicates]])-1</f>
        <v>0</v>
      </c>
      <c r="E285" s="57">
        <f>IF((MONTH(_xlfn.XLOOKUP(PSPOINTS[[#This Row],[PayScaleCode]],'19_PayScales'!N:N,'19_PayScales'!R:R)))=MONTH(PSPOINTS[[#This Row],[RateDateFrom]]),0,1)</f>
        <v>0</v>
      </c>
      <c r="F285" s="57">
        <f>IF(ISBLANK(PSPOINTS[[#This Row],[RateDateTo]]),0,IF(PSPOINTS[[#This Row],[RateDateFrom]]&lt;PSPOINTS[[#This Row],[RateDateTo]],0,1))</f>
        <v>0</v>
      </c>
      <c r="G285" s="57" cm="1">
        <f t="array" aca="1" ref="G285" ca="1">IF(CELL("format",PSPOINTS[[#This Row],[RateDateFrom]])="D1",0,1)+IF(CELL("format",PSPOINTS[[#This Row],[RateDateTo]])="D1",0,1)</f>
        <v>0</v>
      </c>
      <c r="H285" s="57">
        <f>IF(OR(PSPOINTS[[#This Row],[Hourly]]=TRUE,PSPOINTS[[#This Row],[Hourly]]=FALSE),IF(OR(PSPOINTS[[#This Row],[PayScalePointEnabled]]=TRUE,PSPOINTS[[#This Row],[PayScalePointEnabled]]=FALSE),0,1),1)</f>
        <v>0</v>
      </c>
      <c r="I285" s="57">
        <f>IF(LEN(PSPOINTS[[#This Row],[PayScalePointCode]])&lt;100,0,1)</f>
        <v>0</v>
      </c>
      <c r="J285" s="57">
        <f>IF(LEN(PSPOINTS[[#This Row],[PayScalePointTitle]])&lt;100,0,1)</f>
        <v>0</v>
      </c>
      <c r="K285" s="57">
        <f>(COUNTBLANK(PSPOINTS[[#This Row],[PayScalePointCode]:[RateDateFrom]])+COUNTBLANK(PSPOINTS[[#This Row],[PayScaleRate]]))</f>
        <v>0</v>
      </c>
      <c r="L285" s="120">
        <f>IF(SUBSTITUTE(TEXT(PSPOINTS[[#This Row],[PayScaleCode]],10)," ","")=TEXT(PSPOINTS[[#This Row],[PayScaleCode]],10),0,1)+IF(SUBSTITUTE(TEXT(PSPOINTS[[#This Row],[PayScalePointCode]],10)," ","")=TEXT(PSPOINTS[[#This Row],[PayScalePointCode]],10),0,1)</f>
        <v>0</v>
      </c>
      <c r="M285" s="57">
        <f ca="1">SUM(PSPOINTS[[#This Row],[Scale Point Issue]:[Space in Code]])</f>
        <v>0</v>
      </c>
      <c r="N285" s="57" t="s">
        <v>1401</v>
      </c>
      <c r="P285" s="12" t="s">
        <v>1408</v>
      </c>
      <c r="Q285" s="57" t="str">
        <f>_xlfn.XLOOKUP(PSPOINTS[[#This Row],[PayScaleCode]],'19_PayScales'!N:N,'19_PayScales'!O:O)</f>
        <v>Leadership Group Inner</v>
      </c>
      <c r="R285" s="12" t="s">
        <v>1582</v>
      </c>
      <c r="S285" s="12" t="s">
        <v>1582</v>
      </c>
      <c r="T285" s="12">
        <v>40</v>
      </c>
      <c r="U285" s="12" t="b">
        <v>0</v>
      </c>
      <c r="V285" s="15" t="b">
        <v>1</v>
      </c>
      <c r="W285" s="164">
        <v>45901</v>
      </c>
      <c r="X285" s="140"/>
      <c r="Y285" s="162">
        <v>144656</v>
      </c>
    </row>
    <row r="286" spans="1:25" hidden="1" x14ac:dyDescent="0.25">
      <c r="A286" s="158" t="str">
        <f>PSPOINTS[[#This Row],[PayScaleCode]]&amp;PSPOINTS[[#This Row],[RateDateFrom]]</f>
        <v>LS_INN45901</v>
      </c>
      <c r="B286" s="57">
        <f t="shared" si="4"/>
        <v>0</v>
      </c>
      <c r="C286" s="57" t="str">
        <f>PSPOINTS[[#This Row],[PayScaleCode]]&amp;PSPOINTS[[#This Row],[PayScalePointCode]]&amp;PSPOINTS[[#This Row],[RateDateFrom]]</f>
        <v>LS_INNL4145901</v>
      </c>
      <c r="D286" s="57">
        <f>COUNTIF(PSPOINTS[Pay Scale String Duplicates],PSPOINTS[[#This Row],[Pay Scale String Duplicates]])-1</f>
        <v>0</v>
      </c>
      <c r="E286" s="57">
        <f>IF((MONTH(_xlfn.XLOOKUP(PSPOINTS[[#This Row],[PayScaleCode]],'19_PayScales'!N:N,'19_PayScales'!R:R)))=MONTH(PSPOINTS[[#This Row],[RateDateFrom]]),0,1)</f>
        <v>0</v>
      </c>
      <c r="F286" s="57">
        <f>IF(ISBLANK(PSPOINTS[[#This Row],[RateDateTo]]),0,IF(PSPOINTS[[#This Row],[RateDateFrom]]&lt;PSPOINTS[[#This Row],[RateDateTo]],0,1))</f>
        <v>0</v>
      </c>
      <c r="G286" s="57" cm="1">
        <f t="array" aca="1" ref="G286" ca="1">IF(CELL("format",PSPOINTS[[#This Row],[RateDateFrom]])="D1",0,1)+IF(CELL("format",PSPOINTS[[#This Row],[RateDateTo]])="D1",0,1)</f>
        <v>0</v>
      </c>
      <c r="H286" s="57">
        <f>IF(OR(PSPOINTS[[#This Row],[Hourly]]=TRUE,PSPOINTS[[#This Row],[Hourly]]=FALSE),IF(OR(PSPOINTS[[#This Row],[PayScalePointEnabled]]=TRUE,PSPOINTS[[#This Row],[PayScalePointEnabled]]=FALSE),0,1),1)</f>
        <v>0</v>
      </c>
      <c r="I286" s="57">
        <f>IF(LEN(PSPOINTS[[#This Row],[PayScalePointCode]])&lt;100,0,1)</f>
        <v>0</v>
      </c>
      <c r="J286" s="57">
        <f>IF(LEN(PSPOINTS[[#This Row],[PayScalePointTitle]])&lt;100,0,1)</f>
        <v>0</v>
      </c>
      <c r="K286" s="57">
        <f>(COUNTBLANK(PSPOINTS[[#This Row],[PayScalePointCode]:[RateDateFrom]])+COUNTBLANK(PSPOINTS[[#This Row],[PayScaleRate]]))</f>
        <v>0</v>
      </c>
      <c r="L286" s="120">
        <f>IF(SUBSTITUTE(TEXT(PSPOINTS[[#This Row],[PayScaleCode]],10)," ","")=TEXT(PSPOINTS[[#This Row],[PayScaleCode]],10),0,1)+IF(SUBSTITUTE(TEXT(PSPOINTS[[#This Row],[PayScalePointCode]],10)," ","")=TEXT(PSPOINTS[[#This Row],[PayScalePointCode]],10),0,1)</f>
        <v>0</v>
      </c>
      <c r="M286" s="57">
        <f ca="1">SUM(PSPOINTS[[#This Row],[Scale Point Issue]:[Space in Code]])</f>
        <v>0</v>
      </c>
      <c r="N286" s="57" t="s">
        <v>1401</v>
      </c>
      <c r="P286" s="12" t="s">
        <v>1408</v>
      </c>
      <c r="Q286" s="57" t="str">
        <f>_xlfn.XLOOKUP(PSPOINTS[[#This Row],[PayScaleCode]],'19_PayScales'!N:N,'19_PayScales'!O:O)</f>
        <v>Leadership Group Inner</v>
      </c>
      <c r="R286" s="12" t="s">
        <v>1583</v>
      </c>
      <c r="S286" s="12" t="s">
        <v>1583</v>
      </c>
      <c r="T286" s="12">
        <v>41</v>
      </c>
      <c r="U286" s="12" t="b">
        <v>0</v>
      </c>
      <c r="V286" s="15" t="b">
        <v>1</v>
      </c>
      <c r="W286" s="164">
        <v>45901</v>
      </c>
      <c r="X286" s="140"/>
      <c r="Y286" s="162">
        <v>148028</v>
      </c>
    </row>
    <row r="287" spans="1:25" hidden="1" x14ac:dyDescent="0.25">
      <c r="A287" s="158" t="str">
        <f>PSPOINTS[[#This Row],[PayScaleCode]]&amp;PSPOINTS[[#This Row],[RateDateFrom]]</f>
        <v>LS_INN45901</v>
      </c>
      <c r="B287" s="57">
        <f t="shared" si="4"/>
        <v>0</v>
      </c>
      <c r="C287" s="57" t="str">
        <f>PSPOINTS[[#This Row],[PayScaleCode]]&amp;PSPOINTS[[#This Row],[PayScalePointCode]]&amp;PSPOINTS[[#This Row],[RateDateFrom]]</f>
        <v>LS_INNL4245901</v>
      </c>
      <c r="D287" s="57">
        <f>COUNTIF(PSPOINTS[Pay Scale String Duplicates],PSPOINTS[[#This Row],[Pay Scale String Duplicates]])-1</f>
        <v>0</v>
      </c>
      <c r="E287" s="57">
        <f>IF((MONTH(_xlfn.XLOOKUP(PSPOINTS[[#This Row],[PayScaleCode]],'19_PayScales'!N:N,'19_PayScales'!R:R)))=MONTH(PSPOINTS[[#This Row],[RateDateFrom]]),0,1)</f>
        <v>0</v>
      </c>
      <c r="F287" s="57">
        <f>IF(ISBLANK(PSPOINTS[[#This Row],[RateDateTo]]),0,IF(PSPOINTS[[#This Row],[RateDateFrom]]&lt;PSPOINTS[[#This Row],[RateDateTo]],0,1))</f>
        <v>0</v>
      </c>
      <c r="G287" s="57" cm="1">
        <f t="array" aca="1" ref="G287" ca="1">IF(CELL("format",PSPOINTS[[#This Row],[RateDateFrom]])="D1",0,1)+IF(CELL("format",PSPOINTS[[#This Row],[RateDateTo]])="D1",0,1)</f>
        <v>0</v>
      </c>
      <c r="H287" s="57">
        <f>IF(OR(PSPOINTS[[#This Row],[Hourly]]=TRUE,PSPOINTS[[#This Row],[Hourly]]=FALSE),IF(OR(PSPOINTS[[#This Row],[PayScalePointEnabled]]=TRUE,PSPOINTS[[#This Row],[PayScalePointEnabled]]=FALSE),0,1),1)</f>
        <v>0</v>
      </c>
      <c r="I287" s="57">
        <f>IF(LEN(PSPOINTS[[#This Row],[PayScalePointCode]])&lt;100,0,1)</f>
        <v>0</v>
      </c>
      <c r="J287" s="57">
        <f>IF(LEN(PSPOINTS[[#This Row],[PayScalePointTitle]])&lt;100,0,1)</f>
        <v>0</v>
      </c>
      <c r="K287" s="57">
        <f>(COUNTBLANK(PSPOINTS[[#This Row],[PayScalePointCode]:[RateDateFrom]])+COUNTBLANK(PSPOINTS[[#This Row],[PayScaleRate]]))</f>
        <v>0</v>
      </c>
      <c r="L287" s="120">
        <f>IF(SUBSTITUTE(TEXT(PSPOINTS[[#This Row],[PayScaleCode]],10)," ","")=TEXT(PSPOINTS[[#This Row],[PayScaleCode]],10),0,1)+IF(SUBSTITUTE(TEXT(PSPOINTS[[#This Row],[PayScalePointCode]],10)," ","")=TEXT(PSPOINTS[[#This Row],[PayScalePointCode]],10),0,1)</f>
        <v>0</v>
      </c>
      <c r="M287" s="57">
        <f ca="1">SUM(PSPOINTS[[#This Row],[Scale Point Issue]:[Space in Code]])</f>
        <v>0</v>
      </c>
      <c r="N287" s="57" t="s">
        <v>1401</v>
      </c>
      <c r="P287" s="12" t="s">
        <v>1408</v>
      </c>
      <c r="Q287" s="57" t="str">
        <f>_xlfn.XLOOKUP(PSPOINTS[[#This Row],[PayScaleCode]],'19_PayScales'!N:N,'19_PayScales'!O:O)</f>
        <v>Leadership Group Inner</v>
      </c>
      <c r="R287" s="12" t="s">
        <v>1584</v>
      </c>
      <c r="S287" s="12" t="s">
        <v>1584</v>
      </c>
      <c r="T287" s="12">
        <v>42</v>
      </c>
      <c r="U287" s="12" t="b">
        <v>0</v>
      </c>
      <c r="V287" s="15" t="b">
        <v>1</v>
      </c>
      <c r="W287" s="164">
        <v>45901</v>
      </c>
      <c r="X287" s="140"/>
      <c r="Y287" s="162">
        <v>151483</v>
      </c>
    </row>
    <row r="288" spans="1:25" hidden="1" x14ac:dyDescent="0.25">
      <c r="A288" s="158" t="str">
        <f>PSPOINTS[[#This Row],[PayScaleCode]]&amp;PSPOINTS[[#This Row],[RateDateFrom]]</f>
        <v>LS_INN45901</v>
      </c>
      <c r="B288" s="57">
        <f t="shared" si="4"/>
        <v>0</v>
      </c>
      <c r="C288" s="57" t="str">
        <f>PSPOINTS[[#This Row],[PayScaleCode]]&amp;PSPOINTS[[#This Row],[PayScalePointCode]]&amp;PSPOINTS[[#This Row],[RateDateFrom]]</f>
        <v>LS_INNL4345901</v>
      </c>
      <c r="D288" s="57">
        <f>COUNTIF(PSPOINTS[Pay Scale String Duplicates],PSPOINTS[[#This Row],[Pay Scale String Duplicates]])-1</f>
        <v>0</v>
      </c>
      <c r="E288" s="57">
        <f>IF((MONTH(_xlfn.XLOOKUP(PSPOINTS[[#This Row],[PayScaleCode]],'19_PayScales'!N:N,'19_PayScales'!R:R)))=MONTH(PSPOINTS[[#This Row],[RateDateFrom]]),0,1)</f>
        <v>0</v>
      </c>
      <c r="F288" s="57">
        <f>IF(ISBLANK(PSPOINTS[[#This Row],[RateDateTo]]),0,IF(PSPOINTS[[#This Row],[RateDateFrom]]&lt;PSPOINTS[[#This Row],[RateDateTo]],0,1))</f>
        <v>0</v>
      </c>
      <c r="G288" s="57" cm="1">
        <f t="array" aca="1" ref="G288" ca="1">IF(CELL("format",PSPOINTS[[#This Row],[RateDateFrom]])="D1",0,1)+IF(CELL("format",PSPOINTS[[#This Row],[RateDateTo]])="D1",0,1)</f>
        <v>0</v>
      </c>
      <c r="H288" s="57">
        <f>IF(OR(PSPOINTS[[#This Row],[Hourly]]=TRUE,PSPOINTS[[#This Row],[Hourly]]=FALSE),IF(OR(PSPOINTS[[#This Row],[PayScalePointEnabled]]=TRUE,PSPOINTS[[#This Row],[PayScalePointEnabled]]=FALSE),0,1),1)</f>
        <v>0</v>
      </c>
      <c r="I288" s="57">
        <f>IF(LEN(PSPOINTS[[#This Row],[PayScalePointCode]])&lt;100,0,1)</f>
        <v>0</v>
      </c>
      <c r="J288" s="57">
        <f>IF(LEN(PSPOINTS[[#This Row],[PayScalePointTitle]])&lt;100,0,1)</f>
        <v>0</v>
      </c>
      <c r="K288" s="57">
        <f>(COUNTBLANK(PSPOINTS[[#This Row],[PayScalePointCode]:[RateDateFrom]])+COUNTBLANK(PSPOINTS[[#This Row],[PayScaleRate]]))</f>
        <v>0</v>
      </c>
      <c r="L288" s="120">
        <f>IF(SUBSTITUTE(TEXT(PSPOINTS[[#This Row],[PayScaleCode]],10)," ","")=TEXT(PSPOINTS[[#This Row],[PayScaleCode]],10),0,1)+IF(SUBSTITUTE(TEXT(PSPOINTS[[#This Row],[PayScalePointCode]],10)," ","")=TEXT(PSPOINTS[[#This Row],[PayScalePointCode]],10),0,1)</f>
        <v>0</v>
      </c>
      <c r="M288" s="57">
        <f ca="1">SUM(PSPOINTS[[#This Row],[Scale Point Issue]:[Space in Code]])</f>
        <v>0</v>
      </c>
      <c r="N288" s="57" t="s">
        <v>1401</v>
      </c>
      <c r="P288" s="12" t="s">
        <v>1408</v>
      </c>
      <c r="Q288" s="57" t="str">
        <f>_xlfn.XLOOKUP(PSPOINTS[[#This Row],[PayScaleCode]],'19_PayScales'!N:N,'19_PayScales'!O:O)</f>
        <v>Leadership Group Inner</v>
      </c>
      <c r="R288" s="12" t="s">
        <v>1456</v>
      </c>
      <c r="S288" s="12" t="s">
        <v>1456</v>
      </c>
      <c r="T288" s="12">
        <v>43</v>
      </c>
      <c r="U288" s="12" t="b">
        <v>0</v>
      </c>
      <c r="V288" s="15" t="b">
        <v>1</v>
      </c>
      <c r="W288" s="164">
        <v>45901</v>
      </c>
      <c r="X288" s="140"/>
      <c r="Y288" s="162">
        <v>153490</v>
      </c>
    </row>
    <row r="289" spans="1:25" hidden="1" x14ac:dyDescent="0.25">
      <c r="A289" s="158" t="str">
        <f>PSPOINTS[[#This Row],[PayScaleCode]]&amp;PSPOINTS[[#This Row],[RateDateFrom]]</f>
        <v>NJC_INN45748</v>
      </c>
      <c r="B289" s="57">
        <f t="shared" si="4"/>
        <v>0</v>
      </c>
      <c r="C289" s="57" t="str">
        <f>PSPOINTS[[#This Row],[PayScaleCode]]&amp;PSPOINTS[[#This Row],[PayScalePointCode]]&amp;PSPOINTS[[#This Row],[RateDateFrom]]</f>
        <v>NJC_INN145748</v>
      </c>
      <c r="D289" s="57">
        <f>COUNTIF(PSPOINTS[Pay Scale String Duplicates],PSPOINTS[[#This Row],[Pay Scale String Duplicates]])-1</f>
        <v>0</v>
      </c>
      <c r="E289" s="57">
        <f>IF((MONTH(_xlfn.XLOOKUP(PSPOINTS[[#This Row],[PayScaleCode]],'19_PayScales'!N:N,'19_PayScales'!R:R)))=MONTH(PSPOINTS[[#This Row],[RateDateFrom]]),0,1)</f>
        <v>0</v>
      </c>
      <c r="F289" s="57">
        <f>IF(ISBLANK(PSPOINTS[[#This Row],[RateDateTo]]),0,IF(PSPOINTS[[#This Row],[RateDateFrom]]&lt;PSPOINTS[[#This Row],[RateDateTo]],0,1))</f>
        <v>0</v>
      </c>
      <c r="G289" s="57" cm="1">
        <f t="array" aca="1" ref="G289" ca="1">IF(CELL("format",PSPOINTS[[#This Row],[RateDateFrom]])="D1",0,1)+IF(CELL("format",PSPOINTS[[#This Row],[RateDateTo]])="D1",0,1)</f>
        <v>0</v>
      </c>
      <c r="H289" s="57">
        <f>IF(OR(PSPOINTS[[#This Row],[Hourly]]=TRUE,PSPOINTS[[#This Row],[Hourly]]=FALSE),IF(OR(PSPOINTS[[#This Row],[PayScalePointEnabled]]=TRUE,PSPOINTS[[#This Row],[PayScalePointEnabled]]=FALSE),0,1),1)</f>
        <v>0</v>
      </c>
      <c r="I289" s="57">
        <f>IF(LEN(PSPOINTS[[#This Row],[PayScalePointCode]])&lt;100,0,1)</f>
        <v>0</v>
      </c>
      <c r="J289" s="57">
        <f>IF(LEN(PSPOINTS[[#This Row],[PayScalePointTitle]])&lt;100,0,1)</f>
        <v>0</v>
      </c>
      <c r="K289" s="57">
        <f>(COUNTBLANK(PSPOINTS[[#This Row],[PayScalePointCode]:[RateDateFrom]])+COUNTBLANK(PSPOINTS[[#This Row],[PayScaleRate]]))</f>
        <v>0</v>
      </c>
      <c r="L289" s="120">
        <f>IF(SUBSTITUTE(TEXT(PSPOINTS[[#This Row],[PayScaleCode]],10)," ","")=TEXT(PSPOINTS[[#This Row],[PayScaleCode]],10),0,1)+IF(SUBSTITUTE(TEXT(PSPOINTS[[#This Row],[PayScalePointCode]],10)," ","")=TEXT(PSPOINTS[[#This Row],[PayScalePointCode]],10),0,1)</f>
        <v>0</v>
      </c>
      <c r="M289" s="57">
        <f ca="1">SUM(PSPOINTS[[#This Row],[Scale Point Issue]:[Space in Code]])</f>
        <v>0</v>
      </c>
      <c r="N289" s="57" t="s">
        <v>1401</v>
      </c>
      <c r="P289" s="12" t="s">
        <v>1410</v>
      </c>
      <c r="Q289" s="57" t="str">
        <f>_xlfn.XLOOKUP(PSPOINTS[[#This Row],[PayScaleCode]],'19_PayScales'!N:N,'19_PayScales'!O:O)</f>
        <v>NJC Inner</v>
      </c>
      <c r="R289" s="12">
        <v>1</v>
      </c>
      <c r="S289" s="12">
        <v>1</v>
      </c>
      <c r="T289" s="12">
        <v>1</v>
      </c>
      <c r="U289" s="12" t="b">
        <v>0</v>
      </c>
      <c r="V289" s="112" t="b">
        <v>0</v>
      </c>
      <c r="W289" s="164">
        <v>45748</v>
      </c>
      <c r="X289" s="140"/>
      <c r="Y289" s="162">
        <v>0</v>
      </c>
    </row>
    <row r="290" spans="1:25" hidden="1" x14ac:dyDescent="0.25">
      <c r="A290" s="158" t="str">
        <f>PSPOINTS[[#This Row],[PayScaleCode]]&amp;PSPOINTS[[#This Row],[RateDateFrom]]</f>
        <v>NJC_INN45748</v>
      </c>
      <c r="B290" s="57">
        <f t="shared" si="4"/>
        <v>0</v>
      </c>
      <c r="C290" s="57" t="str">
        <f>PSPOINTS[[#This Row],[PayScaleCode]]&amp;PSPOINTS[[#This Row],[PayScalePointCode]]&amp;PSPOINTS[[#This Row],[RateDateFrom]]</f>
        <v>NJC_INN245748</v>
      </c>
      <c r="D290" s="57">
        <f>COUNTIF(PSPOINTS[Pay Scale String Duplicates],PSPOINTS[[#This Row],[Pay Scale String Duplicates]])-1</f>
        <v>0</v>
      </c>
      <c r="E290" s="57">
        <f>IF((MONTH(_xlfn.XLOOKUP(PSPOINTS[[#This Row],[PayScaleCode]],'19_PayScales'!N:N,'19_PayScales'!R:R)))=MONTH(PSPOINTS[[#This Row],[RateDateFrom]]),0,1)</f>
        <v>0</v>
      </c>
      <c r="F290" s="57">
        <f>IF(ISBLANK(PSPOINTS[[#This Row],[RateDateTo]]),0,IF(PSPOINTS[[#This Row],[RateDateFrom]]&lt;PSPOINTS[[#This Row],[RateDateTo]],0,1))</f>
        <v>0</v>
      </c>
      <c r="G290" s="57" cm="1">
        <f t="array" aca="1" ref="G290" ca="1">IF(CELL("format",PSPOINTS[[#This Row],[RateDateFrom]])="D1",0,1)+IF(CELL("format",PSPOINTS[[#This Row],[RateDateTo]])="D1",0,1)</f>
        <v>0</v>
      </c>
      <c r="H290" s="57">
        <f>IF(OR(PSPOINTS[[#This Row],[Hourly]]=TRUE,PSPOINTS[[#This Row],[Hourly]]=FALSE),IF(OR(PSPOINTS[[#This Row],[PayScalePointEnabled]]=TRUE,PSPOINTS[[#This Row],[PayScalePointEnabled]]=FALSE),0,1),1)</f>
        <v>0</v>
      </c>
      <c r="I290" s="57">
        <f>IF(LEN(PSPOINTS[[#This Row],[PayScalePointCode]])&lt;100,0,1)</f>
        <v>0</v>
      </c>
      <c r="J290" s="57">
        <f>IF(LEN(PSPOINTS[[#This Row],[PayScalePointTitle]])&lt;100,0,1)</f>
        <v>0</v>
      </c>
      <c r="K290" s="57">
        <f>(COUNTBLANK(PSPOINTS[[#This Row],[PayScalePointCode]:[RateDateFrom]])+COUNTBLANK(PSPOINTS[[#This Row],[PayScaleRate]]))</f>
        <v>0</v>
      </c>
      <c r="L290" s="120">
        <f>IF(SUBSTITUTE(TEXT(PSPOINTS[[#This Row],[PayScaleCode]],10)," ","")=TEXT(PSPOINTS[[#This Row],[PayScaleCode]],10),0,1)+IF(SUBSTITUTE(TEXT(PSPOINTS[[#This Row],[PayScalePointCode]],10)," ","")=TEXT(PSPOINTS[[#This Row],[PayScalePointCode]],10),0,1)</f>
        <v>0</v>
      </c>
      <c r="M290" s="57">
        <f ca="1">SUM(PSPOINTS[[#This Row],[Scale Point Issue]:[Space in Code]])</f>
        <v>0</v>
      </c>
      <c r="N290" s="57" t="s">
        <v>1401</v>
      </c>
      <c r="P290" s="12" t="s">
        <v>1410</v>
      </c>
      <c r="Q290" s="57" t="str">
        <f>_xlfn.XLOOKUP(PSPOINTS[[#This Row],[PayScaleCode]],'19_PayScales'!N:N,'19_PayScales'!O:O)</f>
        <v>NJC Inner</v>
      </c>
      <c r="R290" s="12">
        <v>2</v>
      </c>
      <c r="S290" s="12">
        <v>2</v>
      </c>
      <c r="T290" s="12">
        <v>2</v>
      </c>
      <c r="U290" s="12" t="b">
        <v>0</v>
      </c>
      <c r="V290" s="15" t="b">
        <v>1</v>
      </c>
      <c r="W290" s="164">
        <v>45748</v>
      </c>
      <c r="X290" s="140"/>
      <c r="Y290" s="163">
        <v>29808</v>
      </c>
    </row>
    <row r="291" spans="1:25" hidden="1" x14ac:dyDescent="0.25">
      <c r="A291" s="158" t="str">
        <f>PSPOINTS[[#This Row],[PayScaleCode]]&amp;PSPOINTS[[#This Row],[RateDateFrom]]</f>
        <v>NJC_INN45748</v>
      </c>
      <c r="B291" s="57">
        <f t="shared" si="4"/>
        <v>0</v>
      </c>
      <c r="C291" s="57" t="str">
        <f>PSPOINTS[[#This Row],[PayScaleCode]]&amp;PSPOINTS[[#This Row],[PayScalePointCode]]&amp;PSPOINTS[[#This Row],[RateDateFrom]]</f>
        <v>NJC_INN345748</v>
      </c>
      <c r="D291" s="57">
        <f>COUNTIF(PSPOINTS[Pay Scale String Duplicates],PSPOINTS[[#This Row],[Pay Scale String Duplicates]])-1</f>
        <v>0</v>
      </c>
      <c r="E291" s="57">
        <f>IF((MONTH(_xlfn.XLOOKUP(PSPOINTS[[#This Row],[PayScaleCode]],'19_PayScales'!N:N,'19_PayScales'!R:R)))=MONTH(PSPOINTS[[#This Row],[RateDateFrom]]),0,1)</f>
        <v>0</v>
      </c>
      <c r="F291" s="57">
        <f>IF(ISBLANK(PSPOINTS[[#This Row],[RateDateTo]]),0,IF(PSPOINTS[[#This Row],[RateDateFrom]]&lt;PSPOINTS[[#This Row],[RateDateTo]],0,1))</f>
        <v>0</v>
      </c>
      <c r="G291" s="57" cm="1">
        <f t="array" aca="1" ref="G291" ca="1">IF(CELL("format",PSPOINTS[[#This Row],[RateDateFrom]])="D1",0,1)+IF(CELL("format",PSPOINTS[[#This Row],[RateDateTo]])="D1",0,1)</f>
        <v>0</v>
      </c>
      <c r="H291" s="57">
        <f>IF(OR(PSPOINTS[[#This Row],[Hourly]]=TRUE,PSPOINTS[[#This Row],[Hourly]]=FALSE),IF(OR(PSPOINTS[[#This Row],[PayScalePointEnabled]]=TRUE,PSPOINTS[[#This Row],[PayScalePointEnabled]]=FALSE),0,1),1)</f>
        <v>0</v>
      </c>
      <c r="I291" s="57">
        <f>IF(LEN(PSPOINTS[[#This Row],[PayScalePointCode]])&lt;100,0,1)</f>
        <v>0</v>
      </c>
      <c r="J291" s="57">
        <f>IF(LEN(PSPOINTS[[#This Row],[PayScalePointTitle]])&lt;100,0,1)</f>
        <v>0</v>
      </c>
      <c r="K291" s="57">
        <f>(COUNTBLANK(PSPOINTS[[#This Row],[PayScalePointCode]:[RateDateFrom]])+COUNTBLANK(PSPOINTS[[#This Row],[PayScaleRate]]))</f>
        <v>0</v>
      </c>
      <c r="L291" s="120">
        <f>IF(SUBSTITUTE(TEXT(PSPOINTS[[#This Row],[PayScaleCode]],10)," ","")=TEXT(PSPOINTS[[#This Row],[PayScaleCode]],10),0,1)+IF(SUBSTITUTE(TEXT(PSPOINTS[[#This Row],[PayScalePointCode]],10)," ","")=TEXT(PSPOINTS[[#This Row],[PayScalePointCode]],10),0,1)</f>
        <v>0</v>
      </c>
      <c r="M291" s="57">
        <f ca="1">SUM(PSPOINTS[[#This Row],[Scale Point Issue]:[Space in Code]])</f>
        <v>0</v>
      </c>
      <c r="N291" s="57" t="s">
        <v>1401</v>
      </c>
      <c r="P291" s="12" t="s">
        <v>1410</v>
      </c>
      <c r="Q291" s="57" t="str">
        <f>_xlfn.XLOOKUP(PSPOINTS[[#This Row],[PayScaleCode]],'19_PayScales'!N:N,'19_PayScales'!O:O)</f>
        <v>NJC Inner</v>
      </c>
      <c r="R291" s="12">
        <v>3</v>
      </c>
      <c r="S291" s="12">
        <v>3</v>
      </c>
      <c r="T291" s="12">
        <v>3</v>
      </c>
      <c r="U291" s="12" t="b">
        <v>0</v>
      </c>
      <c r="V291" s="15" t="b">
        <v>1</v>
      </c>
      <c r="W291" s="164">
        <v>45748</v>
      </c>
      <c r="X291" s="140"/>
      <c r="Y291" s="163">
        <v>30225</v>
      </c>
    </row>
    <row r="292" spans="1:25" hidden="1" x14ac:dyDescent="0.25">
      <c r="A292" s="158" t="str">
        <f>PSPOINTS[[#This Row],[PayScaleCode]]&amp;PSPOINTS[[#This Row],[RateDateFrom]]</f>
        <v>NJC_INN45748</v>
      </c>
      <c r="B292" s="57">
        <f t="shared" si="4"/>
        <v>0</v>
      </c>
      <c r="C292" s="57" t="str">
        <f>PSPOINTS[[#This Row],[PayScaleCode]]&amp;PSPOINTS[[#This Row],[PayScalePointCode]]&amp;PSPOINTS[[#This Row],[RateDateFrom]]</f>
        <v>NJC_INN445748</v>
      </c>
      <c r="D292" s="57">
        <f>COUNTIF(PSPOINTS[Pay Scale String Duplicates],PSPOINTS[[#This Row],[Pay Scale String Duplicates]])-1</f>
        <v>0</v>
      </c>
      <c r="E292" s="57">
        <f>IF((MONTH(_xlfn.XLOOKUP(PSPOINTS[[#This Row],[PayScaleCode]],'19_PayScales'!N:N,'19_PayScales'!R:R)))=MONTH(PSPOINTS[[#This Row],[RateDateFrom]]),0,1)</f>
        <v>0</v>
      </c>
      <c r="F292" s="57">
        <f>IF(ISBLANK(PSPOINTS[[#This Row],[RateDateTo]]),0,IF(PSPOINTS[[#This Row],[RateDateFrom]]&lt;PSPOINTS[[#This Row],[RateDateTo]],0,1))</f>
        <v>0</v>
      </c>
      <c r="G292" s="57" cm="1">
        <f t="array" aca="1" ref="G292" ca="1">IF(CELL("format",PSPOINTS[[#This Row],[RateDateFrom]])="D1",0,1)+IF(CELL("format",PSPOINTS[[#This Row],[RateDateTo]])="D1",0,1)</f>
        <v>0</v>
      </c>
      <c r="H292" s="57">
        <f>IF(OR(PSPOINTS[[#This Row],[Hourly]]=TRUE,PSPOINTS[[#This Row],[Hourly]]=FALSE),IF(OR(PSPOINTS[[#This Row],[PayScalePointEnabled]]=TRUE,PSPOINTS[[#This Row],[PayScalePointEnabled]]=FALSE),0,1),1)</f>
        <v>0</v>
      </c>
      <c r="I292" s="57">
        <f>IF(LEN(PSPOINTS[[#This Row],[PayScalePointCode]])&lt;100,0,1)</f>
        <v>0</v>
      </c>
      <c r="J292" s="57">
        <f>IF(LEN(PSPOINTS[[#This Row],[PayScalePointTitle]])&lt;100,0,1)</f>
        <v>0</v>
      </c>
      <c r="K292" s="57">
        <f>(COUNTBLANK(PSPOINTS[[#This Row],[PayScalePointCode]:[RateDateFrom]])+COUNTBLANK(PSPOINTS[[#This Row],[PayScaleRate]]))</f>
        <v>0</v>
      </c>
      <c r="L292" s="120">
        <f>IF(SUBSTITUTE(TEXT(PSPOINTS[[#This Row],[PayScaleCode]],10)," ","")=TEXT(PSPOINTS[[#This Row],[PayScaleCode]],10),0,1)+IF(SUBSTITUTE(TEXT(PSPOINTS[[#This Row],[PayScalePointCode]],10)," ","")=TEXT(PSPOINTS[[#This Row],[PayScalePointCode]],10),0,1)</f>
        <v>0</v>
      </c>
      <c r="M292" s="57">
        <f ca="1">SUM(PSPOINTS[[#This Row],[Scale Point Issue]:[Space in Code]])</f>
        <v>0</v>
      </c>
      <c r="N292" s="57" t="s">
        <v>1401</v>
      </c>
      <c r="P292" s="12" t="s">
        <v>1410</v>
      </c>
      <c r="Q292" s="57" t="str">
        <f>_xlfn.XLOOKUP(PSPOINTS[[#This Row],[PayScaleCode]],'19_PayScales'!N:N,'19_PayScales'!O:O)</f>
        <v>NJC Inner</v>
      </c>
      <c r="R292" s="12">
        <v>4</v>
      </c>
      <c r="S292" s="12">
        <v>4</v>
      </c>
      <c r="T292" s="12">
        <v>4</v>
      </c>
      <c r="U292" s="12" t="b">
        <v>0</v>
      </c>
      <c r="V292" s="15" t="b">
        <v>1</v>
      </c>
      <c r="W292" s="164">
        <v>45748</v>
      </c>
      <c r="X292" s="140"/>
      <c r="Y292" s="163">
        <v>30654</v>
      </c>
    </row>
    <row r="293" spans="1:25" hidden="1" x14ac:dyDescent="0.25">
      <c r="A293" s="158" t="str">
        <f>PSPOINTS[[#This Row],[PayScaleCode]]&amp;PSPOINTS[[#This Row],[RateDateFrom]]</f>
        <v>NJC_INN45748</v>
      </c>
      <c r="B293" s="57">
        <f t="shared" si="4"/>
        <v>0</v>
      </c>
      <c r="C293" s="57" t="str">
        <f>PSPOINTS[[#This Row],[PayScaleCode]]&amp;PSPOINTS[[#This Row],[PayScalePointCode]]&amp;PSPOINTS[[#This Row],[RateDateFrom]]</f>
        <v>NJC_INN545748</v>
      </c>
      <c r="D293" s="57">
        <f>COUNTIF(PSPOINTS[Pay Scale String Duplicates],PSPOINTS[[#This Row],[Pay Scale String Duplicates]])-1</f>
        <v>0</v>
      </c>
      <c r="E293" s="57">
        <f>IF((MONTH(_xlfn.XLOOKUP(PSPOINTS[[#This Row],[PayScaleCode]],'19_PayScales'!N:N,'19_PayScales'!R:R)))=MONTH(PSPOINTS[[#This Row],[RateDateFrom]]),0,1)</f>
        <v>0</v>
      </c>
      <c r="F293" s="57">
        <f>IF(ISBLANK(PSPOINTS[[#This Row],[RateDateTo]]),0,IF(PSPOINTS[[#This Row],[RateDateFrom]]&lt;PSPOINTS[[#This Row],[RateDateTo]],0,1))</f>
        <v>0</v>
      </c>
      <c r="G293" s="57" cm="1">
        <f t="array" aca="1" ref="G293" ca="1">IF(CELL("format",PSPOINTS[[#This Row],[RateDateFrom]])="D1",0,1)+IF(CELL("format",PSPOINTS[[#This Row],[RateDateTo]])="D1",0,1)</f>
        <v>0</v>
      </c>
      <c r="H293" s="57">
        <f>IF(OR(PSPOINTS[[#This Row],[Hourly]]=TRUE,PSPOINTS[[#This Row],[Hourly]]=FALSE),IF(OR(PSPOINTS[[#This Row],[PayScalePointEnabled]]=TRUE,PSPOINTS[[#This Row],[PayScalePointEnabled]]=FALSE),0,1),1)</f>
        <v>0</v>
      </c>
      <c r="I293" s="57">
        <f>IF(LEN(PSPOINTS[[#This Row],[PayScalePointCode]])&lt;100,0,1)</f>
        <v>0</v>
      </c>
      <c r="J293" s="57">
        <f>IF(LEN(PSPOINTS[[#This Row],[PayScalePointTitle]])&lt;100,0,1)</f>
        <v>0</v>
      </c>
      <c r="K293" s="57">
        <f>(COUNTBLANK(PSPOINTS[[#This Row],[PayScalePointCode]:[RateDateFrom]])+COUNTBLANK(PSPOINTS[[#This Row],[PayScaleRate]]))</f>
        <v>0</v>
      </c>
      <c r="L293" s="120">
        <f>IF(SUBSTITUTE(TEXT(PSPOINTS[[#This Row],[PayScaleCode]],10)," ","")=TEXT(PSPOINTS[[#This Row],[PayScaleCode]],10),0,1)+IF(SUBSTITUTE(TEXT(PSPOINTS[[#This Row],[PayScalePointCode]],10)," ","")=TEXT(PSPOINTS[[#This Row],[PayScalePointCode]],10),0,1)</f>
        <v>0</v>
      </c>
      <c r="M293" s="57">
        <f ca="1">SUM(PSPOINTS[[#This Row],[Scale Point Issue]:[Space in Code]])</f>
        <v>0</v>
      </c>
      <c r="N293" s="57" t="s">
        <v>1401</v>
      </c>
      <c r="P293" s="12" t="s">
        <v>1410</v>
      </c>
      <c r="Q293" s="57" t="str">
        <f>_xlfn.XLOOKUP(PSPOINTS[[#This Row],[PayScaleCode]],'19_PayScales'!N:N,'19_PayScales'!O:O)</f>
        <v>NJC Inner</v>
      </c>
      <c r="R293" s="12">
        <v>5</v>
      </c>
      <c r="S293" s="12">
        <v>5</v>
      </c>
      <c r="T293" s="12">
        <v>5</v>
      </c>
      <c r="U293" s="12" t="b">
        <v>0</v>
      </c>
      <c r="V293" s="15" t="b">
        <v>1</v>
      </c>
      <c r="W293" s="164">
        <v>45748</v>
      </c>
      <c r="X293" s="140"/>
      <c r="Y293" s="163">
        <v>31086</v>
      </c>
    </row>
    <row r="294" spans="1:25" hidden="1" x14ac:dyDescent="0.25">
      <c r="A294" s="158" t="str">
        <f>PSPOINTS[[#This Row],[PayScaleCode]]&amp;PSPOINTS[[#This Row],[RateDateFrom]]</f>
        <v>NJC_INN45748</v>
      </c>
      <c r="B294" s="57">
        <f t="shared" si="4"/>
        <v>0</v>
      </c>
      <c r="C294" s="57" t="str">
        <f>PSPOINTS[[#This Row],[PayScaleCode]]&amp;PSPOINTS[[#This Row],[PayScalePointCode]]&amp;PSPOINTS[[#This Row],[RateDateFrom]]</f>
        <v>NJC_INN645748</v>
      </c>
      <c r="D294" s="57">
        <f>COUNTIF(PSPOINTS[Pay Scale String Duplicates],PSPOINTS[[#This Row],[Pay Scale String Duplicates]])-1</f>
        <v>0</v>
      </c>
      <c r="E294" s="57">
        <f>IF((MONTH(_xlfn.XLOOKUP(PSPOINTS[[#This Row],[PayScaleCode]],'19_PayScales'!N:N,'19_PayScales'!R:R)))=MONTH(PSPOINTS[[#This Row],[RateDateFrom]]),0,1)</f>
        <v>0</v>
      </c>
      <c r="F294" s="57">
        <f>IF(ISBLANK(PSPOINTS[[#This Row],[RateDateTo]]),0,IF(PSPOINTS[[#This Row],[RateDateFrom]]&lt;PSPOINTS[[#This Row],[RateDateTo]],0,1))</f>
        <v>0</v>
      </c>
      <c r="G294" s="57" cm="1">
        <f t="array" aca="1" ref="G294" ca="1">IF(CELL("format",PSPOINTS[[#This Row],[RateDateFrom]])="D1",0,1)+IF(CELL("format",PSPOINTS[[#This Row],[RateDateTo]])="D1",0,1)</f>
        <v>0</v>
      </c>
      <c r="H294" s="57">
        <f>IF(OR(PSPOINTS[[#This Row],[Hourly]]=TRUE,PSPOINTS[[#This Row],[Hourly]]=FALSE),IF(OR(PSPOINTS[[#This Row],[PayScalePointEnabled]]=TRUE,PSPOINTS[[#This Row],[PayScalePointEnabled]]=FALSE),0,1),1)</f>
        <v>0</v>
      </c>
      <c r="I294" s="57">
        <f>IF(LEN(PSPOINTS[[#This Row],[PayScalePointCode]])&lt;100,0,1)</f>
        <v>0</v>
      </c>
      <c r="J294" s="57">
        <f>IF(LEN(PSPOINTS[[#This Row],[PayScalePointTitle]])&lt;100,0,1)</f>
        <v>0</v>
      </c>
      <c r="K294" s="57">
        <f>(COUNTBLANK(PSPOINTS[[#This Row],[PayScalePointCode]:[RateDateFrom]])+COUNTBLANK(PSPOINTS[[#This Row],[PayScaleRate]]))</f>
        <v>0</v>
      </c>
      <c r="L294" s="120">
        <f>IF(SUBSTITUTE(TEXT(PSPOINTS[[#This Row],[PayScaleCode]],10)," ","")=TEXT(PSPOINTS[[#This Row],[PayScaleCode]],10),0,1)+IF(SUBSTITUTE(TEXT(PSPOINTS[[#This Row],[PayScalePointCode]],10)," ","")=TEXT(PSPOINTS[[#This Row],[PayScalePointCode]],10),0,1)</f>
        <v>0</v>
      </c>
      <c r="M294" s="57">
        <f ca="1">SUM(PSPOINTS[[#This Row],[Scale Point Issue]:[Space in Code]])</f>
        <v>0</v>
      </c>
      <c r="N294" s="57" t="s">
        <v>1401</v>
      </c>
      <c r="P294" s="12" t="s">
        <v>1410</v>
      </c>
      <c r="Q294" s="57" t="str">
        <f>_xlfn.XLOOKUP(PSPOINTS[[#This Row],[PayScaleCode]],'19_PayScales'!N:N,'19_PayScales'!O:O)</f>
        <v>NJC Inner</v>
      </c>
      <c r="R294" s="12">
        <v>6</v>
      </c>
      <c r="S294" s="12">
        <v>6</v>
      </c>
      <c r="T294" s="12">
        <v>6</v>
      </c>
      <c r="U294" s="12" t="b">
        <v>0</v>
      </c>
      <c r="V294" s="15" t="b">
        <v>1</v>
      </c>
      <c r="W294" s="164">
        <v>45748</v>
      </c>
      <c r="X294" s="140"/>
      <c r="Y294" s="163">
        <v>31530</v>
      </c>
    </row>
    <row r="295" spans="1:25" hidden="1" x14ac:dyDescent="0.25">
      <c r="A295" s="158" t="str">
        <f>PSPOINTS[[#This Row],[PayScaleCode]]&amp;PSPOINTS[[#This Row],[RateDateFrom]]</f>
        <v>NJC_INN45748</v>
      </c>
      <c r="B295" s="57">
        <f t="shared" si="4"/>
        <v>0</v>
      </c>
      <c r="C295" s="57" t="str">
        <f>PSPOINTS[[#This Row],[PayScaleCode]]&amp;PSPOINTS[[#This Row],[PayScalePointCode]]&amp;PSPOINTS[[#This Row],[RateDateFrom]]</f>
        <v>NJC_INN745748</v>
      </c>
      <c r="D295" s="57">
        <f>COUNTIF(PSPOINTS[Pay Scale String Duplicates],PSPOINTS[[#This Row],[Pay Scale String Duplicates]])-1</f>
        <v>0</v>
      </c>
      <c r="E295" s="57">
        <f>IF((MONTH(_xlfn.XLOOKUP(PSPOINTS[[#This Row],[PayScaleCode]],'19_PayScales'!N:N,'19_PayScales'!R:R)))=MONTH(PSPOINTS[[#This Row],[RateDateFrom]]),0,1)</f>
        <v>0</v>
      </c>
      <c r="F295" s="57">
        <f>IF(ISBLANK(PSPOINTS[[#This Row],[RateDateTo]]),0,IF(PSPOINTS[[#This Row],[RateDateFrom]]&lt;PSPOINTS[[#This Row],[RateDateTo]],0,1))</f>
        <v>0</v>
      </c>
      <c r="G295" s="57" cm="1">
        <f t="array" aca="1" ref="G295" ca="1">IF(CELL("format",PSPOINTS[[#This Row],[RateDateFrom]])="D1",0,1)+IF(CELL("format",PSPOINTS[[#This Row],[RateDateTo]])="D1",0,1)</f>
        <v>0</v>
      </c>
      <c r="H295" s="57">
        <f>IF(OR(PSPOINTS[[#This Row],[Hourly]]=TRUE,PSPOINTS[[#This Row],[Hourly]]=FALSE),IF(OR(PSPOINTS[[#This Row],[PayScalePointEnabled]]=TRUE,PSPOINTS[[#This Row],[PayScalePointEnabled]]=FALSE),0,1),1)</f>
        <v>0</v>
      </c>
      <c r="I295" s="57">
        <f>IF(LEN(PSPOINTS[[#This Row],[PayScalePointCode]])&lt;100,0,1)</f>
        <v>0</v>
      </c>
      <c r="J295" s="57">
        <f>IF(LEN(PSPOINTS[[#This Row],[PayScalePointTitle]])&lt;100,0,1)</f>
        <v>0</v>
      </c>
      <c r="K295" s="57">
        <f>(COUNTBLANK(PSPOINTS[[#This Row],[PayScalePointCode]:[RateDateFrom]])+COUNTBLANK(PSPOINTS[[#This Row],[PayScaleRate]]))</f>
        <v>0</v>
      </c>
      <c r="L295" s="120">
        <f>IF(SUBSTITUTE(TEXT(PSPOINTS[[#This Row],[PayScaleCode]],10)," ","")=TEXT(PSPOINTS[[#This Row],[PayScaleCode]],10),0,1)+IF(SUBSTITUTE(TEXT(PSPOINTS[[#This Row],[PayScalePointCode]],10)," ","")=TEXT(PSPOINTS[[#This Row],[PayScalePointCode]],10),0,1)</f>
        <v>0</v>
      </c>
      <c r="M295" s="57">
        <f ca="1">SUM(PSPOINTS[[#This Row],[Scale Point Issue]:[Space in Code]])</f>
        <v>0</v>
      </c>
      <c r="N295" s="57" t="s">
        <v>1401</v>
      </c>
      <c r="P295" s="12" t="s">
        <v>1410</v>
      </c>
      <c r="Q295" s="57" t="str">
        <f>_xlfn.XLOOKUP(PSPOINTS[[#This Row],[PayScaleCode]],'19_PayScales'!N:N,'19_PayScales'!O:O)</f>
        <v>NJC Inner</v>
      </c>
      <c r="R295" s="12">
        <v>7</v>
      </c>
      <c r="S295" s="12">
        <v>7</v>
      </c>
      <c r="T295" s="12">
        <v>7</v>
      </c>
      <c r="U295" s="12" t="b">
        <v>0</v>
      </c>
      <c r="V295" s="15" t="b">
        <v>1</v>
      </c>
      <c r="W295" s="164">
        <v>45748</v>
      </c>
      <c r="X295" s="140"/>
      <c r="Y295" s="163">
        <v>31980</v>
      </c>
    </row>
    <row r="296" spans="1:25" hidden="1" x14ac:dyDescent="0.25">
      <c r="A296" s="158" t="str">
        <f>PSPOINTS[[#This Row],[PayScaleCode]]&amp;PSPOINTS[[#This Row],[RateDateFrom]]</f>
        <v>NJC_INN45748</v>
      </c>
      <c r="B296" s="57">
        <f t="shared" si="4"/>
        <v>0</v>
      </c>
      <c r="C296" s="57" t="str">
        <f>PSPOINTS[[#This Row],[PayScaleCode]]&amp;PSPOINTS[[#This Row],[PayScalePointCode]]&amp;PSPOINTS[[#This Row],[RateDateFrom]]</f>
        <v>NJC_INN845748</v>
      </c>
      <c r="D296" s="57">
        <f>COUNTIF(PSPOINTS[Pay Scale String Duplicates],PSPOINTS[[#This Row],[Pay Scale String Duplicates]])-1</f>
        <v>0</v>
      </c>
      <c r="E296" s="57">
        <f>IF((MONTH(_xlfn.XLOOKUP(PSPOINTS[[#This Row],[PayScaleCode]],'19_PayScales'!N:N,'19_PayScales'!R:R)))=MONTH(PSPOINTS[[#This Row],[RateDateFrom]]),0,1)</f>
        <v>0</v>
      </c>
      <c r="F296" s="57">
        <f>IF(ISBLANK(PSPOINTS[[#This Row],[RateDateTo]]),0,IF(PSPOINTS[[#This Row],[RateDateFrom]]&lt;PSPOINTS[[#This Row],[RateDateTo]],0,1))</f>
        <v>0</v>
      </c>
      <c r="G296" s="57" cm="1">
        <f t="array" aca="1" ref="G296" ca="1">IF(CELL("format",PSPOINTS[[#This Row],[RateDateFrom]])="D1",0,1)+IF(CELL("format",PSPOINTS[[#This Row],[RateDateTo]])="D1",0,1)</f>
        <v>0</v>
      </c>
      <c r="H296" s="57">
        <f>IF(OR(PSPOINTS[[#This Row],[Hourly]]=TRUE,PSPOINTS[[#This Row],[Hourly]]=FALSE),IF(OR(PSPOINTS[[#This Row],[PayScalePointEnabled]]=TRUE,PSPOINTS[[#This Row],[PayScalePointEnabled]]=FALSE),0,1),1)</f>
        <v>0</v>
      </c>
      <c r="I296" s="57">
        <f>IF(LEN(PSPOINTS[[#This Row],[PayScalePointCode]])&lt;100,0,1)</f>
        <v>0</v>
      </c>
      <c r="J296" s="57">
        <f>IF(LEN(PSPOINTS[[#This Row],[PayScalePointTitle]])&lt;100,0,1)</f>
        <v>0</v>
      </c>
      <c r="K296" s="57">
        <f>(COUNTBLANK(PSPOINTS[[#This Row],[PayScalePointCode]:[RateDateFrom]])+COUNTBLANK(PSPOINTS[[#This Row],[PayScaleRate]]))</f>
        <v>0</v>
      </c>
      <c r="L296" s="120">
        <f>IF(SUBSTITUTE(TEXT(PSPOINTS[[#This Row],[PayScaleCode]],10)," ","")=TEXT(PSPOINTS[[#This Row],[PayScaleCode]],10),0,1)+IF(SUBSTITUTE(TEXT(PSPOINTS[[#This Row],[PayScalePointCode]],10)," ","")=TEXT(PSPOINTS[[#This Row],[PayScalePointCode]],10),0,1)</f>
        <v>0</v>
      </c>
      <c r="M296" s="57">
        <f ca="1">SUM(PSPOINTS[[#This Row],[Scale Point Issue]:[Space in Code]])</f>
        <v>0</v>
      </c>
      <c r="N296" s="57" t="s">
        <v>1401</v>
      </c>
      <c r="P296" s="12" t="s">
        <v>1410</v>
      </c>
      <c r="Q296" s="57" t="str">
        <f>_xlfn.XLOOKUP(PSPOINTS[[#This Row],[PayScaleCode]],'19_PayScales'!N:N,'19_PayScales'!O:O)</f>
        <v>NJC Inner</v>
      </c>
      <c r="R296" s="12">
        <v>8</v>
      </c>
      <c r="S296" s="12">
        <v>8</v>
      </c>
      <c r="T296" s="12">
        <v>8</v>
      </c>
      <c r="U296" s="12" t="b">
        <v>0</v>
      </c>
      <c r="V296" s="15" t="b">
        <v>1</v>
      </c>
      <c r="W296" s="164">
        <v>45748</v>
      </c>
      <c r="X296" s="140"/>
      <c r="Y296" s="163">
        <v>32442</v>
      </c>
    </row>
    <row r="297" spans="1:25" hidden="1" x14ac:dyDescent="0.25">
      <c r="A297" s="158" t="str">
        <f>PSPOINTS[[#This Row],[PayScaleCode]]&amp;PSPOINTS[[#This Row],[RateDateFrom]]</f>
        <v>NJC_INN45748</v>
      </c>
      <c r="B297" s="57">
        <f t="shared" si="4"/>
        <v>0</v>
      </c>
      <c r="C297" s="57" t="str">
        <f>PSPOINTS[[#This Row],[PayScaleCode]]&amp;PSPOINTS[[#This Row],[PayScalePointCode]]&amp;PSPOINTS[[#This Row],[RateDateFrom]]</f>
        <v>NJC_INN945748</v>
      </c>
      <c r="D297" s="57">
        <f>COUNTIF(PSPOINTS[Pay Scale String Duplicates],PSPOINTS[[#This Row],[Pay Scale String Duplicates]])-1</f>
        <v>0</v>
      </c>
      <c r="E297" s="57">
        <f>IF((MONTH(_xlfn.XLOOKUP(PSPOINTS[[#This Row],[PayScaleCode]],'19_PayScales'!N:N,'19_PayScales'!R:R)))=MONTH(PSPOINTS[[#This Row],[RateDateFrom]]),0,1)</f>
        <v>0</v>
      </c>
      <c r="F297" s="57">
        <f>IF(ISBLANK(PSPOINTS[[#This Row],[RateDateTo]]),0,IF(PSPOINTS[[#This Row],[RateDateFrom]]&lt;PSPOINTS[[#This Row],[RateDateTo]],0,1))</f>
        <v>0</v>
      </c>
      <c r="G297" s="57" cm="1">
        <f t="array" aca="1" ref="G297" ca="1">IF(CELL("format",PSPOINTS[[#This Row],[RateDateFrom]])="D1",0,1)+IF(CELL("format",PSPOINTS[[#This Row],[RateDateTo]])="D1",0,1)</f>
        <v>0</v>
      </c>
      <c r="H297" s="57">
        <f>IF(OR(PSPOINTS[[#This Row],[Hourly]]=TRUE,PSPOINTS[[#This Row],[Hourly]]=FALSE),IF(OR(PSPOINTS[[#This Row],[PayScalePointEnabled]]=TRUE,PSPOINTS[[#This Row],[PayScalePointEnabled]]=FALSE),0,1),1)</f>
        <v>0</v>
      </c>
      <c r="I297" s="57">
        <f>IF(LEN(PSPOINTS[[#This Row],[PayScalePointCode]])&lt;100,0,1)</f>
        <v>0</v>
      </c>
      <c r="J297" s="57">
        <f>IF(LEN(PSPOINTS[[#This Row],[PayScalePointTitle]])&lt;100,0,1)</f>
        <v>0</v>
      </c>
      <c r="K297" s="57">
        <f>(COUNTBLANK(PSPOINTS[[#This Row],[PayScalePointCode]:[RateDateFrom]])+COUNTBLANK(PSPOINTS[[#This Row],[PayScaleRate]]))</f>
        <v>0</v>
      </c>
      <c r="L297" s="120">
        <f>IF(SUBSTITUTE(TEXT(PSPOINTS[[#This Row],[PayScaleCode]],10)," ","")=TEXT(PSPOINTS[[#This Row],[PayScaleCode]],10),0,1)+IF(SUBSTITUTE(TEXT(PSPOINTS[[#This Row],[PayScalePointCode]],10)," ","")=TEXT(PSPOINTS[[#This Row],[PayScalePointCode]],10),0,1)</f>
        <v>0</v>
      </c>
      <c r="M297" s="57">
        <f ca="1">SUM(PSPOINTS[[#This Row],[Scale Point Issue]:[Space in Code]])</f>
        <v>0</v>
      </c>
      <c r="N297" s="57" t="s">
        <v>1401</v>
      </c>
      <c r="P297" s="12" t="s">
        <v>1410</v>
      </c>
      <c r="Q297" s="57" t="str">
        <f>_xlfn.XLOOKUP(PSPOINTS[[#This Row],[PayScaleCode]],'19_PayScales'!N:N,'19_PayScales'!O:O)</f>
        <v>NJC Inner</v>
      </c>
      <c r="R297" s="12">
        <v>9</v>
      </c>
      <c r="S297" s="12">
        <v>9</v>
      </c>
      <c r="T297" s="12">
        <v>9</v>
      </c>
      <c r="U297" s="12" t="b">
        <v>0</v>
      </c>
      <c r="V297" s="15" t="b">
        <v>1</v>
      </c>
      <c r="W297" s="164">
        <v>45748</v>
      </c>
      <c r="X297" s="140"/>
      <c r="Y297" s="163">
        <v>32907</v>
      </c>
    </row>
    <row r="298" spans="1:25" hidden="1" x14ac:dyDescent="0.25">
      <c r="A298" s="158" t="str">
        <f>PSPOINTS[[#This Row],[PayScaleCode]]&amp;PSPOINTS[[#This Row],[RateDateFrom]]</f>
        <v>NJC_INN45748</v>
      </c>
      <c r="B298" s="57">
        <f t="shared" si="4"/>
        <v>0</v>
      </c>
      <c r="C298" s="57" t="str">
        <f>PSPOINTS[[#This Row],[PayScaleCode]]&amp;PSPOINTS[[#This Row],[PayScalePointCode]]&amp;PSPOINTS[[#This Row],[RateDateFrom]]</f>
        <v>NJC_INN1045748</v>
      </c>
      <c r="D298" s="57">
        <f>COUNTIF(PSPOINTS[Pay Scale String Duplicates],PSPOINTS[[#This Row],[Pay Scale String Duplicates]])-1</f>
        <v>0</v>
      </c>
      <c r="E298" s="57">
        <f>IF((MONTH(_xlfn.XLOOKUP(PSPOINTS[[#This Row],[PayScaleCode]],'19_PayScales'!N:N,'19_PayScales'!R:R)))=MONTH(PSPOINTS[[#This Row],[RateDateFrom]]),0,1)</f>
        <v>0</v>
      </c>
      <c r="F298" s="57">
        <f>IF(ISBLANK(PSPOINTS[[#This Row],[RateDateTo]]),0,IF(PSPOINTS[[#This Row],[RateDateFrom]]&lt;PSPOINTS[[#This Row],[RateDateTo]],0,1))</f>
        <v>0</v>
      </c>
      <c r="G298" s="57" cm="1">
        <f t="array" aca="1" ref="G298" ca="1">IF(CELL("format",PSPOINTS[[#This Row],[RateDateFrom]])="D1",0,1)+IF(CELL("format",PSPOINTS[[#This Row],[RateDateTo]])="D1",0,1)</f>
        <v>0</v>
      </c>
      <c r="H298" s="57">
        <f>IF(OR(PSPOINTS[[#This Row],[Hourly]]=TRUE,PSPOINTS[[#This Row],[Hourly]]=FALSE),IF(OR(PSPOINTS[[#This Row],[PayScalePointEnabled]]=TRUE,PSPOINTS[[#This Row],[PayScalePointEnabled]]=FALSE),0,1),1)</f>
        <v>0</v>
      </c>
      <c r="I298" s="57">
        <f>IF(LEN(PSPOINTS[[#This Row],[PayScalePointCode]])&lt;100,0,1)</f>
        <v>0</v>
      </c>
      <c r="J298" s="57">
        <f>IF(LEN(PSPOINTS[[#This Row],[PayScalePointTitle]])&lt;100,0,1)</f>
        <v>0</v>
      </c>
      <c r="K298" s="57">
        <f>(COUNTBLANK(PSPOINTS[[#This Row],[PayScalePointCode]:[RateDateFrom]])+COUNTBLANK(PSPOINTS[[#This Row],[PayScaleRate]]))</f>
        <v>0</v>
      </c>
      <c r="L298" s="120">
        <f>IF(SUBSTITUTE(TEXT(PSPOINTS[[#This Row],[PayScaleCode]],10)," ","")=TEXT(PSPOINTS[[#This Row],[PayScaleCode]],10),0,1)+IF(SUBSTITUTE(TEXT(PSPOINTS[[#This Row],[PayScalePointCode]],10)," ","")=TEXT(PSPOINTS[[#This Row],[PayScalePointCode]],10),0,1)</f>
        <v>0</v>
      </c>
      <c r="M298" s="57">
        <f ca="1">SUM(PSPOINTS[[#This Row],[Scale Point Issue]:[Space in Code]])</f>
        <v>0</v>
      </c>
      <c r="N298" s="57" t="s">
        <v>1401</v>
      </c>
      <c r="P298" s="12" t="s">
        <v>1410</v>
      </c>
      <c r="Q298" s="57" t="str">
        <f>_xlfn.XLOOKUP(PSPOINTS[[#This Row],[PayScaleCode]],'19_PayScales'!N:N,'19_PayScales'!O:O)</f>
        <v>NJC Inner</v>
      </c>
      <c r="R298" s="12">
        <v>10</v>
      </c>
      <c r="S298" s="12">
        <v>10</v>
      </c>
      <c r="T298" s="12">
        <v>10</v>
      </c>
      <c r="U298" s="12" t="b">
        <v>0</v>
      </c>
      <c r="V298" s="15" t="b">
        <v>1</v>
      </c>
      <c r="W298" s="164">
        <v>45748</v>
      </c>
      <c r="X298" s="140"/>
      <c r="Y298" s="163">
        <v>33384</v>
      </c>
    </row>
    <row r="299" spans="1:25" hidden="1" x14ac:dyDescent="0.25">
      <c r="A299" s="158" t="str">
        <f>PSPOINTS[[#This Row],[PayScaleCode]]&amp;PSPOINTS[[#This Row],[RateDateFrom]]</f>
        <v>NJC_INN45748</v>
      </c>
      <c r="B299" s="57">
        <f t="shared" si="4"/>
        <v>0</v>
      </c>
      <c r="C299" s="57" t="str">
        <f>PSPOINTS[[#This Row],[PayScaleCode]]&amp;PSPOINTS[[#This Row],[PayScalePointCode]]&amp;PSPOINTS[[#This Row],[RateDateFrom]]</f>
        <v>NJC_INN1145748</v>
      </c>
      <c r="D299" s="57">
        <f>COUNTIF(PSPOINTS[Pay Scale String Duplicates],PSPOINTS[[#This Row],[Pay Scale String Duplicates]])-1</f>
        <v>0</v>
      </c>
      <c r="E299" s="57">
        <f>IF((MONTH(_xlfn.XLOOKUP(PSPOINTS[[#This Row],[PayScaleCode]],'19_PayScales'!N:N,'19_PayScales'!R:R)))=MONTH(PSPOINTS[[#This Row],[RateDateFrom]]),0,1)</f>
        <v>0</v>
      </c>
      <c r="F299" s="57">
        <f>IF(ISBLANK(PSPOINTS[[#This Row],[RateDateTo]]),0,IF(PSPOINTS[[#This Row],[RateDateFrom]]&lt;PSPOINTS[[#This Row],[RateDateTo]],0,1))</f>
        <v>0</v>
      </c>
      <c r="G299" s="57" cm="1">
        <f t="array" aca="1" ref="G299" ca="1">IF(CELL("format",PSPOINTS[[#This Row],[RateDateFrom]])="D1",0,1)+IF(CELL("format",PSPOINTS[[#This Row],[RateDateTo]])="D1",0,1)</f>
        <v>0</v>
      </c>
      <c r="H299" s="57">
        <f>IF(OR(PSPOINTS[[#This Row],[Hourly]]=TRUE,PSPOINTS[[#This Row],[Hourly]]=FALSE),IF(OR(PSPOINTS[[#This Row],[PayScalePointEnabled]]=TRUE,PSPOINTS[[#This Row],[PayScalePointEnabled]]=FALSE),0,1),1)</f>
        <v>0</v>
      </c>
      <c r="I299" s="57">
        <f>IF(LEN(PSPOINTS[[#This Row],[PayScalePointCode]])&lt;100,0,1)</f>
        <v>0</v>
      </c>
      <c r="J299" s="57">
        <f>IF(LEN(PSPOINTS[[#This Row],[PayScalePointTitle]])&lt;100,0,1)</f>
        <v>0</v>
      </c>
      <c r="K299" s="57">
        <f>(COUNTBLANK(PSPOINTS[[#This Row],[PayScalePointCode]:[RateDateFrom]])+COUNTBLANK(PSPOINTS[[#This Row],[PayScaleRate]]))</f>
        <v>0</v>
      </c>
      <c r="L299" s="120">
        <f>IF(SUBSTITUTE(TEXT(PSPOINTS[[#This Row],[PayScaleCode]],10)," ","")=TEXT(PSPOINTS[[#This Row],[PayScaleCode]],10),0,1)+IF(SUBSTITUTE(TEXT(PSPOINTS[[#This Row],[PayScalePointCode]],10)," ","")=TEXT(PSPOINTS[[#This Row],[PayScalePointCode]],10),0,1)</f>
        <v>0</v>
      </c>
      <c r="M299" s="57">
        <f ca="1">SUM(PSPOINTS[[#This Row],[Scale Point Issue]:[Space in Code]])</f>
        <v>0</v>
      </c>
      <c r="N299" s="57" t="s">
        <v>1401</v>
      </c>
      <c r="P299" s="12" t="s">
        <v>1410</v>
      </c>
      <c r="Q299" s="57" t="str">
        <f>_xlfn.XLOOKUP(PSPOINTS[[#This Row],[PayScaleCode]],'19_PayScales'!N:N,'19_PayScales'!O:O)</f>
        <v>NJC Inner</v>
      </c>
      <c r="R299" s="12">
        <v>11</v>
      </c>
      <c r="S299" s="12">
        <v>11</v>
      </c>
      <c r="T299" s="12">
        <v>11</v>
      </c>
      <c r="U299" s="12" t="b">
        <v>0</v>
      </c>
      <c r="V299" s="15" t="b">
        <v>1</v>
      </c>
      <c r="W299" s="164">
        <v>45748</v>
      </c>
      <c r="X299" s="140"/>
      <c r="Y299" s="163">
        <v>33870</v>
      </c>
    </row>
    <row r="300" spans="1:25" hidden="1" x14ac:dyDescent="0.25">
      <c r="A300" s="158" t="str">
        <f>PSPOINTS[[#This Row],[PayScaleCode]]&amp;PSPOINTS[[#This Row],[RateDateFrom]]</f>
        <v>NJC_INN45748</v>
      </c>
      <c r="B300" s="57">
        <f t="shared" si="4"/>
        <v>0</v>
      </c>
      <c r="C300" s="57" t="str">
        <f>PSPOINTS[[#This Row],[PayScaleCode]]&amp;PSPOINTS[[#This Row],[PayScalePointCode]]&amp;PSPOINTS[[#This Row],[RateDateFrom]]</f>
        <v>NJC_INN1245748</v>
      </c>
      <c r="D300" s="57">
        <f>COUNTIF(PSPOINTS[Pay Scale String Duplicates],PSPOINTS[[#This Row],[Pay Scale String Duplicates]])-1</f>
        <v>0</v>
      </c>
      <c r="E300" s="57">
        <f>IF((MONTH(_xlfn.XLOOKUP(PSPOINTS[[#This Row],[PayScaleCode]],'19_PayScales'!N:N,'19_PayScales'!R:R)))=MONTH(PSPOINTS[[#This Row],[RateDateFrom]]),0,1)</f>
        <v>0</v>
      </c>
      <c r="F300" s="57">
        <f>IF(ISBLANK(PSPOINTS[[#This Row],[RateDateTo]]),0,IF(PSPOINTS[[#This Row],[RateDateFrom]]&lt;PSPOINTS[[#This Row],[RateDateTo]],0,1))</f>
        <v>0</v>
      </c>
      <c r="G300" s="57" cm="1">
        <f t="array" aca="1" ref="G300" ca="1">IF(CELL("format",PSPOINTS[[#This Row],[RateDateFrom]])="D1",0,1)+IF(CELL("format",PSPOINTS[[#This Row],[RateDateTo]])="D1",0,1)</f>
        <v>0</v>
      </c>
      <c r="H300" s="57">
        <f>IF(OR(PSPOINTS[[#This Row],[Hourly]]=TRUE,PSPOINTS[[#This Row],[Hourly]]=FALSE),IF(OR(PSPOINTS[[#This Row],[PayScalePointEnabled]]=TRUE,PSPOINTS[[#This Row],[PayScalePointEnabled]]=FALSE),0,1),1)</f>
        <v>0</v>
      </c>
      <c r="I300" s="57">
        <f>IF(LEN(PSPOINTS[[#This Row],[PayScalePointCode]])&lt;100,0,1)</f>
        <v>0</v>
      </c>
      <c r="J300" s="57">
        <f>IF(LEN(PSPOINTS[[#This Row],[PayScalePointTitle]])&lt;100,0,1)</f>
        <v>0</v>
      </c>
      <c r="K300" s="57">
        <f>(COUNTBLANK(PSPOINTS[[#This Row],[PayScalePointCode]:[RateDateFrom]])+COUNTBLANK(PSPOINTS[[#This Row],[PayScaleRate]]))</f>
        <v>0</v>
      </c>
      <c r="L300" s="120">
        <f>IF(SUBSTITUTE(TEXT(PSPOINTS[[#This Row],[PayScaleCode]],10)," ","")=TEXT(PSPOINTS[[#This Row],[PayScaleCode]],10),0,1)+IF(SUBSTITUTE(TEXT(PSPOINTS[[#This Row],[PayScalePointCode]],10)," ","")=TEXT(PSPOINTS[[#This Row],[PayScalePointCode]],10),0,1)</f>
        <v>0</v>
      </c>
      <c r="M300" s="57">
        <f ca="1">SUM(PSPOINTS[[#This Row],[Scale Point Issue]:[Space in Code]])</f>
        <v>0</v>
      </c>
      <c r="N300" s="57" t="s">
        <v>1401</v>
      </c>
      <c r="P300" s="12" t="s">
        <v>1410</v>
      </c>
      <c r="Q300" s="57" t="str">
        <f>_xlfn.XLOOKUP(PSPOINTS[[#This Row],[PayScaleCode]],'19_PayScales'!N:N,'19_PayScales'!O:O)</f>
        <v>NJC Inner</v>
      </c>
      <c r="R300" s="12">
        <v>12</v>
      </c>
      <c r="S300" s="12">
        <v>12</v>
      </c>
      <c r="T300" s="12">
        <v>12</v>
      </c>
      <c r="U300" s="12" t="b">
        <v>0</v>
      </c>
      <c r="V300" s="15" t="b">
        <v>1</v>
      </c>
      <c r="W300" s="164">
        <v>45748</v>
      </c>
      <c r="X300" s="140"/>
      <c r="Y300" s="163">
        <v>34359</v>
      </c>
    </row>
    <row r="301" spans="1:25" hidden="1" x14ac:dyDescent="0.25">
      <c r="A301" s="158" t="str">
        <f>PSPOINTS[[#This Row],[PayScaleCode]]&amp;PSPOINTS[[#This Row],[RateDateFrom]]</f>
        <v>NJC_INN45748</v>
      </c>
      <c r="B301" s="57">
        <f t="shared" si="4"/>
        <v>0</v>
      </c>
      <c r="C301" s="57" t="str">
        <f>PSPOINTS[[#This Row],[PayScaleCode]]&amp;PSPOINTS[[#This Row],[PayScalePointCode]]&amp;PSPOINTS[[#This Row],[RateDateFrom]]</f>
        <v>NJC_INN1345748</v>
      </c>
      <c r="D301" s="57">
        <f>COUNTIF(PSPOINTS[Pay Scale String Duplicates],PSPOINTS[[#This Row],[Pay Scale String Duplicates]])-1</f>
        <v>0</v>
      </c>
      <c r="E301" s="57">
        <f>IF((MONTH(_xlfn.XLOOKUP(PSPOINTS[[#This Row],[PayScaleCode]],'19_PayScales'!N:N,'19_PayScales'!R:R)))=MONTH(PSPOINTS[[#This Row],[RateDateFrom]]),0,1)</f>
        <v>0</v>
      </c>
      <c r="F301" s="57">
        <f>IF(ISBLANK(PSPOINTS[[#This Row],[RateDateTo]]),0,IF(PSPOINTS[[#This Row],[RateDateFrom]]&lt;PSPOINTS[[#This Row],[RateDateTo]],0,1))</f>
        <v>0</v>
      </c>
      <c r="G301" s="57" cm="1">
        <f t="array" aca="1" ref="G301" ca="1">IF(CELL("format",PSPOINTS[[#This Row],[RateDateFrom]])="D1",0,1)+IF(CELL("format",PSPOINTS[[#This Row],[RateDateTo]])="D1",0,1)</f>
        <v>0</v>
      </c>
      <c r="H301" s="57">
        <f>IF(OR(PSPOINTS[[#This Row],[Hourly]]=TRUE,PSPOINTS[[#This Row],[Hourly]]=FALSE),IF(OR(PSPOINTS[[#This Row],[PayScalePointEnabled]]=TRUE,PSPOINTS[[#This Row],[PayScalePointEnabled]]=FALSE),0,1),1)</f>
        <v>0</v>
      </c>
      <c r="I301" s="57">
        <f>IF(LEN(PSPOINTS[[#This Row],[PayScalePointCode]])&lt;100,0,1)</f>
        <v>0</v>
      </c>
      <c r="J301" s="57">
        <f>IF(LEN(PSPOINTS[[#This Row],[PayScalePointTitle]])&lt;100,0,1)</f>
        <v>0</v>
      </c>
      <c r="K301" s="57">
        <f>(COUNTBLANK(PSPOINTS[[#This Row],[PayScalePointCode]:[RateDateFrom]])+COUNTBLANK(PSPOINTS[[#This Row],[PayScaleRate]]))</f>
        <v>0</v>
      </c>
      <c r="L301" s="120">
        <f>IF(SUBSTITUTE(TEXT(PSPOINTS[[#This Row],[PayScaleCode]],10)," ","")=TEXT(PSPOINTS[[#This Row],[PayScaleCode]],10),0,1)+IF(SUBSTITUTE(TEXT(PSPOINTS[[#This Row],[PayScalePointCode]],10)," ","")=TEXT(PSPOINTS[[#This Row],[PayScalePointCode]],10),0,1)</f>
        <v>0</v>
      </c>
      <c r="M301" s="57">
        <f ca="1">SUM(PSPOINTS[[#This Row],[Scale Point Issue]:[Space in Code]])</f>
        <v>0</v>
      </c>
      <c r="N301" s="57" t="s">
        <v>1401</v>
      </c>
      <c r="P301" s="12" t="s">
        <v>1410</v>
      </c>
      <c r="Q301" s="57" t="str">
        <f>_xlfn.XLOOKUP(PSPOINTS[[#This Row],[PayScaleCode]],'19_PayScales'!N:N,'19_PayScales'!O:O)</f>
        <v>NJC Inner</v>
      </c>
      <c r="R301" s="12">
        <v>13</v>
      </c>
      <c r="S301" s="12">
        <v>13</v>
      </c>
      <c r="T301" s="12">
        <v>13</v>
      </c>
      <c r="U301" s="12" t="b">
        <v>0</v>
      </c>
      <c r="V301" s="15" t="b">
        <v>1</v>
      </c>
      <c r="W301" s="164">
        <v>45748</v>
      </c>
      <c r="X301" s="140"/>
      <c r="Y301" s="163">
        <v>34863</v>
      </c>
    </row>
    <row r="302" spans="1:25" hidden="1" x14ac:dyDescent="0.25">
      <c r="A302" s="158" t="str">
        <f>PSPOINTS[[#This Row],[PayScaleCode]]&amp;PSPOINTS[[#This Row],[RateDateFrom]]</f>
        <v>NJC_INN45748</v>
      </c>
      <c r="B302" s="57">
        <f t="shared" si="4"/>
        <v>0</v>
      </c>
      <c r="C302" s="57" t="str">
        <f>PSPOINTS[[#This Row],[PayScaleCode]]&amp;PSPOINTS[[#This Row],[PayScalePointCode]]&amp;PSPOINTS[[#This Row],[RateDateFrom]]</f>
        <v>NJC_INN1445748</v>
      </c>
      <c r="D302" s="57">
        <f>COUNTIF(PSPOINTS[Pay Scale String Duplicates],PSPOINTS[[#This Row],[Pay Scale String Duplicates]])-1</f>
        <v>0</v>
      </c>
      <c r="E302" s="57">
        <f>IF((MONTH(_xlfn.XLOOKUP(PSPOINTS[[#This Row],[PayScaleCode]],'19_PayScales'!N:N,'19_PayScales'!R:R)))=MONTH(PSPOINTS[[#This Row],[RateDateFrom]]),0,1)</f>
        <v>0</v>
      </c>
      <c r="F302" s="57">
        <f>IF(ISBLANK(PSPOINTS[[#This Row],[RateDateTo]]),0,IF(PSPOINTS[[#This Row],[RateDateFrom]]&lt;PSPOINTS[[#This Row],[RateDateTo]],0,1))</f>
        <v>0</v>
      </c>
      <c r="G302" s="57" cm="1">
        <f t="array" aca="1" ref="G302" ca="1">IF(CELL("format",PSPOINTS[[#This Row],[RateDateFrom]])="D1",0,1)+IF(CELL("format",PSPOINTS[[#This Row],[RateDateTo]])="D1",0,1)</f>
        <v>0</v>
      </c>
      <c r="H302" s="57">
        <f>IF(OR(PSPOINTS[[#This Row],[Hourly]]=TRUE,PSPOINTS[[#This Row],[Hourly]]=FALSE),IF(OR(PSPOINTS[[#This Row],[PayScalePointEnabled]]=TRUE,PSPOINTS[[#This Row],[PayScalePointEnabled]]=FALSE),0,1),1)</f>
        <v>0</v>
      </c>
      <c r="I302" s="57">
        <f>IF(LEN(PSPOINTS[[#This Row],[PayScalePointCode]])&lt;100,0,1)</f>
        <v>0</v>
      </c>
      <c r="J302" s="57">
        <f>IF(LEN(PSPOINTS[[#This Row],[PayScalePointTitle]])&lt;100,0,1)</f>
        <v>0</v>
      </c>
      <c r="K302" s="57">
        <f>(COUNTBLANK(PSPOINTS[[#This Row],[PayScalePointCode]:[RateDateFrom]])+COUNTBLANK(PSPOINTS[[#This Row],[PayScaleRate]]))</f>
        <v>0</v>
      </c>
      <c r="L302" s="120">
        <f>IF(SUBSTITUTE(TEXT(PSPOINTS[[#This Row],[PayScaleCode]],10)," ","")=TEXT(PSPOINTS[[#This Row],[PayScaleCode]],10),0,1)+IF(SUBSTITUTE(TEXT(PSPOINTS[[#This Row],[PayScalePointCode]],10)," ","")=TEXT(PSPOINTS[[#This Row],[PayScalePointCode]],10),0,1)</f>
        <v>0</v>
      </c>
      <c r="M302" s="57">
        <f ca="1">SUM(PSPOINTS[[#This Row],[Scale Point Issue]:[Space in Code]])</f>
        <v>0</v>
      </c>
      <c r="N302" s="57" t="s">
        <v>1401</v>
      </c>
      <c r="P302" s="12" t="s">
        <v>1410</v>
      </c>
      <c r="Q302" s="57" t="str">
        <f>_xlfn.XLOOKUP(PSPOINTS[[#This Row],[PayScaleCode]],'19_PayScales'!N:N,'19_PayScales'!O:O)</f>
        <v>NJC Inner</v>
      </c>
      <c r="R302" s="12">
        <v>14</v>
      </c>
      <c r="S302" s="12">
        <v>14</v>
      </c>
      <c r="T302" s="12">
        <v>14</v>
      </c>
      <c r="U302" s="12" t="b">
        <v>0</v>
      </c>
      <c r="V302" s="15" t="b">
        <v>1</v>
      </c>
      <c r="W302" s="164">
        <v>45748</v>
      </c>
      <c r="X302" s="140"/>
      <c r="Y302" s="163">
        <v>35373</v>
      </c>
    </row>
    <row r="303" spans="1:25" hidden="1" x14ac:dyDescent="0.25">
      <c r="A303" s="158" t="str">
        <f>PSPOINTS[[#This Row],[PayScaleCode]]&amp;PSPOINTS[[#This Row],[RateDateFrom]]</f>
        <v>NJC_INN45748</v>
      </c>
      <c r="B303" s="57">
        <f t="shared" si="4"/>
        <v>0</v>
      </c>
      <c r="C303" s="57" t="str">
        <f>PSPOINTS[[#This Row],[PayScaleCode]]&amp;PSPOINTS[[#This Row],[PayScalePointCode]]&amp;PSPOINTS[[#This Row],[RateDateFrom]]</f>
        <v>NJC_INN1545748</v>
      </c>
      <c r="D303" s="57">
        <f>COUNTIF(PSPOINTS[Pay Scale String Duplicates],PSPOINTS[[#This Row],[Pay Scale String Duplicates]])-1</f>
        <v>0</v>
      </c>
      <c r="E303" s="57">
        <f>IF((MONTH(_xlfn.XLOOKUP(PSPOINTS[[#This Row],[PayScaleCode]],'19_PayScales'!N:N,'19_PayScales'!R:R)))=MONTH(PSPOINTS[[#This Row],[RateDateFrom]]),0,1)</f>
        <v>0</v>
      </c>
      <c r="F303" s="57">
        <f>IF(ISBLANK(PSPOINTS[[#This Row],[RateDateTo]]),0,IF(PSPOINTS[[#This Row],[RateDateFrom]]&lt;PSPOINTS[[#This Row],[RateDateTo]],0,1))</f>
        <v>0</v>
      </c>
      <c r="G303" s="57" cm="1">
        <f t="array" aca="1" ref="G303" ca="1">IF(CELL("format",PSPOINTS[[#This Row],[RateDateFrom]])="D1",0,1)+IF(CELL("format",PSPOINTS[[#This Row],[RateDateTo]])="D1",0,1)</f>
        <v>0</v>
      </c>
      <c r="H303" s="57">
        <f>IF(OR(PSPOINTS[[#This Row],[Hourly]]=TRUE,PSPOINTS[[#This Row],[Hourly]]=FALSE),IF(OR(PSPOINTS[[#This Row],[PayScalePointEnabled]]=TRUE,PSPOINTS[[#This Row],[PayScalePointEnabled]]=FALSE),0,1),1)</f>
        <v>0</v>
      </c>
      <c r="I303" s="57">
        <f>IF(LEN(PSPOINTS[[#This Row],[PayScalePointCode]])&lt;100,0,1)</f>
        <v>0</v>
      </c>
      <c r="J303" s="57">
        <f>IF(LEN(PSPOINTS[[#This Row],[PayScalePointTitle]])&lt;100,0,1)</f>
        <v>0</v>
      </c>
      <c r="K303" s="57">
        <f>(COUNTBLANK(PSPOINTS[[#This Row],[PayScalePointCode]:[RateDateFrom]])+COUNTBLANK(PSPOINTS[[#This Row],[PayScaleRate]]))</f>
        <v>0</v>
      </c>
      <c r="L303" s="120">
        <f>IF(SUBSTITUTE(TEXT(PSPOINTS[[#This Row],[PayScaleCode]],10)," ","")=TEXT(PSPOINTS[[#This Row],[PayScaleCode]],10),0,1)+IF(SUBSTITUTE(TEXT(PSPOINTS[[#This Row],[PayScalePointCode]],10)," ","")=TEXT(PSPOINTS[[#This Row],[PayScalePointCode]],10),0,1)</f>
        <v>0</v>
      </c>
      <c r="M303" s="57">
        <f ca="1">SUM(PSPOINTS[[#This Row],[Scale Point Issue]:[Space in Code]])</f>
        <v>0</v>
      </c>
      <c r="N303" s="57" t="s">
        <v>1401</v>
      </c>
      <c r="P303" s="12" t="s">
        <v>1410</v>
      </c>
      <c r="Q303" s="57" t="str">
        <f>_xlfn.XLOOKUP(PSPOINTS[[#This Row],[PayScaleCode]],'19_PayScales'!N:N,'19_PayScales'!O:O)</f>
        <v>NJC Inner</v>
      </c>
      <c r="R303" s="12">
        <v>15</v>
      </c>
      <c r="S303" s="12">
        <v>15</v>
      </c>
      <c r="T303" s="12">
        <v>15</v>
      </c>
      <c r="U303" s="12" t="b">
        <v>0</v>
      </c>
      <c r="V303" s="15" t="b">
        <v>1</v>
      </c>
      <c r="W303" s="164">
        <v>45748</v>
      </c>
      <c r="X303" s="140"/>
      <c r="Y303" s="163">
        <v>35892</v>
      </c>
    </row>
    <row r="304" spans="1:25" hidden="1" x14ac:dyDescent="0.25">
      <c r="A304" s="158" t="str">
        <f>PSPOINTS[[#This Row],[PayScaleCode]]&amp;PSPOINTS[[#This Row],[RateDateFrom]]</f>
        <v>NJC_INN45748</v>
      </c>
      <c r="B304" s="57">
        <f t="shared" si="4"/>
        <v>0</v>
      </c>
      <c r="C304" s="57" t="str">
        <f>PSPOINTS[[#This Row],[PayScaleCode]]&amp;PSPOINTS[[#This Row],[PayScalePointCode]]&amp;PSPOINTS[[#This Row],[RateDateFrom]]</f>
        <v>NJC_INN1645748</v>
      </c>
      <c r="D304" s="57">
        <f>COUNTIF(PSPOINTS[Pay Scale String Duplicates],PSPOINTS[[#This Row],[Pay Scale String Duplicates]])-1</f>
        <v>0</v>
      </c>
      <c r="E304" s="57">
        <f>IF((MONTH(_xlfn.XLOOKUP(PSPOINTS[[#This Row],[PayScaleCode]],'19_PayScales'!N:N,'19_PayScales'!R:R)))=MONTH(PSPOINTS[[#This Row],[RateDateFrom]]),0,1)</f>
        <v>0</v>
      </c>
      <c r="F304" s="57">
        <f>IF(ISBLANK(PSPOINTS[[#This Row],[RateDateTo]]),0,IF(PSPOINTS[[#This Row],[RateDateFrom]]&lt;PSPOINTS[[#This Row],[RateDateTo]],0,1))</f>
        <v>0</v>
      </c>
      <c r="G304" s="57" cm="1">
        <f t="array" aca="1" ref="G304" ca="1">IF(CELL("format",PSPOINTS[[#This Row],[RateDateFrom]])="D1",0,1)+IF(CELL("format",PSPOINTS[[#This Row],[RateDateTo]])="D1",0,1)</f>
        <v>0</v>
      </c>
      <c r="H304" s="57">
        <f>IF(OR(PSPOINTS[[#This Row],[Hourly]]=TRUE,PSPOINTS[[#This Row],[Hourly]]=FALSE),IF(OR(PSPOINTS[[#This Row],[PayScalePointEnabled]]=TRUE,PSPOINTS[[#This Row],[PayScalePointEnabled]]=FALSE),0,1),1)</f>
        <v>0</v>
      </c>
      <c r="I304" s="57">
        <f>IF(LEN(PSPOINTS[[#This Row],[PayScalePointCode]])&lt;100,0,1)</f>
        <v>0</v>
      </c>
      <c r="J304" s="57">
        <f>IF(LEN(PSPOINTS[[#This Row],[PayScalePointTitle]])&lt;100,0,1)</f>
        <v>0</v>
      </c>
      <c r="K304" s="57">
        <f>(COUNTBLANK(PSPOINTS[[#This Row],[PayScalePointCode]:[RateDateFrom]])+COUNTBLANK(PSPOINTS[[#This Row],[PayScaleRate]]))</f>
        <v>0</v>
      </c>
      <c r="L304" s="120">
        <f>IF(SUBSTITUTE(TEXT(PSPOINTS[[#This Row],[PayScaleCode]],10)," ","")=TEXT(PSPOINTS[[#This Row],[PayScaleCode]],10),0,1)+IF(SUBSTITUTE(TEXT(PSPOINTS[[#This Row],[PayScalePointCode]],10)," ","")=TEXT(PSPOINTS[[#This Row],[PayScalePointCode]],10),0,1)</f>
        <v>0</v>
      </c>
      <c r="M304" s="57">
        <f ca="1">SUM(PSPOINTS[[#This Row],[Scale Point Issue]:[Space in Code]])</f>
        <v>0</v>
      </c>
      <c r="N304" s="57" t="s">
        <v>1401</v>
      </c>
      <c r="P304" s="12" t="s">
        <v>1410</v>
      </c>
      <c r="Q304" s="57" t="str">
        <f>_xlfn.XLOOKUP(PSPOINTS[[#This Row],[PayScaleCode]],'19_PayScales'!N:N,'19_PayScales'!O:O)</f>
        <v>NJC Inner</v>
      </c>
      <c r="R304" s="12">
        <v>16</v>
      </c>
      <c r="S304" s="12">
        <v>16</v>
      </c>
      <c r="T304" s="12">
        <v>16</v>
      </c>
      <c r="U304" s="12" t="b">
        <v>0</v>
      </c>
      <c r="V304" s="15" t="b">
        <v>1</v>
      </c>
      <c r="W304" s="164">
        <v>45748</v>
      </c>
      <c r="X304" s="140"/>
      <c r="Y304" s="163">
        <v>36423</v>
      </c>
    </row>
    <row r="305" spans="1:25" hidden="1" x14ac:dyDescent="0.25">
      <c r="A305" s="158" t="str">
        <f>PSPOINTS[[#This Row],[PayScaleCode]]&amp;PSPOINTS[[#This Row],[RateDateFrom]]</f>
        <v>NJC_INN45748</v>
      </c>
      <c r="B305" s="57">
        <f t="shared" si="4"/>
        <v>0</v>
      </c>
      <c r="C305" s="57" t="str">
        <f>PSPOINTS[[#This Row],[PayScaleCode]]&amp;PSPOINTS[[#This Row],[PayScalePointCode]]&amp;PSPOINTS[[#This Row],[RateDateFrom]]</f>
        <v>NJC_INN1745748</v>
      </c>
      <c r="D305" s="57">
        <f>COUNTIF(PSPOINTS[Pay Scale String Duplicates],PSPOINTS[[#This Row],[Pay Scale String Duplicates]])-1</f>
        <v>0</v>
      </c>
      <c r="E305" s="57">
        <f>IF((MONTH(_xlfn.XLOOKUP(PSPOINTS[[#This Row],[PayScaleCode]],'19_PayScales'!N:N,'19_PayScales'!R:R)))=MONTH(PSPOINTS[[#This Row],[RateDateFrom]]),0,1)</f>
        <v>0</v>
      </c>
      <c r="F305" s="57">
        <f>IF(ISBLANK(PSPOINTS[[#This Row],[RateDateTo]]),0,IF(PSPOINTS[[#This Row],[RateDateFrom]]&lt;PSPOINTS[[#This Row],[RateDateTo]],0,1))</f>
        <v>0</v>
      </c>
      <c r="G305" s="57" cm="1">
        <f t="array" aca="1" ref="G305" ca="1">IF(CELL("format",PSPOINTS[[#This Row],[RateDateFrom]])="D1",0,1)+IF(CELL("format",PSPOINTS[[#This Row],[RateDateTo]])="D1",0,1)</f>
        <v>0</v>
      </c>
      <c r="H305" s="57">
        <f>IF(OR(PSPOINTS[[#This Row],[Hourly]]=TRUE,PSPOINTS[[#This Row],[Hourly]]=FALSE),IF(OR(PSPOINTS[[#This Row],[PayScalePointEnabled]]=TRUE,PSPOINTS[[#This Row],[PayScalePointEnabled]]=FALSE),0,1),1)</f>
        <v>0</v>
      </c>
      <c r="I305" s="57">
        <f>IF(LEN(PSPOINTS[[#This Row],[PayScalePointCode]])&lt;100,0,1)</f>
        <v>0</v>
      </c>
      <c r="J305" s="57">
        <f>IF(LEN(PSPOINTS[[#This Row],[PayScalePointTitle]])&lt;100,0,1)</f>
        <v>0</v>
      </c>
      <c r="K305" s="57">
        <f>(COUNTBLANK(PSPOINTS[[#This Row],[PayScalePointCode]:[RateDateFrom]])+COUNTBLANK(PSPOINTS[[#This Row],[PayScaleRate]]))</f>
        <v>0</v>
      </c>
      <c r="L305" s="120">
        <f>IF(SUBSTITUTE(TEXT(PSPOINTS[[#This Row],[PayScaleCode]],10)," ","")=TEXT(PSPOINTS[[#This Row],[PayScaleCode]],10),0,1)+IF(SUBSTITUTE(TEXT(PSPOINTS[[#This Row],[PayScalePointCode]],10)," ","")=TEXT(PSPOINTS[[#This Row],[PayScalePointCode]],10),0,1)</f>
        <v>0</v>
      </c>
      <c r="M305" s="57">
        <f ca="1">SUM(PSPOINTS[[#This Row],[Scale Point Issue]:[Space in Code]])</f>
        <v>0</v>
      </c>
      <c r="N305" s="57" t="s">
        <v>1401</v>
      </c>
      <c r="P305" s="12" t="s">
        <v>1410</v>
      </c>
      <c r="Q305" s="57" t="str">
        <f>_xlfn.XLOOKUP(PSPOINTS[[#This Row],[PayScaleCode]],'19_PayScales'!N:N,'19_PayScales'!O:O)</f>
        <v>NJC Inner</v>
      </c>
      <c r="R305" s="12">
        <v>17</v>
      </c>
      <c r="S305" s="12">
        <v>17</v>
      </c>
      <c r="T305" s="12">
        <v>17</v>
      </c>
      <c r="U305" s="12" t="b">
        <v>0</v>
      </c>
      <c r="V305" s="15" t="b">
        <v>1</v>
      </c>
      <c r="W305" s="164">
        <v>45748</v>
      </c>
      <c r="X305" s="140"/>
      <c r="Y305" s="163">
        <v>36963</v>
      </c>
    </row>
    <row r="306" spans="1:25" hidden="1" x14ac:dyDescent="0.25">
      <c r="A306" s="158" t="str">
        <f>PSPOINTS[[#This Row],[PayScaleCode]]&amp;PSPOINTS[[#This Row],[RateDateFrom]]</f>
        <v>NJC_INN45748</v>
      </c>
      <c r="B306" s="57">
        <f t="shared" si="4"/>
        <v>0</v>
      </c>
      <c r="C306" s="57" t="str">
        <f>PSPOINTS[[#This Row],[PayScaleCode]]&amp;PSPOINTS[[#This Row],[PayScalePointCode]]&amp;PSPOINTS[[#This Row],[RateDateFrom]]</f>
        <v>NJC_INN1845748</v>
      </c>
      <c r="D306" s="57">
        <f>COUNTIF(PSPOINTS[Pay Scale String Duplicates],PSPOINTS[[#This Row],[Pay Scale String Duplicates]])-1</f>
        <v>0</v>
      </c>
      <c r="E306" s="57">
        <f>IF((MONTH(_xlfn.XLOOKUP(PSPOINTS[[#This Row],[PayScaleCode]],'19_PayScales'!N:N,'19_PayScales'!R:R)))=MONTH(PSPOINTS[[#This Row],[RateDateFrom]]),0,1)</f>
        <v>0</v>
      </c>
      <c r="F306" s="57">
        <f>IF(ISBLANK(PSPOINTS[[#This Row],[RateDateTo]]),0,IF(PSPOINTS[[#This Row],[RateDateFrom]]&lt;PSPOINTS[[#This Row],[RateDateTo]],0,1))</f>
        <v>0</v>
      </c>
      <c r="G306" s="57" cm="1">
        <f t="array" aca="1" ref="G306" ca="1">IF(CELL("format",PSPOINTS[[#This Row],[RateDateFrom]])="D1",0,1)+IF(CELL("format",PSPOINTS[[#This Row],[RateDateTo]])="D1",0,1)</f>
        <v>0</v>
      </c>
      <c r="H306" s="57">
        <f>IF(OR(PSPOINTS[[#This Row],[Hourly]]=TRUE,PSPOINTS[[#This Row],[Hourly]]=FALSE),IF(OR(PSPOINTS[[#This Row],[PayScalePointEnabled]]=TRUE,PSPOINTS[[#This Row],[PayScalePointEnabled]]=FALSE),0,1),1)</f>
        <v>0</v>
      </c>
      <c r="I306" s="57">
        <f>IF(LEN(PSPOINTS[[#This Row],[PayScalePointCode]])&lt;100,0,1)</f>
        <v>0</v>
      </c>
      <c r="J306" s="57">
        <f>IF(LEN(PSPOINTS[[#This Row],[PayScalePointTitle]])&lt;100,0,1)</f>
        <v>0</v>
      </c>
      <c r="K306" s="57">
        <f>(COUNTBLANK(PSPOINTS[[#This Row],[PayScalePointCode]:[RateDateFrom]])+COUNTBLANK(PSPOINTS[[#This Row],[PayScaleRate]]))</f>
        <v>0</v>
      </c>
      <c r="L306" s="120">
        <f>IF(SUBSTITUTE(TEXT(PSPOINTS[[#This Row],[PayScaleCode]],10)," ","")=TEXT(PSPOINTS[[#This Row],[PayScaleCode]],10),0,1)+IF(SUBSTITUTE(TEXT(PSPOINTS[[#This Row],[PayScalePointCode]],10)," ","")=TEXT(PSPOINTS[[#This Row],[PayScalePointCode]],10),0,1)</f>
        <v>0</v>
      </c>
      <c r="M306" s="57">
        <f ca="1">SUM(PSPOINTS[[#This Row],[Scale Point Issue]:[Space in Code]])</f>
        <v>0</v>
      </c>
      <c r="N306" s="57" t="s">
        <v>1401</v>
      </c>
      <c r="P306" s="12" t="s">
        <v>1410</v>
      </c>
      <c r="Q306" s="57" t="str">
        <f>_xlfn.XLOOKUP(PSPOINTS[[#This Row],[PayScaleCode]],'19_PayScales'!N:N,'19_PayScales'!O:O)</f>
        <v>NJC Inner</v>
      </c>
      <c r="R306" s="12">
        <v>18</v>
      </c>
      <c r="S306" s="12">
        <v>18</v>
      </c>
      <c r="T306" s="12">
        <v>18</v>
      </c>
      <c r="U306" s="12" t="b">
        <v>0</v>
      </c>
      <c r="V306" s="15" t="b">
        <v>1</v>
      </c>
      <c r="W306" s="164">
        <v>45748</v>
      </c>
      <c r="X306" s="140"/>
      <c r="Y306" s="163">
        <v>37509</v>
      </c>
    </row>
    <row r="307" spans="1:25" hidden="1" x14ac:dyDescent="0.25">
      <c r="A307" s="158" t="str">
        <f>PSPOINTS[[#This Row],[PayScaleCode]]&amp;PSPOINTS[[#This Row],[RateDateFrom]]</f>
        <v>NJC_INN45748</v>
      </c>
      <c r="B307" s="57">
        <f t="shared" si="4"/>
        <v>0</v>
      </c>
      <c r="C307" s="57" t="str">
        <f>PSPOINTS[[#This Row],[PayScaleCode]]&amp;PSPOINTS[[#This Row],[PayScalePointCode]]&amp;PSPOINTS[[#This Row],[RateDateFrom]]</f>
        <v>NJC_INN1945748</v>
      </c>
      <c r="D307" s="57">
        <f>COUNTIF(PSPOINTS[Pay Scale String Duplicates],PSPOINTS[[#This Row],[Pay Scale String Duplicates]])-1</f>
        <v>0</v>
      </c>
      <c r="E307" s="57">
        <f>IF((MONTH(_xlfn.XLOOKUP(PSPOINTS[[#This Row],[PayScaleCode]],'19_PayScales'!N:N,'19_PayScales'!R:R)))=MONTH(PSPOINTS[[#This Row],[RateDateFrom]]),0,1)</f>
        <v>0</v>
      </c>
      <c r="F307" s="57">
        <f>IF(ISBLANK(PSPOINTS[[#This Row],[RateDateTo]]),0,IF(PSPOINTS[[#This Row],[RateDateFrom]]&lt;PSPOINTS[[#This Row],[RateDateTo]],0,1))</f>
        <v>0</v>
      </c>
      <c r="G307" s="57" cm="1">
        <f t="array" aca="1" ref="G307" ca="1">IF(CELL("format",PSPOINTS[[#This Row],[RateDateFrom]])="D1",0,1)+IF(CELL("format",PSPOINTS[[#This Row],[RateDateTo]])="D1",0,1)</f>
        <v>0</v>
      </c>
      <c r="H307" s="57">
        <f>IF(OR(PSPOINTS[[#This Row],[Hourly]]=TRUE,PSPOINTS[[#This Row],[Hourly]]=FALSE),IF(OR(PSPOINTS[[#This Row],[PayScalePointEnabled]]=TRUE,PSPOINTS[[#This Row],[PayScalePointEnabled]]=FALSE),0,1),1)</f>
        <v>0</v>
      </c>
      <c r="I307" s="57">
        <f>IF(LEN(PSPOINTS[[#This Row],[PayScalePointCode]])&lt;100,0,1)</f>
        <v>0</v>
      </c>
      <c r="J307" s="57">
        <f>IF(LEN(PSPOINTS[[#This Row],[PayScalePointTitle]])&lt;100,0,1)</f>
        <v>0</v>
      </c>
      <c r="K307" s="57">
        <f>(COUNTBLANK(PSPOINTS[[#This Row],[PayScalePointCode]:[RateDateFrom]])+COUNTBLANK(PSPOINTS[[#This Row],[PayScaleRate]]))</f>
        <v>0</v>
      </c>
      <c r="L307" s="120">
        <f>IF(SUBSTITUTE(TEXT(PSPOINTS[[#This Row],[PayScaleCode]],10)," ","")=TEXT(PSPOINTS[[#This Row],[PayScaleCode]],10),0,1)+IF(SUBSTITUTE(TEXT(PSPOINTS[[#This Row],[PayScalePointCode]],10)," ","")=TEXT(PSPOINTS[[#This Row],[PayScalePointCode]],10),0,1)</f>
        <v>0</v>
      </c>
      <c r="M307" s="57">
        <f ca="1">SUM(PSPOINTS[[#This Row],[Scale Point Issue]:[Space in Code]])</f>
        <v>0</v>
      </c>
      <c r="N307" s="57" t="s">
        <v>1401</v>
      </c>
      <c r="P307" s="12" t="s">
        <v>1410</v>
      </c>
      <c r="Q307" s="57" t="str">
        <f>_xlfn.XLOOKUP(PSPOINTS[[#This Row],[PayScaleCode]],'19_PayScales'!N:N,'19_PayScales'!O:O)</f>
        <v>NJC Inner</v>
      </c>
      <c r="R307" s="12">
        <v>19</v>
      </c>
      <c r="S307" s="12">
        <v>19</v>
      </c>
      <c r="T307" s="12">
        <v>19</v>
      </c>
      <c r="U307" s="12" t="b">
        <v>0</v>
      </c>
      <c r="V307" s="15" t="b">
        <v>1</v>
      </c>
      <c r="W307" s="164">
        <v>45748</v>
      </c>
      <c r="X307" s="140"/>
      <c r="Y307" s="163">
        <v>38070</v>
      </c>
    </row>
    <row r="308" spans="1:25" hidden="1" x14ac:dyDescent="0.25">
      <c r="A308" s="158" t="str">
        <f>PSPOINTS[[#This Row],[PayScaleCode]]&amp;PSPOINTS[[#This Row],[RateDateFrom]]</f>
        <v>NJC_INN45748</v>
      </c>
      <c r="B308" s="57">
        <f t="shared" si="4"/>
        <v>0</v>
      </c>
      <c r="C308" s="57" t="str">
        <f>PSPOINTS[[#This Row],[PayScaleCode]]&amp;PSPOINTS[[#This Row],[PayScalePointCode]]&amp;PSPOINTS[[#This Row],[RateDateFrom]]</f>
        <v>NJC_INN2045748</v>
      </c>
      <c r="D308" s="57">
        <f>COUNTIF(PSPOINTS[Pay Scale String Duplicates],PSPOINTS[[#This Row],[Pay Scale String Duplicates]])-1</f>
        <v>0</v>
      </c>
      <c r="E308" s="57">
        <f>IF((MONTH(_xlfn.XLOOKUP(PSPOINTS[[#This Row],[PayScaleCode]],'19_PayScales'!N:N,'19_PayScales'!R:R)))=MONTH(PSPOINTS[[#This Row],[RateDateFrom]]),0,1)</f>
        <v>0</v>
      </c>
      <c r="F308" s="57">
        <f>IF(ISBLANK(PSPOINTS[[#This Row],[RateDateTo]]),0,IF(PSPOINTS[[#This Row],[RateDateFrom]]&lt;PSPOINTS[[#This Row],[RateDateTo]],0,1))</f>
        <v>0</v>
      </c>
      <c r="G308" s="57" cm="1">
        <f t="array" aca="1" ref="G308" ca="1">IF(CELL("format",PSPOINTS[[#This Row],[RateDateFrom]])="D1",0,1)+IF(CELL("format",PSPOINTS[[#This Row],[RateDateTo]])="D1",0,1)</f>
        <v>0</v>
      </c>
      <c r="H308" s="57">
        <f>IF(OR(PSPOINTS[[#This Row],[Hourly]]=TRUE,PSPOINTS[[#This Row],[Hourly]]=FALSE),IF(OR(PSPOINTS[[#This Row],[PayScalePointEnabled]]=TRUE,PSPOINTS[[#This Row],[PayScalePointEnabled]]=FALSE),0,1),1)</f>
        <v>0</v>
      </c>
      <c r="I308" s="57">
        <f>IF(LEN(PSPOINTS[[#This Row],[PayScalePointCode]])&lt;100,0,1)</f>
        <v>0</v>
      </c>
      <c r="J308" s="57">
        <f>IF(LEN(PSPOINTS[[#This Row],[PayScalePointTitle]])&lt;100,0,1)</f>
        <v>0</v>
      </c>
      <c r="K308" s="57">
        <f>(COUNTBLANK(PSPOINTS[[#This Row],[PayScalePointCode]:[RateDateFrom]])+COUNTBLANK(PSPOINTS[[#This Row],[PayScaleRate]]))</f>
        <v>0</v>
      </c>
      <c r="L308" s="120">
        <f>IF(SUBSTITUTE(TEXT(PSPOINTS[[#This Row],[PayScaleCode]],10)," ","")=TEXT(PSPOINTS[[#This Row],[PayScaleCode]],10),0,1)+IF(SUBSTITUTE(TEXT(PSPOINTS[[#This Row],[PayScalePointCode]],10)," ","")=TEXT(PSPOINTS[[#This Row],[PayScalePointCode]],10),0,1)</f>
        <v>0</v>
      </c>
      <c r="M308" s="57">
        <f ca="1">SUM(PSPOINTS[[#This Row],[Scale Point Issue]:[Space in Code]])</f>
        <v>0</v>
      </c>
      <c r="N308" s="57" t="s">
        <v>1401</v>
      </c>
      <c r="P308" s="12" t="s">
        <v>1410</v>
      </c>
      <c r="Q308" s="57" t="str">
        <f>_xlfn.XLOOKUP(PSPOINTS[[#This Row],[PayScaleCode]],'19_PayScales'!N:N,'19_PayScales'!O:O)</f>
        <v>NJC Inner</v>
      </c>
      <c r="R308" s="12">
        <v>20</v>
      </c>
      <c r="S308" s="12">
        <v>20</v>
      </c>
      <c r="T308" s="12">
        <v>20</v>
      </c>
      <c r="U308" s="12" t="b">
        <v>0</v>
      </c>
      <c r="V308" s="15" t="b">
        <v>1</v>
      </c>
      <c r="W308" s="164">
        <v>45748</v>
      </c>
      <c r="X308" s="140"/>
      <c r="Y308" s="163">
        <v>38637</v>
      </c>
    </row>
    <row r="309" spans="1:25" hidden="1" x14ac:dyDescent="0.25">
      <c r="A309" s="158" t="str">
        <f>PSPOINTS[[#This Row],[PayScaleCode]]&amp;PSPOINTS[[#This Row],[RateDateFrom]]</f>
        <v>NJC_INN45748</v>
      </c>
      <c r="B309" s="57">
        <f t="shared" si="4"/>
        <v>0</v>
      </c>
      <c r="C309" s="57" t="str">
        <f>PSPOINTS[[#This Row],[PayScaleCode]]&amp;PSPOINTS[[#This Row],[PayScalePointCode]]&amp;PSPOINTS[[#This Row],[RateDateFrom]]</f>
        <v>NJC_INN2145748</v>
      </c>
      <c r="D309" s="57">
        <f>COUNTIF(PSPOINTS[Pay Scale String Duplicates],PSPOINTS[[#This Row],[Pay Scale String Duplicates]])-1</f>
        <v>0</v>
      </c>
      <c r="E309" s="57">
        <f>IF((MONTH(_xlfn.XLOOKUP(PSPOINTS[[#This Row],[PayScaleCode]],'19_PayScales'!N:N,'19_PayScales'!R:R)))=MONTH(PSPOINTS[[#This Row],[RateDateFrom]]),0,1)</f>
        <v>0</v>
      </c>
      <c r="F309" s="57">
        <f>IF(ISBLANK(PSPOINTS[[#This Row],[RateDateTo]]),0,IF(PSPOINTS[[#This Row],[RateDateFrom]]&lt;PSPOINTS[[#This Row],[RateDateTo]],0,1))</f>
        <v>0</v>
      </c>
      <c r="G309" s="57" cm="1">
        <f t="array" aca="1" ref="G309" ca="1">IF(CELL("format",PSPOINTS[[#This Row],[RateDateFrom]])="D1",0,1)+IF(CELL("format",PSPOINTS[[#This Row],[RateDateTo]])="D1",0,1)</f>
        <v>0</v>
      </c>
      <c r="H309" s="57">
        <f>IF(OR(PSPOINTS[[#This Row],[Hourly]]=TRUE,PSPOINTS[[#This Row],[Hourly]]=FALSE),IF(OR(PSPOINTS[[#This Row],[PayScalePointEnabled]]=TRUE,PSPOINTS[[#This Row],[PayScalePointEnabled]]=FALSE),0,1),1)</f>
        <v>0</v>
      </c>
      <c r="I309" s="57">
        <f>IF(LEN(PSPOINTS[[#This Row],[PayScalePointCode]])&lt;100,0,1)</f>
        <v>0</v>
      </c>
      <c r="J309" s="57">
        <f>IF(LEN(PSPOINTS[[#This Row],[PayScalePointTitle]])&lt;100,0,1)</f>
        <v>0</v>
      </c>
      <c r="K309" s="57">
        <f>(COUNTBLANK(PSPOINTS[[#This Row],[PayScalePointCode]:[RateDateFrom]])+COUNTBLANK(PSPOINTS[[#This Row],[PayScaleRate]]))</f>
        <v>0</v>
      </c>
      <c r="L309" s="120">
        <f>IF(SUBSTITUTE(TEXT(PSPOINTS[[#This Row],[PayScaleCode]],10)," ","")=TEXT(PSPOINTS[[#This Row],[PayScaleCode]],10),0,1)+IF(SUBSTITUTE(TEXT(PSPOINTS[[#This Row],[PayScalePointCode]],10)," ","")=TEXT(PSPOINTS[[#This Row],[PayScalePointCode]],10),0,1)</f>
        <v>0</v>
      </c>
      <c r="M309" s="57">
        <f ca="1">SUM(PSPOINTS[[#This Row],[Scale Point Issue]:[Space in Code]])</f>
        <v>0</v>
      </c>
      <c r="N309" s="57" t="s">
        <v>1401</v>
      </c>
      <c r="P309" s="12" t="s">
        <v>1410</v>
      </c>
      <c r="Q309" s="57" t="str">
        <f>_xlfn.XLOOKUP(PSPOINTS[[#This Row],[PayScaleCode]],'19_PayScales'!N:N,'19_PayScales'!O:O)</f>
        <v>NJC Inner</v>
      </c>
      <c r="R309" s="12">
        <v>21</v>
      </c>
      <c r="S309" s="12">
        <v>21</v>
      </c>
      <c r="T309" s="12">
        <v>21</v>
      </c>
      <c r="U309" s="12" t="b">
        <v>0</v>
      </c>
      <c r="V309" s="15" t="b">
        <v>1</v>
      </c>
      <c r="W309" s="164">
        <v>45748</v>
      </c>
      <c r="X309" s="140"/>
      <c r="Y309" s="163">
        <v>39216</v>
      </c>
    </row>
    <row r="310" spans="1:25" hidden="1" x14ac:dyDescent="0.25">
      <c r="A310" s="158" t="str">
        <f>PSPOINTS[[#This Row],[PayScaleCode]]&amp;PSPOINTS[[#This Row],[RateDateFrom]]</f>
        <v>NJC_INN45748</v>
      </c>
      <c r="B310" s="57">
        <f t="shared" si="4"/>
        <v>0</v>
      </c>
      <c r="C310" s="57" t="str">
        <f>PSPOINTS[[#This Row],[PayScaleCode]]&amp;PSPOINTS[[#This Row],[PayScalePointCode]]&amp;PSPOINTS[[#This Row],[RateDateFrom]]</f>
        <v>NJC_INN2245748</v>
      </c>
      <c r="D310" s="57">
        <f>COUNTIF(PSPOINTS[Pay Scale String Duplicates],PSPOINTS[[#This Row],[Pay Scale String Duplicates]])-1</f>
        <v>0</v>
      </c>
      <c r="E310" s="57">
        <f>IF((MONTH(_xlfn.XLOOKUP(PSPOINTS[[#This Row],[PayScaleCode]],'19_PayScales'!N:N,'19_PayScales'!R:R)))=MONTH(PSPOINTS[[#This Row],[RateDateFrom]]),0,1)</f>
        <v>0</v>
      </c>
      <c r="F310" s="57">
        <f>IF(ISBLANK(PSPOINTS[[#This Row],[RateDateTo]]),0,IF(PSPOINTS[[#This Row],[RateDateFrom]]&lt;PSPOINTS[[#This Row],[RateDateTo]],0,1))</f>
        <v>0</v>
      </c>
      <c r="G310" s="57" cm="1">
        <f t="array" aca="1" ref="G310" ca="1">IF(CELL("format",PSPOINTS[[#This Row],[RateDateFrom]])="D1",0,1)+IF(CELL("format",PSPOINTS[[#This Row],[RateDateTo]])="D1",0,1)</f>
        <v>0</v>
      </c>
      <c r="H310" s="57">
        <f>IF(OR(PSPOINTS[[#This Row],[Hourly]]=TRUE,PSPOINTS[[#This Row],[Hourly]]=FALSE),IF(OR(PSPOINTS[[#This Row],[PayScalePointEnabled]]=TRUE,PSPOINTS[[#This Row],[PayScalePointEnabled]]=FALSE),0,1),1)</f>
        <v>0</v>
      </c>
      <c r="I310" s="57">
        <f>IF(LEN(PSPOINTS[[#This Row],[PayScalePointCode]])&lt;100,0,1)</f>
        <v>0</v>
      </c>
      <c r="J310" s="57">
        <f>IF(LEN(PSPOINTS[[#This Row],[PayScalePointTitle]])&lt;100,0,1)</f>
        <v>0</v>
      </c>
      <c r="K310" s="57">
        <f>(COUNTBLANK(PSPOINTS[[#This Row],[PayScalePointCode]:[RateDateFrom]])+COUNTBLANK(PSPOINTS[[#This Row],[PayScaleRate]]))</f>
        <v>0</v>
      </c>
      <c r="L310" s="120">
        <f>IF(SUBSTITUTE(TEXT(PSPOINTS[[#This Row],[PayScaleCode]],10)," ","")=TEXT(PSPOINTS[[#This Row],[PayScaleCode]],10),0,1)+IF(SUBSTITUTE(TEXT(PSPOINTS[[#This Row],[PayScalePointCode]],10)," ","")=TEXT(PSPOINTS[[#This Row],[PayScalePointCode]],10),0,1)</f>
        <v>0</v>
      </c>
      <c r="M310" s="57">
        <f ca="1">SUM(PSPOINTS[[#This Row],[Scale Point Issue]:[Space in Code]])</f>
        <v>0</v>
      </c>
      <c r="N310" s="57" t="s">
        <v>1401</v>
      </c>
      <c r="P310" s="12" t="s">
        <v>1410</v>
      </c>
      <c r="Q310" s="57" t="str">
        <f>_xlfn.XLOOKUP(PSPOINTS[[#This Row],[PayScaleCode]],'19_PayScales'!N:N,'19_PayScales'!O:O)</f>
        <v>NJC Inner</v>
      </c>
      <c r="R310" s="12">
        <v>22</v>
      </c>
      <c r="S310" s="12">
        <v>22</v>
      </c>
      <c r="T310" s="12">
        <v>22</v>
      </c>
      <c r="U310" s="12" t="b">
        <v>0</v>
      </c>
      <c r="V310" s="15" t="b">
        <v>1</v>
      </c>
      <c r="W310" s="164">
        <v>45748</v>
      </c>
      <c r="X310" s="140"/>
      <c r="Y310" s="163">
        <v>39807</v>
      </c>
    </row>
    <row r="311" spans="1:25" hidden="1" x14ac:dyDescent="0.25">
      <c r="A311" s="158" t="str">
        <f>PSPOINTS[[#This Row],[PayScaleCode]]&amp;PSPOINTS[[#This Row],[RateDateFrom]]</f>
        <v>NJC_INN45748</v>
      </c>
      <c r="B311" s="57">
        <f t="shared" si="4"/>
        <v>0</v>
      </c>
      <c r="C311" s="57" t="str">
        <f>PSPOINTS[[#This Row],[PayScaleCode]]&amp;PSPOINTS[[#This Row],[PayScalePointCode]]&amp;PSPOINTS[[#This Row],[RateDateFrom]]</f>
        <v>NJC_INN2345748</v>
      </c>
      <c r="D311" s="57">
        <f>COUNTIF(PSPOINTS[Pay Scale String Duplicates],PSPOINTS[[#This Row],[Pay Scale String Duplicates]])-1</f>
        <v>0</v>
      </c>
      <c r="E311" s="57">
        <f>IF((MONTH(_xlfn.XLOOKUP(PSPOINTS[[#This Row],[PayScaleCode]],'19_PayScales'!N:N,'19_PayScales'!R:R)))=MONTH(PSPOINTS[[#This Row],[RateDateFrom]]),0,1)</f>
        <v>0</v>
      </c>
      <c r="F311" s="57">
        <f>IF(ISBLANK(PSPOINTS[[#This Row],[RateDateTo]]),0,IF(PSPOINTS[[#This Row],[RateDateFrom]]&lt;PSPOINTS[[#This Row],[RateDateTo]],0,1))</f>
        <v>0</v>
      </c>
      <c r="G311" s="57" cm="1">
        <f t="array" aca="1" ref="G311" ca="1">IF(CELL("format",PSPOINTS[[#This Row],[RateDateFrom]])="D1",0,1)+IF(CELL("format",PSPOINTS[[#This Row],[RateDateTo]])="D1",0,1)</f>
        <v>0</v>
      </c>
      <c r="H311" s="57">
        <f>IF(OR(PSPOINTS[[#This Row],[Hourly]]=TRUE,PSPOINTS[[#This Row],[Hourly]]=FALSE),IF(OR(PSPOINTS[[#This Row],[PayScalePointEnabled]]=TRUE,PSPOINTS[[#This Row],[PayScalePointEnabled]]=FALSE),0,1),1)</f>
        <v>0</v>
      </c>
      <c r="I311" s="57">
        <f>IF(LEN(PSPOINTS[[#This Row],[PayScalePointCode]])&lt;100,0,1)</f>
        <v>0</v>
      </c>
      <c r="J311" s="57">
        <f>IF(LEN(PSPOINTS[[#This Row],[PayScalePointTitle]])&lt;100,0,1)</f>
        <v>0</v>
      </c>
      <c r="K311" s="57">
        <f>(COUNTBLANK(PSPOINTS[[#This Row],[PayScalePointCode]:[RateDateFrom]])+COUNTBLANK(PSPOINTS[[#This Row],[PayScaleRate]]))</f>
        <v>0</v>
      </c>
      <c r="L311" s="120">
        <f>IF(SUBSTITUTE(TEXT(PSPOINTS[[#This Row],[PayScaleCode]],10)," ","")=TEXT(PSPOINTS[[#This Row],[PayScaleCode]],10),0,1)+IF(SUBSTITUTE(TEXT(PSPOINTS[[#This Row],[PayScalePointCode]],10)," ","")=TEXT(PSPOINTS[[#This Row],[PayScalePointCode]],10),0,1)</f>
        <v>0</v>
      </c>
      <c r="M311" s="57">
        <f ca="1">SUM(PSPOINTS[[#This Row],[Scale Point Issue]:[Space in Code]])</f>
        <v>0</v>
      </c>
      <c r="N311" s="57" t="s">
        <v>1401</v>
      </c>
      <c r="P311" s="12" t="s">
        <v>1410</v>
      </c>
      <c r="Q311" s="57" t="str">
        <f>_xlfn.XLOOKUP(PSPOINTS[[#This Row],[PayScaleCode]],'19_PayScales'!N:N,'19_PayScales'!O:O)</f>
        <v>NJC Inner</v>
      </c>
      <c r="R311" s="12">
        <v>23</v>
      </c>
      <c r="S311" s="12">
        <v>23</v>
      </c>
      <c r="T311" s="12">
        <v>23</v>
      </c>
      <c r="U311" s="12" t="b">
        <v>0</v>
      </c>
      <c r="V311" s="15" t="b">
        <v>1</v>
      </c>
      <c r="W311" s="164">
        <v>45748</v>
      </c>
      <c r="X311" s="140"/>
      <c r="Y311" s="163">
        <v>40404</v>
      </c>
    </row>
    <row r="312" spans="1:25" hidden="1" x14ac:dyDescent="0.25">
      <c r="A312" s="158" t="str">
        <f>PSPOINTS[[#This Row],[PayScaleCode]]&amp;PSPOINTS[[#This Row],[RateDateFrom]]</f>
        <v>NJC_INN45748</v>
      </c>
      <c r="B312" s="57">
        <f t="shared" si="4"/>
        <v>0</v>
      </c>
      <c r="C312" s="57" t="str">
        <f>PSPOINTS[[#This Row],[PayScaleCode]]&amp;PSPOINTS[[#This Row],[PayScalePointCode]]&amp;PSPOINTS[[#This Row],[RateDateFrom]]</f>
        <v>NJC_INN2445748</v>
      </c>
      <c r="D312" s="57">
        <f>COUNTIF(PSPOINTS[Pay Scale String Duplicates],PSPOINTS[[#This Row],[Pay Scale String Duplicates]])-1</f>
        <v>0</v>
      </c>
      <c r="E312" s="57">
        <f>IF((MONTH(_xlfn.XLOOKUP(PSPOINTS[[#This Row],[PayScaleCode]],'19_PayScales'!N:N,'19_PayScales'!R:R)))=MONTH(PSPOINTS[[#This Row],[RateDateFrom]]),0,1)</f>
        <v>0</v>
      </c>
      <c r="F312" s="57">
        <f>IF(ISBLANK(PSPOINTS[[#This Row],[RateDateTo]]),0,IF(PSPOINTS[[#This Row],[RateDateFrom]]&lt;PSPOINTS[[#This Row],[RateDateTo]],0,1))</f>
        <v>0</v>
      </c>
      <c r="G312" s="57" cm="1">
        <f t="array" aca="1" ref="G312" ca="1">IF(CELL("format",PSPOINTS[[#This Row],[RateDateFrom]])="D1",0,1)+IF(CELL("format",PSPOINTS[[#This Row],[RateDateTo]])="D1",0,1)</f>
        <v>0</v>
      </c>
      <c r="H312" s="57">
        <f>IF(OR(PSPOINTS[[#This Row],[Hourly]]=TRUE,PSPOINTS[[#This Row],[Hourly]]=FALSE),IF(OR(PSPOINTS[[#This Row],[PayScalePointEnabled]]=TRUE,PSPOINTS[[#This Row],[PayScalePointEnabled]]=FALSE),0,1),1)</f>
        <v>0</v>
      </c>
      <c r="I312" s="57">
        <f>IF(LEN(PSPOINTS[[#This Row],[PayScalePointCode]])&lt;100,0,1)</f>
        <v>0</v>
      </c>
      <c r="J312" s="57">
        <f>IF(LEN(PSPOINTS[[#This Row],[PayScalePointTitle]])&lt;100,0,1)</f>
        <v>0</v>
      </c>
      <c r="K312" s="57">
        <f>(COUNTBLANK(PSPOINTS[[#This Row],[PayScalePointCode]:[RateDateFrom]])+COUNTBLANK(PSPOINTS[[#This Row],[PayScaleRate]]))</f>
        <v>0</v>
      </c>
      <c r="L312" s="120">
        <f>IF(SUBSTITUTE(TEXT(PSPOINTS[[#This Row],[PayScaleCode]],10)," ","")=TEXT(PSPOINTS[[#This Row],[PayScaleCode]],10),0,1)+IF(SUBSTITUTE(TEXT(PSPOINTS[[#This Row],[PayScalePointCode]],10)," ","")=TEXT(PSPOINTS[[#This Row],[PayScalePointCode]],10),0,1)</f>
        <v>0</v>
      </c>
      <c r="M312" s="57">
        <f ca="1">SUM(PSPOINTS[[#This Row],[Scale Point Issue]:[Space in Code]])</f>
        <v>0</v>
      </c>
      <c r="N312" s="57" t="s">
        <v>1401</v>
      </c>
      <c r="P312" s="12" t="s">
        <v>1410</v>
      </c>
      <c r="Q312" s="57" t="str">
        <f>_xlfn.XLOOKUP(PSPOINTS[[#This Row],[PayScaleCode]],'19_PayScales'!N:N,'19_PayScales'!O:O)</f>
        <v>NJC Inner</v>
      </c>
      <c r="R312" s="12">
        <v>24</v>
      </c>
      <c r="S312" s="12">
        <v>24</v>
      </c>
      <c r="T312" s="12">
        <v>24</v>
      </c>
      <c r="U312" s="12" t="b">
        <v>0</v>
      </c>
      <c r="V312" s="15" t="b">
        <v>1</v>
      </c>
      <c r="W312" s="164">
        <v>45748</v>
      </c>
      <c r="X312" s="140"/>
      <c r="Y312" s="163">
        <v>41013</v>
      </c>
    </row>
    <row r="313" spans="1:25" hidden="1" x14ac:dyDescent="0.25">
      <c r="A313" s="158" t="str">
        <f>PSPOINTS[[#This Row],[PayScaleCode]]&amp;PSPOINTS[[#This Row],[RateDateFrom]]</f>
        <v>NJC_INN45748</v>
      </c>
      <c r="B313" s="57">
        <f t="shared" si="4"/>
        <v>0</v>
      </c>
      <c r="C313" s="57" t="str">
        <f>PSPOINTS[[#This Row],[PayScaleCode]]&amp;PSPOINTS[[#This Row],[PayScalePointCode]]&amp;PSPOINTS[[#This Row],[RateDateFrom]]</f>
        <v>NJC_INN2545748</v>
      </c>
      <c r="D313" s="57">
        <f>COUNTIF(PSPOINTS[Pay Scale String Duplicates],PSPOINTS[[#This Row],[Pay Scale String Duplicates]])-1</f>
        <v>0</v>
      </c>
      <c r="E313" s="57">
        <f>IF((MONTH(_xlfn.XLOOKUP(PSPOINTS[[#This Row],[PayScaleCode]],'19_PayScales'!N:N,'19_PayScales'!R:R)))=MONTH(PSPOINTS[[#This Row],[RateDateFrom]]),0,1)</f>
        <v>0</v>
      </c>
      <c r="F313" s="57">
        <f>IF(ISBLANK(PSPOINTS[[#This Row],[RateDateTo]]),0,IF(PSPOINTS[[#This Row],[RateDateFrom]]&lt;PSPOINTS[[#This Row],[RateDateTo]],0,1))</f>
        <v>0</v>
      </c>
      <c r="G313" s="57" cm="1">
        <f t="array" aca="1" ref="G313" ca="1">IF(CELL("format",PSPOINTS[[#This Row],[RateDateFrom]])="D1",0,1)+IF(CELL("format",PSPOINTS[[#This Row],[RateDateTo]])="D1",0,1)</f>
        <v>0</v>
      </c>
      <c r="H313" s="57">
        <f>IF(OR(PSPOINTS[[#This Row],[Hourly]]=TRUE,PSPOINTS[[#This Row],[Hourly]]=FALSE),IF(OR(PSPOINTS[[#This Row],[PayScalePointEnabled]]=TRUE,PSPOINTS[[#This Row],[PayScalePointEnabled]]=FALSE),0,1),1)</f>
        <v>0</v>
      </c>
      <c r="I313" s="57">
        <f>IF(LEN(PSPOINTS[[#This Row],[PayScalePointCode]])&lt;100,0,1)</f>
        <v>0</v>
      </c>
      <c r="J313" s="57">
        <f>IF(LEN(PSPOINTS[[#This Row],[PayScalePointTitle]])&lt;100,0,1)</f>
        <v>0</v>
      </c>
      <c r="K313" s="57">
        <f>(COUNTBLANK(PSPOINTS[[#This Row],[PayScalePointCode]:[RateDateFrom]])+COUNTBLANK(PSPOINTS[[#This Row],[PayScaleRate]]))</f>
        <v>0</v>
      </c>
      <c r="L313" s="120">
        <f>IF(SUBSTITUTE(TEXT(PSPOINTS[[#This Row],[PayScaleCode]],10)," ","")=TEXT(PSPOINTS[[#This Row],[PayScaleCode]],10),0,1)+IF(SUBSTITUTE(TEXT(PSPOINTS[[#This Row],[PayScalePointCode]],10)," ","")=TEXT(PSPOINTS[[#This Row],[PayScalePointCode]],10),0,1)</f>
        <v>0</v>
      </c>
      <c r="M313" s="57">
        <f ca="1">SUM(PSPOINTS[[#This Row],[Scale Point Issue]:[Space in Code]])</f>
        <v>0</v>
      </c>
      <c r="N313" s="57" t="s">
        <v>1401</v>
      </c>
      <c r="P313" s="12" t="s">
        <v>1410</v>
      </c>
      <c r="Q313" s="57" t="str">
        <f>_xlfn.XLOOKUP(PSPOINTS[[#This Row],[PayScaleCode]],'19_PayScales'!N:N,'19_PayScales'!O:O)</f>
        <v>NJC Inner</v>
      </c>
      <c r="R313" s="12">
        <v>25</v>
      </c>
      <c r="S313" s="12">
        <v>25</v>
      </c>
      <c r="T313" s="12">
        <v>25</v>
      </c>
      <c r="U313" s="12" t="b">
        <v>0</v>
      </c>
      <c r="V313" s="15" t="b">
        <v>1</v>
      </c>
      <c r="W313" s="164">
        <v>45748</v>
      </c>
      <c r="X313" s="140"/>
      <c r="Y313" s="163">
        <v>41637</v>
      </c>
    </row>
    <row r="314" spans="1:25" hidden="1" x14ac:dyDescent="0.25">
      <c r="A314" s="158" t="str">
        <f>PSPOINTS[[#This Row],[PayScaleCode]]&amp;PSPOINTS[[#This Row],[RateDateFrom]]</f>
        <v>NJC_INN45748</v>
      </c>
      <c r="B314" s="57">
        <f t="shared" si="4"/>
        <v>0</v>
      </c>
      <c r="C314" s="57" t="str">
        <f>PSPOINTS[[#This Row],[PayScaleCode]]&amp;PSPOINTS[[#This Row],[PayScalePointCode]]&amp;PSPOINTS[[#This Row],[RateDateFrom]]</f>
        <v>NJC_INN2645748</v>
      </c>
      <c r="D314" s="57">
        <f>COUNTIF(PSPOINTS[Pay Scale String Duplicates],PSPOINTS[[#This Row],[Pay Scale String Duplicates]])-1</f>
        <v>0</v>
      </c>
      <c r="E314" s="57">
        <f>IF((MONTH(_xlfn.XLOOKUP(PSPOINTS[[#This Row],[PayScaleCode]],'19_PayScales'!N:N,'19_PayScales'!R:R)))=MONTH(PSPOINTS[[#This Row],[RateDateFrom]]),0,1)</f>
        <v>0</v>
      </c>
      <c r="F314" s="57">
        <f>IF(ISBLANK(PSPOINTS[[#This Row],[RateDateTo]]),0,IF(PSPOINTS[[#This Row],[RateDateFrom]]&lt;PSPOINTS[[#This Row],[RateDateTo]],0,1))</f>
        <v>0</v>
      </c>
      <c r="G314" s="57" cm="1">
        <f t="array" aca="1" ref="G314" ca="1">IF(CELL("format",PSPOINTS[[#This Row],[RateDateFrom]])="D1",0,1)+IF(CELL("format",PSPOINTS[[#This Row],[RateDateTo]])="D1",0,1)</f>
        <v>0</v>
      </c>
      <c r="H314" s="57">
        <f>IF(OR(PSPOINTS[[#This Row],[Hourly]]=TRUE,PSPOINTS[[#This Row],[Hourly]]=FALSE),IF(OR(PSPOINTS[[#This Row],[PayScalePointEnabled]]=TRUE,PSPOINTS[[#This Row],[PayScalePointEnabled]]=FALSE),0,1),1)</f>
        <v>0</v>
      </c>
      <c r="I314" s="57">
        <f>IF(LEN(PSPOINTS[[#This Row],[PayScalePointCode]])&lt;100,0,1)</f>
        <v>0</v>
      </c>
      <c r="J314" s="57">
        <f>IF(LEN(PSPOINTS[[#This Row],[PayScalePointTitle]])&lt;100,0,1)</f>
        <v>0</v>
      </c>
      <c r="K314" s="57">
        <f>(COUNTBLANK(PSPOINTS[[#This Row],[PayScalePointCode]:[RateDateFrom]])+COUNTBLANK(PSPOINTS[[#This Row],[PayScaleRate]]))</f>
        <v>0</v>
      </c>
      <c r="L314" s="120">
        <f>IF(SUBSTITUTE(TEXT(PSPOINTS[[#This Row],[PayScaleCode]],10)," ","")=TEXT(PSPOINTS[[#This Row],[PayScaleCode]],10),0,1)+IF(SUBSTITUTE(TEXT(PSPOINTS[[#This Row],[PayScalePointCode]],10)," ","")=TEXT(PSPOINTS[[#This Row],[PayScalePointCode]],10),0,1)</f>
        <v>0</v>
      </c>
      <c r="M314" s="57">
        <f ca="1">SUM(PSPOINTS[[#This Row],[Scale Point Issue]:[Space in Code]])</f>
        <v>0</v>
      </c>
      <c r="N314" s="57" t="s">
        <v>1401</v>
      </c>
      <c r="P314" s="12" t="s">
        <v>1410</v>
      </c>
      <c r="Q314" s="57" t="str">
        <f>_xlfn.XLOOKUP(PSPOINTS[[#This Row],[PayScaleCode]],'19_PayScales'!N:N,'19_PayScales'!O:O)</f>
        <v>NJC Inner</v>
      </c>
      <c r="R314" s="12">
        <v>26</v>
      </c>
      <c r="S314" s="12">
        <v>26</v>
      </c>
      <c r="T314" s="12">
        <v>26</v>
      </c>
      <c r="U314" s="12" t="b">
        <v>0</v>
      </c>
      <c r="V314" s="15" t="b">
        <v>1</v>
      </c>
      <c r="W314" s="164">
        <v>45748</v>
      </c>
      <c r="X314" s="140"/>
      <c r="Y314" s="163">
        <v>42264</v>
      </c>
    </row>
    <row r="315" spans="1:25" hidden="1" x14ac:dyDescent="0.25">
      <c r="A315" s="158" t="str">
        <f>PSPOINTS[[#This Row],[PayScaleCode]]&amp;PSPOINTS[[#This Row],[RateDateFrom]]</f>
        <v>NJC_INN45748</v>
      </c>
      <c r="B315" s="57">
        <f t="shared" si="4"/>
        <v>0</v>
      </c>
      <c r="C315" s="57" t="str">
        <f>PSPOINTS[[#This Row],[PayScaleCode]]&amp;PSPOINTS[[#This Row],[PayScalePointCode]]&amp;PSPOINTS[[#This Row],[RateDateFrom]]</f>
        <v>NJC_INN2745748</v>
      </c>
      <c r="D315" s="57">
        <f>COUNTIF(PSPOINTS[Pay Scale String Duplicates],PSPOINTS[[#This Row],[Pay Scale String Duplicates]])-1</f>
        <v>0</v>
      </c>
      <c r="E315" s="57">
        <f>IF((MONTH(_xlfn.XLOOKUP(PSPOINTS[[#This Row],[PayScaleCode]],'19_PayScales'!N:N,'19_PayScales'!R:R)))=MONTH(PSPOINTS[[#This Row],[RateDateFrom]]),0,1)</f>
        <v>0</v>
      </c>
      <c r="F315" s="57">
        <f>IF(ISBLANK(PSPOINTS[[#This Row],[RateDateTo]]),0,IF(PSPOINTS[[#This Row],[RateDateFrom]]&lt;PSPOINTS[[#This Row],[RateDateTo]],0,1))</f>
        <v>0</v>
      </c>
      <c r="G315" s="57" cm="1">
        <f t="array" aca="1" ref="G315" ca="1">IF(CELL("format",PSPOINTS[[#This Row],[RateDateFrom]])="D1",0,1)+IF(CELL("format",PSPOINTS[[#This Row],[RateDateTo]])="D1",0,1)</f>
        <v>0</v>
      </c>
      <c r="H315" s="57">
        <f>IF(OR(PSPOINTS[[#This Row],[Hourly]]=TRUE,PSPOINTS[[#This Row],[Hourly]]=FALSE),IF(OR(PSPOINTS[[#This Row],[PayScalePointEnabled]]=TRUE,PSPOINTS[[#This Row],[PayScalePointEnabled]]=FALSE),0,1),1)</f>
        <v>0</v>
      </c>
      <c r="I315" s="57">
        <f>IF(LEN(PSPOINTS[[#This Row],[PayScalePointCode]])&lt;100,0,1)</f>
        <v>0</v>
      </c>
      <c r="J315" s="57">
        <f>IF(LEN(PSPOINTS[[#This Row],[PayScalePointTitle]])&lt;100,0,1)</f>
        <v>0</v>
      </c>
      <c r="K315" s="57">
        <f>(COUNTBLANK(PSPOINTS[[#This Row],[PayScalePointCode]:[RateDateFrom]])+COUNTBLANK(PSPOINTS[[#This Row],[PayScaleRate]]))</f>
        <v>0</v>
      </c>
      <c r="L315" s="120">
        <f>IF(SUBSTITUTE(TEXT(PSPOINTS[[#This Row],[PayScaleCode]],10)," ","")=TEXT(PSPOINTS[[#This Row],[PayScaleCode]],10),0,1)+IF(SUBSTITUTE(TEXT(PSPOINTS[[#This Row],[PayScalePointCode]],10)," ","")=TEXT(PSPOINTS[[#This Row],[PayScalePointCode]],10),0,1)</f>
        <v>0</v>
      </c>
      <c r="M315" s="57">
        <f ca="1">SUM(PSPOINTS[[#This Row],[Scale Point Issue]:[Space in Code]])</f>
        <v>0</v>
      </c>
      <c r="N315" s="57" t="s">
        <v>1401</v>
      </c>
      <c r="P315" s="12" t="s">
        <v>1410</v>
      </c>
      <c r="Q315" s="57" t="str">
        <f>_xlfn.XLOOKUP(PSPOINTS[[#This Row],[PayScaleCode]],'19_PayScales'!N:N,'19_PayScales'!O:O)</f>
        <v>NJC Inner</v>
      </c>
      <c r="R315" s="12">
        <v>27</v>
      </c>
      <c r="S315" s="12">
        <v>27</v>
      </c>
      <c r="T315" s="12">
        <v>27</v>
      </c>
      <c r="U315" s="12" t="b">
        <v>0</v>
      </c>
      <c r="V315" s="15" t="b">
        <v>1</v>
      </c>
      <c r="W315" s="164">
        <v>45748</v>
      </c>
      <c r="X315" s="140"/>
      <c r="Y315" s="163">
        <v>42912</v>
      </c>
    </row>
    <row r="316" spans="1:25" hidden="1" x14ac:dyDescent="0.25">
      <c r="A316" s="158" t="str">
        <f>PSPOINTS[[#This Row],[PayScaleCode]]&amp;PSPOINTS[[#This Row],[RateDateFrom]]</f>
        <v>NJC_INN45748</v>
      </c>
      <c r="B316" s="57">
        <f t="shared" si="4"/>
        <v>0</v>
      </c>
      <c r="C316" s="57" t="str">
        <f>PSPOINTS[[#This Row],[PayScaleCode]]&amp;PSPOINTS[[#This Row],[PayScalePointCode]]&amp;PSPOINTS[[#This Row],[RateDateFrom]]</f>
        <v>NJC_INN2845748</v>
      </c>
      <c r="D316" s="57">
        <f>COUNTIF(PSPOINTS[Pay Scale String Duplicates],PSPOINTS[[#This Row],[Pay Scale String Duplicates]])-1</f>
        <v>0</v>
      </c>
      <c r="E316" s="57">
        <f>IF((MONTH(_xlfn.XLOOKUP(PSPOINTS[[#This Row],[PayScaleCode]],'19_PayScales'!N:N,'19_PayScales'!R:R)))=MONTH(PSPOINTS[[#This Row],[RateDateFrom]]),0,1)</f>
        <v>0</v>
      </c>
      <c r="F316" s="57">
        <f>IF(ISBLANK(PSPOINTS[[#This Row],[RateDateTo]]),0,IF(PSPOINTS[[#This Row],[RateDateFrom]]&lt;PSPOINTS[[#This Row],[RateDateTo]],0,1))</f>
        <v>0</v>
      </c>
      <c r="G316" s="57" cm="1">
        <f t="array" aca="1" ref="G316" ca="1">IF(CELL("format",PSPOINTS[[#This Row],[RateDateFrom]])="D1",0,1)+IF(CELL("format",PSPOINTS[[#This Row],[RateDateTo]])="D1",0,1)</f>
        <v>0</v>
      </c>
      <c r="H316" s="57">
        <f>IF(OR(PSPOINTS[[#This Row],[Hourly]]=TRUE,PSPOINTS[[#This Row],[Hourly]]=FALSE),IF(OR(PSPOINTS[[#This Row],[PayScalePointEnabled]]=TRUE,PSPOINTS[[#This Row],[PayScalePointEnabled]]=FALSE),0,1),1)</f>
        <v>0</v>
      </c>
      <c r="I316" s="57">
        <f>IF(LEN(PSPOINTS[[#This Row],[PayScalePointCode]])&lt;100,0,1)</f>
        <v>0</v>
      </c>
      <c r="J316" s="57">
        <f>IF(LEN(PSPOINTS[[#This Row],[PayScalePointTitle]])&lt;100,0,1)</f>
        <v>0</v>
      </c>
      <c r="K316" s="57">
        <f>(COUNTBLANK(PSPOINTS[[#This Row],[PayScalePointCode]:[RateDateFrom]])+COUNTBLANK(PSPOINTS[[#This Row],[PayScaleRate]]))</f>
        <v>0</v>
      </c>
      <c r="L316" s="120">
        <f>IF(SUBSTITUTE(TEXT(PSPOINTS[[#This Row],[PayScaleCode]],10)," ","")=TEXT(PSPOINTS[[#This Row],[PayScaleCode]],10),0,1)+IF(SUBSTITUTE(TEXT(PSPOINTS[[#This Row],[PayScalePointCode]],10)," ","")=TEXT(PSPOINTS[[#This Row],[PayScalePointCode]],10),0,1)</f>
        <v>0</v>
      </c>
      <c r="M316" s="57">
        <f ca="1">SUM(PSPOINTS[[#This Row],[Scale Point Issue]:[Space in Code]])</f>
        <v>0</v>
      </c>
      <c r="N316" s="57" t="s">
        <v>1401</v>
      </c>
      <c r="P316" s="12" t="s">
        <v>1410</v>
      </c>
      <c r="Q316" s="57" t="str">
        <f>_xlfn.XLOOKUP(PSPOINTS[[#This Row],[PayScaleCode]],'19_PayScales'!N:N,'19_PayScales'!O:O)</f>
        <v>NJC Inner</v>
      </c>
      <c r="R316" s="12">
        <v>28</v>
      </c>
      <c r="S316" s="12">
        <v>28</v>
      </c>
      <c r="T316" s="12">
        <v>28</v>
      </c>
      <c r="U316" s="12" t="b">
        <v>0</v>
      </c>
      <c r="V316" s="15" t="b">
        <v>1</v>
      </c>
      <c r="W316" s="164">
        <v>45748</v>
      </c>
      <c r="X316" s="140"/>
      <c r="Y316" s="163">
        <v>43308</v>
      </c>
    </row>
    <row r="317" spans="1:25" hidden="1" x14ac:dyDescent="0.25">
      <c r="A317" s="158" t="str">
        <f>PSPOINTS[[#This Row],[PayScaleCode]]&amp;PSPOINTS[[#This Row],[RateDateFrom]]</f>
        <v>NJC_INN45748</v>
      </c>
      <c r="B317" s="57">
        <f t="shared" si="4"/>
        <v>0</v>
      </c>
      <c r="C317" s="57" t="str">
        <f>PSPOINTS[[#This Row],[PayScaleCode]]&amp;PSPOINTS[[#This Row],[PayScalePointCode]]&amp;PSPOINTS[[#This Row],[RateDateFrom]]</f>
        <v>NJC_INN2945748</v>
      </c>
      <c r="D317" s="57">
        <f>COUNTIF(PSPOINTS[Pay Scale String Duplicates],PSPOINTS[[#This Row],[Pay Scale String Duplicates]])-1</f>
        <v>0</v>
      </c>
      <c r="E317" s="57">
        <f>IF((MONTH(_xlfn.XLOOKUP(PSPOINTS[[#This Row],[PayScaleCode]],'19_PayScales'!N:N,'19_PayScales'!R:R)))=MONTH(PSPOINTS[[#This Row],[RateDateFrom]]),0,1)</f>
        <v>0</v>
      </c>
      <c r="F317" s="57">
        <f>IF(ISBLANK(PSPOINTS[[#This Row],[RateDateTo]]),0,IF(PSPOINTS[[#This Row],[RateDateFrom]]&lt;PSPOINTS[[#This Row],[RateDateTo]],0,1))</f>
        <v>0</v>
      </c>
      <c r="G317" s="57" cm="1">
        <f t="array" aca="1" ref="G317" ca="1">IF(CELL("format",PSPOINTS[[#This Row],[RateDateFrom]])="D1",0,1)+IF(CELL("format",PSPOINTS[[#This Row],[RateDateTo]])="D1",0,1)</f>
        <v>0</v>
      </c>
      <c r="H317" s="57">
        <f>IF(OR(PSPOINTS[[#This Row],[Hourly]]=TRUE,PSPOINTS[[#This Row],[Hourly]]=FALSE),IF(OR(PSPOINTS[[#This Row],[PayScalePointEnabled]]=TRUE,PSPOINTS[[#This Row],[PayScalePointEnabled]]=FALSE),0,1),1)</f>
        <v>0</v>
      </c>
      <c r="I317" s="57">
        <f>IF(LEN(PSPOINTS[[#This Row],[PayScalePointCode]])&lt;100,0,1)</f>
        <v>0</v>
      </c>
      <c r="J317" s="57">
        <f>IF(LEN(PSPOINTS[[#This Row],[PayScalePointTitle]])&lt;100,0,1)</f>
        <v>0</v>
      </c>
      <c r="K317" s="57">
        <f>(COUNTBLANK(PSPOINTS[[#This Row],[PayScalePointCode]:[RateDateFrom]])+COUNTBLANK(PSPOINTS[[#This Row],[PayScaleRate]]))</f>
        <v>0</v>
      </c>
      <c r="L317" s="120">
        <f>IF(SUBSTITUTE(TEXT(PSPOINTS[[#This Row],[PayScaleCode]],10)," ","")=TEXT(PSPOINTS[[#This Row],[PayScaleCode]],10),0,1)+IF(SUBSTITUTE(TEXT(PSPOINTS[[#This Row],[PayScalePointCode]],10)," ","")=TEXT(PSPOINTS[[#This Row],[PayScalePointCode]],10),0,1)</f>
        <v>0</v>
      </c>
      <c r="M317" s="57">
        <f ca="1">SUM(PSPOINTS[[#This Row],[Scale Point Issue]:[Space in Code]])</f>
        <v>0</v>
      </c>
      <c r="N317" s="57" t="s">
        <v>1401</v>
      </c>
      <c r="P317" s="12" t="s">
        <v>1410</v>
      </c>
      <c r="Q317" s="57" t="str">
        <f>_xlfn.XLOOKUP(PSPOINTS[[#This Row],[PayScaleCode]],'19_PayScales'!N:N,'19_PayScales'!O:O)</f>
        <v>NJC Inner</v>
      </c>
      <c r="R317" s="12">
        <v>29</v>
      </c>
      <c r="S317" s="12">
        <v>29</v>
      </c>
      <c r="T317" s="12">
        <v>29</v>
      </c>
      <c r="U317" s="12" t="b">
        <v>0</v>
      </c>
      <c r="V317" s="15" t="b">
        <v>1</v>
      </c>
      <c r="W317" s="164">
        <v>45748</v>
      </c>
      <c r="X317" s="140"/>
      <c r="Y317" s="163">
        <v>44235</v>
      </c>
    </row>
    <row r="318" spans="1:25" hidden="1" x14ac:dyDescent="0.25">
      <c r="A318" s="158" t="str">
        <f>PSPOINTS[[#This Row],[PayScaleCode]]&amp;PSPOINTS[[#This Row],[RateDateFrom]]</f>
        <v>NJC_INN45748</v>
      </c>
      <c r="B318" s="57">
        <f t="shared" si="4"/>
        <v>0</v>
      </c>
      <c r="C318" s="57" t="str">
        <f>PSPOINTS[[#This Row],[PayScaleCode]]&amp;PSPOINTS[[#This Row],[PayScalePointCode]]&amp;PSPOINTS[[#This Row],[RateDateFrom]]</f>
        <v>NJC_INN3045748</v>
      </c>
      <c r="D318" s="57">
        <f>COUNTIF(PSPOINTS[Pay Scale String Duplicates],PSPOINTS[[#This Row],[Pay Scale String Duplicates]])-1</f>
        <v>0</v>
      </c>
      <c r="E318" s="57">
        <f>IF((MONTH(_xlfn.XLOOKUP(PSPOINTS[[#This Row],[PayScaleCode]],'19_PayScales'!N:N,'19_PayScales'!R:R)))=MONTH(PSPOINTS[[#This Row],[RateDateFrom]]),0,1)</f>
        <v>0</v>
      </c>
      <c r="F318" s="57">
        <f>IF(ISBLANK(PSPOINTS[[#This Row],[RateDateTo]]),0,IF(PSPOINTS[[#This Row],[RateDateFrom]]&lt;PSPOINTS[[#This Row],[RateDateTo]],0,1))</f>
        <v>0</v>
      </c>
      <c r="G318" s="57" cm="1">
        <f t="array" aca="1" ref="G318" ca="1">IF(CELL("format",PSPOINTS[[#This Row],[RateDateFrom]])="D1",0,1)+IF(CELL("format",PSPOINTS[[#This Row],[RateDateTo]])="D1",0,1)</f>
        <v>0</v>
      </c>
      <c r="H318" s="57">
        <f>IF(OR(PSPOINTS[[#This Row],[Hourly]]=TRUE,PSPOINTS[[#This Row],[Hourly]]=FALSE),IF(OR(PSPOINTS[[#This Row],[PayScalePointEnabled]]=TRUE,PSPOINTS[[#This Row],[PayScalePointEnabled]]=FALSE),0,1),1)</f>
        <v>0</v>
      </c>
      <c r="I318" s="57">
        <f>IF(LEN(PSPOINTS[[#This Row],[PayScalePointCode]])&lt;100,0,1)</f>
        <v>0</v>
      </c>
      <c r="J318" s="57">
        <f>IF(LEN(PSPOINTS[[#This Row],[PayScalePointTitle]])&lt;100,0,1)</f>
        <v>0</v>
      </c>
      <c r="K318" s="57">
        <f>(COUNTBLANK(PSPOINTS[[#This Row],[PayScalePointCode]:[RateDateFrom]])+COUNTBLANK(PSPOINTS[[#This Row],[PayScaleRate]]))</f>
        <v>0</v>
      </c>
      <c r="L318" s="120">
        <f>IF(SUBSTITUTE(TEXT(PSPOINTS[[#This Row],[PayScaleCode]],10)," ","")=TEXT(PSPOINTS[[#This Row],[PayScaleCode]],10),0,1)+IF(SUBSTITUTE(TEXT(PSPOINTS[[#This Row],[PayScalePointCode]],10)," ","")=TEXT(PSPOINTS[[#This Row],[PayScalePointCode]],10),0,1)</f>
        <v>0</v>
      </c>
      <c r="M318" s="57">
        <f ca="1">SUM(PSPOINTS[[#This Row],[Scale Point Issue]:[Space in Code]])</f>
        <v>0</v>
      </c>
      <c r="N318" s="57" t="s">
        <v>1401</v>
      </c>
      <c r="P318" s="12" t="s">
        <v>1410</v>
      </c>
      <c r="Q318" s="57" t="str">
        <f>_xlfn.XLOOKUP(PSPOINTS[[#This Row],[PayScaleCode]],'19_PayScales'!N:N,'19_PayScales'!O:O)</f>
        <v>NJC Inner</v>
      </c>
      <c r="R318" s="12">
        <v>30</v>
      </c>
      <c r="S318" s="12">
        <v>30</v>
      </c>
      <c r="T318" s="12">
        <v>30</v>
      </c>
      <c r="U318" s="12" t="b">
        <v>0</v>
      </c>
      <c r="V318" s="15" t="b">
        <v>1</v>
      </c>
      <c r="W318" s="164">
        <v>45748</v>
      </c>
      <c r="X318" s="140"/>
      <c r="Y318" s="163">
        <v>44937</v>
      </c>
    </row>
    <row r="319" spans="1:25" hidden="1" x14ac:dyDescent="0.25">
      <c r="A319" s="158" t="str">
        <f>PSPOINTS[[#This Row],[PayScaleCode]]&amp;PSPOINTS[[#This Row],[RateDateFrom]]</f>
        <v>NJC_INN45748</v>
      </c>
      <c r="B319" s="57">
        <f t="shared" si="4"/>
        <v>0</v>
      </c>
      <c r="C319" s="57" t="str">
        <f>PSPOINTS[[#This Row],[PayScaleCode]]&amp;PSPOINTS[[#This Row],[PayScalePointCode]]&amp;PSPOINTS[[#This Row],[RateDateFrom]]</f>
        <v>NJC_INN3145748</v>
      </c>
      <c r="D319" s="57">
        <f>COUNTIF(PSPOINTS[Pay Scale String Duplicates],PSPOINTS[[#This Row],[Pay Scale String Duplicates]])-1</f>
        <v>0</v>
      </c>
      <c r="E319" s="57">
        <f>IF((MONTH(_xlfn.XLOOKUP(PSPOINTS[[#This Row],[PayScaleCode]],'19_PayScales'!N:N,'19_PayScales'!R:R)))=MONTH(PSPOINTS[[#This Row],[RateDateFrom]]),0,1)</f>
        <v>0</v>
      </c>
      <c r="F319" s="57">
        <f>IF(ISBLANK(PSPOINTS[[#This Row],[RateDateTo]]),0,IF(PSPOINTS[[#This Row],[RateDateFrom]]&lt;PSPOINTS[[#This Row],[RateDateTo]],0,1))</f>
        <v>0</v>
      </c>
      <c r="G319" s="57" cm="1">
        <f t="array" aca="1" ref="G319" ca="1">IF(CELL("format",PSPOINTS[[#This Row],[RateDateFrom]])="D1",0,1)+IF(CELL("format",PSPOINTS[[#This Row],[RateDateTo]])="D1",0,1)</f>
        <v>0</v>
      </c>
      <c r="H319" s="57">
        <f>IF(OR(PSPOINTS[[#This Row],[Hourly]]=TRUE,PSPOINTS[[#This Row],[Hourly]]=FALSE),IF(OR(PSPOINTS[[#This Row],[PayScalePointEnabled]]=TRUE,PSPOINTS[[#This Row],[PayScalePointEnabled]]=FALSE),0,1),1)</f>
        <v>0</v>
      </c>
      <c r="I319" s="57">
        <f>IF(LEN(PSPOINTS[[#This Row],[PayScalePointCode]])&lt;100,0,1)</f>
        <v>0</v>
      </c>
      <c r="J319" s="57">
        <f>IF(LEN(PSPOINTS[[#This Row],[PayScalePointTitle]])&lt;100,0,1)</f>
        <v>0</v>
      </c>
      <c r="K319" s="57">
        <f>(COUNTBLANK(PSPOINTS[[#This Row],[PayScalePointCode]:[RateDateFrom]])+COUNTBLANK(PSPOINTS[[#This Row],[PayScaleRate]]))</f>
        <v>0</v>
      </c>
      <c r="L319" s="120">
        <f>IF(SUBSTITUTE(TEXT(PSPOINTS[[#This Row],[PayScaleCode]],10)," ","")=TEXT(PSPOINTS[[#This Row],[PayScaleCode]],10),0,1)+IF(SUBSTITUTE(TEXT(PSPOINTS[[#This Row],[PayScalePointCode]],10)," ","")=TEXT(PSPOINTS[[#This Row],[PayScalePointCode]],10),0,1)</f>
        <v>0</v>
      </c>
      <c r="M319" s="57">
        <f ca="1">SUM(PSPOINTS[[#This Row],[Scale Point Issue]:[Space in Code]])</f>
        <v>0</v>
      </c>
      <c r="N319" s="57" t="s">
        <v>1401</v>
      </c>
      <c r="P319" s="12" t="s">
        <v>1410</v>
      </c>
      <c r="Q319" s="57" t="str">
        <f>_xlfn.XLOOKUP(PSPOINTS[[#This Row],[PayScaleCode]],'19_PayScales'!N:N,'19_PayScales'!O:O)</f>
        <v>NJC Inner</v>
      </c>
      <c r="R319" s="12">
        <v>31</v>
      </c>
      <c r="S319" s="12">
        <v>31</v>
      </c>
      <c r="T319" s="12">
        <v>31</v>
      </c>
      <c r="U319" s="12" t="b">
        <v>0</v>
      </c>
      <c r="V319" s="15" t="b">
        <v>1</v>
      </c>
      <c r="W319" s="164">
        <v>45748</v>
      </c>
      <c r="X319" s="140"/>
      <c r="Y319" s="163">
        <v>45852</v>
      </c>
    </row>
    <row r="320" spans="1:25" hidden="1" x14ac:dyDescent="0.25">
      <c r="A320" s="158" t="str">
        <f>PSPOINTS[[#This Row],[PayScaleCode]]&amp;PSPOINTS[[#This Row],[RateDateFrom]]</f>
        <v>NJC_INN45748</v>
      </c>
      <c r="B320" s="57">
        <f t="shared" si="4"/>
        <v>0</v>
      </c>
      <c r="C320" s="57" t="str">
        <f>PSPOINTS[[#This Row],[PayScaleCode]]&amp;PSPOINTS[[#This Row],[PayScalePointCode]]&amp;PSPOINTS[[#This Row],[RateDateFrom]]</f>
        <v>NJC_INN3245748</v>
      </c>
      <c r="D320" s="57">
        <f>COUNTIF(PSPOINTS[Pay Scale String Duplicates],PSPOINTS[[#This Row],[Pay Scale String Duplicates]])-1</f>
        <v>0</v>
      </c>
      <c r="E320" s="57">
        <f>IF((MONTH(_xlfn.XLOOKUP(PSPOINTS[[#This Row],[PayScaleCode]],'19_PayScales'!N:N,'19_PayScales'!R:R)))=MONTH(PSPOINTS[[#This Row],[RateDateFrom]]),0,1)</f>
        <v>0</v>
      </c>
      <c r="F320" s="57">
        <f>IF(ISBLANK(PSPOINTS[[#This Row],[RateDateTo]]),0,IF(PSPOINTS[[#This Row],[RateDateFrom]]&lt;PSPOINTS[[#This Row],[RateDateTo]],0,1))</f>
        <v>0</v>
      </c>
      <c r="G320" s="57" cm="1">
        <f t="array" aca="1" ref="G320" ca="1">IF(CELL("format",PSPOINTS[[#This Row],[RateDateFrom]])="D1",0,1)+IF(CELL("format",PSPOINTS[[#This Row],[RateDateTo]])="D1",0,1)</f>
        <v>0</v>
      </c>
      <c r="H320" s="57">
        <f>IF(OR(PSPOINTS[[#This Row],[Hourly]]=TRUE,PSPOINTS[[#This Row],[Hourly]]=FALSE),IF(OR(PSPOINTS[[#This Row],[PayScalePointEnabled]]=TRUE,PSPOINTS[[#This Row],[PayScalePointEnabled]]=FALSE),0,1),1)</f>
        <v>0</v>
      </c>
      <c r="I320" s="57">
        <f>IF(LEN(PSPOINTS[[#This Row],[PayScalePointCode]])&lt;100,0,1)</f>
        <v>0</v>
      </c>
      <c r="J320" s="57">
        <f>IF(LEN(PSPOINTS[[#This Row],[PayScalePointTitle]])&lt;100,0,1)</f>
        <v>0</v>
      </c>
      <c r="K320" s="57">
        <f>(COUNTBLANK(PSPOINTS[[#This Row],[PayScalePointCode]:[RateDateFrom]])+COUNTBLANK(PSPOINTS[[#This Row],[PayScaleRate]]))</f>
        <v>0</v>
      </c>
      <c r="L320" s="120">
        <f>IF(SUBSTITUTE(TEXT(PSPOINTS[[#This Row],[PayScaleCode]],10)," ","")=TEXT(PSPOINTS[[#This Row],[PayScaleCode]],10),0,1)+IF(SUBSTITUTE(TEXT(PSPOINTS[[#This Row],[PayScalePointCode]],10)," ","")=TEXT(PSPOINTS[[#This Row],[PayScalePointCode]],10),0,1)</f>
        <v>0</v>
      </c>
      <c r="M320" s="57">
        <f ca="1">SUM(PSPOINTS[[#This Row],[Scale Point Issue]:[Space in Code]])</f>
        <v>0</v>
      </c>
      <c r="N320" s="57" t="s">
        <v>1401</v>
      </c>
      <c r="P320" s="12" t="s">
        <v>1410</v>
      </c>
      <c r="Q320" s="57" t="str">
        <f>_xlfn.XLOOKUP(PSPOINTS[[#This Row],[PayScaleCode]],'19_PayScales'!N:N,'19_PayScales'!O:O)</f>
        <v>NJC Inner</v>
      </c>
      <c r="R320" s="12">
        <v>32</v>
      </c>
      <c r="S320" s="12">
        <v>32</v>
      </c>
      <c r="T320" s="12">
        <v>32</v>
      </c>
      <c r="U320" s="12" t="b">
        <v>0</v>
      </c>
      <c r="V320" s="15" t="b">
        <v>1</v>
      </c>
      <c r="W320" s="164">
        <v>45748</v>
      </c>
      <c r="X320" s="140"/>
      <c r="Y320" s="163">
        <v>46854</v>
      </c>
    </row>
    <row r="321" spans="1:25" hidden="1" x14ac:dyDescent="0.25">
      <c r="A321" s="158" t="str">
        <f>PSPOINTS[[#This Row],[PayScaleCode]]&amp;PSPOINTS[[#This Row],[RateDateFrom]]</f>
        <v>NJC_INN45748</v>
      </c>
      <c r="B321" s="57">
        <f t="shared" si="4"/>
        <v>0</v>
      </c>
      <c r="C321" s="57" t="str">
        <f>PSPOINTS[[#This Row],[PayScaleCode]]&amp;PSPOINTS[[#This Row],[PayScalePointCode]]&amp;PSPOINTS[[#This Row],[RateDateFrom]]</f>
        <v>NJC_INN3345748</v>
      </c>
      <c r="D321" s="57">
        <f>COUNTIF(PSPOINTS[Pay Scale String Duplicates],PSPOINTS[[#This Row],[Pay Scale String Duplicates]])-1</f>
        <v>0</v>
      </c>
      <c r="E321" s="57">
        <f>IF((MONTH(_xlfn.XLOOKUP(PSPOINTS[[#This Row],[PayScaleCode]],'19_PayScales'!N:N,'19_PayScales'!R:R)))=MONTH(PSPOINTS[[#This Row],[RateDateFrom]]),0,1)</f>
        <v>0</v>
      </c>
      <c r="F321" s="57">
        <f>IF(ISBLANK(PSPOINTS[[#This Row],[RateDateTo]]),0,IF(PSPOINTS[[#This Row],[RateDateFrom]]&lt;PSPOINTS[[#This Row],[RateDateTo]],0,1))</f>
        <v>0</v>
      </c>
      <c r="G321" s="57" cm="1">
        <f t="array" aca="1" ref="G321" ca="1">IF(CELL("format",PSPOINTS[[#This Row],[RateDateFrom]])="D1",0,1)+IF(CELL("format",PSPOINTS[[#This Row],[RateDateTo]])="D1",0,1)</f>
        <v>0</v>
      </c>
      <c r="H321" s="57">
        <f>IF(OR(PSPOINTS[[#This Row],[Hourly]]=TRUE,PSPOINTS[[#This Row],[Hourly]]=FALSE),IF(OR(PSPOINTS[[#This Row],[PayScalePointEnabled]]=TRUE,PSPOINTS[[#This Row],[PayScalePointEnabled]]=FALSE),0,1),1)</f>
        <v>0</v>
      </c>
      <c r="I321" s="57">
        <f>IF(LEN(PSPOINTS[[#This Row],[PayScalePointCode]])&lt;100,0,1)</f>
        <v>0</v>
      </c>
      <c r="J321" s="57">
        <f>IF(LEN(PSPOINTS[[#This Row],[PayScalePointTitle]])&lt;100,0,1)</f>
        <v>0</v>
      </c>
      <c r="K321" s="57">
        <f>(COUNTBLANK(PSPOINTS[[#This Row],[PayScalePointCode]:[RateDateFrom]])+COUNTBLANK(PSPOINTS[[#This Row],[PayScaleRate]]))</f>
        <v>0</v>
      </c>
      <c r="L321" s="120">
        <f>IF(SUBSTITUTE(TEXT(PSPOINTS[[#This Row],[PayScaleCode]],10)," ","")=TEXT(PSPOINTS[[#This Row],[PayScaleCode]],10),0,1)+IF(SUBSTITUTE(TEXT(PSPOINTS[[#This Row],[PayScalePointCode]],10)," ","")=TEXT(PSPOINTS[[#This Row],[PayScalePointCode]],10),0,1)</f>
        <v>0</v>
      </c>
      <c r="M321" s="57">
        <f ca="1">SUM(PSPOINTS[[#This Row],[Scale Point Issue]:[Space in Code]])</f>
        <v>0</v>
      </c>
      <c r="N321" s="57" t="s">
        <v>1401</v>
      </c>
      <c r="P321" s="12" t="s">
        <v>1410</v>
      </c>
      <c r="Q321" s="57" t="str">
        <f>_xlfn.XLOOKUP(PSPOINTS[[#This Row],[PayScaleCode]],'19_PayScales'!N:N,'19_PayScales'!O:O)</f>
        <v>NJC Inner</v>
      </c>
      <c r="R321" s="12">
        <v>33</v>
      </c>
      <c r="S321" s="12">
        <v>33</v>
      </c>
      <c r="T321" s="12">
        <v>33</v>
      </c>
      <c r="U321" s="12" t="b">
        <v>0</v>
      </c>
      <c r="V321" s="15" t="b">
        <v>1</v>
      </c>
      <c r="W321" s="164">
        <v>45748</v>
      </c>
      <c r="X321" s="140"/>
      <c r="Y321" s="163">
        <v>47925</v>
      </c>
    </row>
    <row r="322" spans="1:25" hidden="1" x14ac:dyDescent="0.25">
      <c r="A322" s="158" t="str">
        <f>PSPOINTS[[#This Row],[PayScaleCode]]&amp;PSPOINTS[[#This Row],[RateDateFrom]]</f>
        <v>NJC_INN45748</v>
      </c>
      <c r="B322" s="57">
        <f t="shared" si="4"/>
        <v>0</v>
      </c>
      <c r="C322" s="57" t="str">
        <f>PSPOINTS[[#This Row],[PayScaleCode]]&amp;PSPOINTS[[#This Row],[PayScalePointCode]]&amp;PSPOINTS[[#This Row],[RateDateFrom]]</f>
        <v>NJC_INN3445748</v>
      </c>
      <c r="D322" s="57">
        <f>COUNTIF(PSPOINTS[Pay Scale String Duplicates],PSPOINTS[[#This Row],[Pay Scale String Duplicates]])-1</f>
        <v>0</v>
      </c>
      <c r="E322" s="57">
        <f>IF((MONTH(_xlfn.XLOOKUP(PSPOINTS[[#This Row],[PayScaleCode]],'19_PayScales'!N:N,'19_PayScales'!R:R)))=MONTH(PSPOINTS[[#This Row],[RateDateFrom]]),0,1)</f>
        <v>0</v>
      </c>
      <c r="F322" s="57">
        <f>IF(ISBLANK(PSPOINTS[[#This Row],[RateDateTo]]),0,IF(PSPOINTS[[#This Row],[RateDateFrom]]&lt;PSPOINTS[[#This Row],[RateDateTo]],0,1))</f>
        <v>0</v>
      </c>
      <c r="G322" s="57" cm="1">
        <f t="array" aca="1" ref="G322" ca="1">IF(CELL("format",PSPOINTS[[#This Row],[RateDateFrom]])="D1",0,1)+IF(CELL("format",PSPOINTS[[#This Row],[RateDateTo]])="D1",0,1)</f>
        <v>0</v>
      </c>
      <c r="H322" s="57">
        <f>IF(OR(PSPOINTS[[#This Row],[Hourly]]=TRUE,PSPOINTS[[#This Row],[Hourly]]=FALSE),IF(OR(PSPOINTS[[#This Row],[PayScalePointEnabled]]=TRUE,PSPOINTS[[#This Row],[PayScalePointEnabled]]=FALSE),0,1),1)</f>
        <v>0</v>
      </c>
      <c r="I322" s="57">
        <f>IF(LEN(PSPOINTS[[#This Row],[PayScalePointCode]])&lt;100,0,1)</f>
        <v>0</v>
      </c>
      <c r="J322" s="57">
        <f>IF(LEN(PSPOINTS[[#This Row],[PayScalePointTitle]])&lt;100,0,1)</f>
        <v>0</v>
      </c>
      <c r="K322" s="57">
        <f>(COUNTBLANK(PSPOINTS[[#This Row],[PayScalePointCode]:[RateDateFrom]])+COUNTBLANK(PSPOINTS[[#This Row],[PayScaleRate]]))</f>
        <v>0</v>
      </c>
      <c r="L322" s="120">
        <f>IF(SUBSTITUTE(TEXT(PSPOINTS[[#This Row],[PayScaleCode]],10)," ","")=TEXT(PSPOINTS[[#This Row],[PayScaleCode]],10),0,1)+IF(SUBSTITUTE(TEXT(PSPOINTS[[#This Row],[PayScalePointCode]],10)," ","")=TEXT(PSPOINTS[[#This Row],[PayScalePointCode]],10),0,1)</f>
        <v>0</v>
      </c>
      <c r="M322" s="57">
        <f ca="1">SUM(PSPOINTS[[#This Row],[Scale Point Issue]:[Space in Code]])</f>
        <v>0</v>
      </c>
      <c r="N322" s="57" t="s">
        <v>1401</v>
      </c>
      <c r="P322" s="12" t="s">
        <v>1410</v>
      </c>
      <c r="Q322" s="57" t="str">
        <f>_xlfn.XLOOKUP(PSPOINTS[[#This Row],[PayScaleCode]],'19_PayScales'!N:N,'19_PayScales'!O:O)</f>
        <v>NJC Inner</v>
      </c>
      <c r="R322" s="12">
        <v>34</v>
      </c>
      <c r="S322" s="12">
        <v>34</v>
      </c>
      <c r="T322" s="12">
        <v>34</v>
      </c>
      <c r="U322" s="12" t="b">
        <v>0</v>
      </c>
      <c r="V322" s="15" t="b">
        <v>1</v>
      </c>
      <c r="W322" s="164">
        <v>45748</v>
      </c>
      <c r="X322" s="140"/>
      <c r="Y322" s="163">
        <v>49155</v>
      </c>
    </row>
    <row r="323" spans="1:25" hidden="1" x14ac:dyDescent="0.25">
      <c r="A323" s="158" t="str">
        <f>PSPOINTS[[#This Row],[PayScaleCode]]&amp;PSPOINTS[[#This Row],[RateDateFrom]]</f>
        <v>NJC_INN45748</v>
      </c>
      <c r="B323" s="57">
        <f t="shared" si="4"/>
        <v>0</v>
      </c>
      <c r="C323" s="57" t="str">
        <f>PSPOINTS[[#This Row],[PayScaleCode]]&amp;PSPOINTS[[#This Row],[PayScalePointCode]]&amp;PSPOINTS[[#This Row],[RateDateFrom]]</f>
        <v>NJC_INN3545748</v>
      </c>
      <c r="D323" s="57">
        <f>COUNTIF(PSPOINTS[Pay Scale String Duplicates],PSPOINTS[[#This Row],[Pay Scale String Duplicates]])-1</f>
        <v>0</v>
      </c>
      <c r="E323" s="57">
        <f>IF((MONTH(_xlfn.XLOOKUP(PSPOINTS[[#This Row],[PayScaleCode]],'19_PayScales'!N:N,'19_PayScales'!R:R)))=MONTH(PSPOINTS[[#This Row],[RateDateFrom]]),0,1)</f>
        <v>0</v>
      </c>
      <c r="F323" s="57">
        <f>IF(ISBLANK(PSPOINTS[[#This Row],[RateDateTo]]),0,IF(PSPOINTS[[#This Row],[RateDateFrom]]&lt;PSPOINTS[[#This Row],[RateDateTo]],0,1))</f>
        <v>0</v>
      </c>
      <c r="G323" s="57" cm="1">
        <f t="array" aca="1" ref="G323" ca="1">IF(CELL("format",PSPOINTS[[#This Row],[RateDateFrom]])="D1",0,1)+IF(CELL("format",PSPOINTS[[#This Row],[RateDateTo]])="D1",0,1)</f>
        <v>0</v>
      </c>
      <c r="H323" s="57">
        <f>IF(OR(PSPOINTS[[#This Row],[Hourly]]=TRUE,PSPOINTS[[#This Row],[Hourly]]=FALSE),IF(OR(PSPOINTS[[#This Row],[PayScalePointEnabled]]=TRUE,PSPOINTS[[#This Row],[PayScalePointEnabled]]=FALSE),0,1),1)</f>
        <v>0</v>
      </c>
      <c r="I323" s="57">
        <f>IF(LEN(PSPOINTS[[#This Row],[PayScalePointCode]])&lt;100,0,1)</f>
        <v>0</v>
      </c>
      <c r="J323" s="57">
        <f>IF(LEN(PSPOINTS[[#This Row],[PayScalePointTitle]])&lt;100,0,1)</f>
        <v>0</v>
      </c>
      <c r="K323" s="57">
        <f>(COUNTBLANK(PSPOINTS[[#This Row],[PayScalePointCode]:[RateDateFrom]])+COUNTBLANK(PSPOINTS[[#This Row],[PayScaleRate]]))</f>
        <v>0</v>
      </c>
      <c r="L323" s="120">
        <f>IF(SUBSTITUTE(TEXT(PSPOINTS[[#This Row],[PayScaleCode]],10)," ","")=TEXT(PSPOINTS[[#This Row],[PayScaleCode]],10),0,1)+IF(SUBSTITUTE(TEXT(PSPOINTS[[#This Row],[PayScalePointCode]],10)," ","")=TEXT(PSPOINTS[[#This Row],[PayScalePointCode]],10),0,1)</f>
        <v>0</v>
      </c>
      <c r="M323" s="57">
        <f ca="1">SUM(PSPOINTS[[#This Row],[Scale Point Issue]:[Space in Code]])</f>
        <v>0</v>
      </c>
      <c r="N323" s="57" t="s">
        <v>1401</v>
      </c>
      <c r="P323" s="12" t="s">
        <v>1410</v>
      </c>
      <c r="Q323" s="57" t="str">
        <f>_xlfn.XLOOKUP(PSPOINTS[[#This Row],[PayScaleCode]],'19_PayScales'!N:N,'19_PayScales'!O:O)</f>
        <v>NJC Inner</v>
      </c>
      <c r="R323" s="12">
        <v>35</v>
      </c>
      <c r="S323" s="12">
        <v>35</v>
      </c>
      <c r="T323" s="12">
        <v>35</v>
      </c>
      <c r="U323" s="12" t="b">
        <v>0</v>
      </c>
      <c r="V323" s="15" t="b">
        <v>1</v>
      </c>
      <c r="W323" s="164">
        <v>45748</v>
      </c>
      <c r="X323" s="140"/>
      <c r="Y323" s="163">
        <v>50175</v>
      </c>
    </row>
    <row r="324" spans="1:25" hidden="1" x14ac:dyDescent="0.25">
      <c r="A324" s="158" t="str">
        <f>PSPOINTS[[#This Row],[PayScaleCode]]&amp;PSPOINTS[[#This Row],[RateDateFrom]]</f>
        <v>NJC_INN45748</v>
      </c>
      <c r="B324" s="57">
        <f t="shared" si="4"/>
        <v>0</v>
      </c>
      <c r="C324" s="57" t="str">
        <f>PSPOINTS[[#This Row],[PayScaleCode]]&amp;PSPOINTS[[#This Row],[PayScalePointCode]]&amp;PSPOINTS[[#This Row],[RateDateFrom]]</f>
        <v>NJC_INN3645748</v>
      </c>
      <c r="D324" s="57">
        <f>COUNTIF(PSPOINTS[Pay Scale String Duplicates],PSPOINTS[[#This Row],[Pay Scale String Duplicates]])-1</f>
        <v>0</v>
      </c>
      <c r="E324" s="57">
        <f>IF((MONTH(_xlfn.XLOOKUP(PSPOINTS[[#This Row],[PayScaleCode]],'19_PayScales'!N:N,'19_PayScales'!R:R)))=MONTH(PSPOINTS[[#This Row],[RateDateFrom]]),0,1)</f>
        <v>0</v>
      </c>
      <c r="F324" s="57">
        <f>IF(ISBLANK(PSPOINTS[[#This Row],[RateDateTo]]),0,IF(PSPOINTS[[#This Row],[RateDateFrom]]&lt;PSPOINTS[[#This Row],[RateDateTo]],0,1))</f>
        <v>0</v>
      </c>
      <c r="G324" s="57" cm="1">
        <f t="array" aca="1" ref="G324" ca="1">IF(CELL("format",PSPOINTS[[#This Row],[RateDateFrom]])="D1",0,1)+IF(CELL("format",PSPOINTS[[#This Row],[RateDateTo]])="D1",0,1)</f>
        <v>0</v>
      </c>
      <c r="H324" s="57">
        <f>IF(OR(PSPOINTS[[#This Row],[Hourly]]=TRUE,PSPOINTS[[#This Row],[Hourly]]=FALSE),IF(OR(PSPOINTS[[#This Row],[PayScalePointEnabled]]=TRUE,PSPOINTS[[#This Row],[PayScalePointEnabled]]=FALSE),0,1),1)</f>
        <v>0</v>
      </c>
      <c r="I324" s="57">
        <f>IF(LEN(PSPOINTS[[#This Row],[PayScalePointCode]])&lt;100,0,1)</f>
        <v>0</v>
      </c>
      <c r="J324" s="57">
        <f>IF(LEN(PSPOINTS[[#This Row],[PayScalePointTitle]])&lt;100,0,1)</f>
        <v>0</v>
      </c>
      <c r="K324" s="57">
        <f>(COUNTBLANK(PSPOINTS[[#This Row],[PayScalePointCode]:[RateDateFrom]])+COUNTBLANK(PSPOINTS[[#This Row],[PayScaleRate]]))</f>
        <v>0</v>
      </c>
      <c r="L324" s="120">
        <f>IF(SUBSTITUTE(TEXT(PSPOINTS[[#This Row],[PayScaleCode]],10)," ","")=TEXT(PSPOINTS[[#This Row],[PayScaleCode]],10),0,1)+IF(SUBSTITUTE(TEXT(PSPOINTS[[#This Row],[PayScalePointCode]],10)," ","")=TEXT(PSPOINTS[[#This Row],[PayScalePointCode]],10),0,1)</f>
        <v>0</v>
      </c>
      <c r="M324" s="57">
        <f ca="1">SUM(PSPOINTS[[#This Row],[Scale Point Issue]:[Space in Code]])</f>
        <v>0</v>
      </c>
      <c r="N324" s="57" t="s">
        <v>1401</v>
      </c>
      <c r="P324" s="12" t="s">
        <v>1410</v>
      </c>
      <c r="Q324" s="57" t="str">
        <f>_xlfn.XLOOKUP(PSPOINTS[[#This Row],[PayScaleCode]],'19_PayScales'!N:N,'19_PayScales'!O:O)</f>
        <v>NJC Inner</v>
      </c>
      <c r="R324" s="12">
        <v>36</v>
      </c>
      <c r="S324" s="12">
        <v>36</v>
      </c>
      <c r="T324" s="12">
        <v>36</v>
      </c>
      <c r="U324" s="12" t="b">
        <v>0</v>
      </c>
      <c r="V324" s="15" t="b">
        <v>1</v>
      </c>
      <c r="W324" s="164">
        <v>45748</v>
      </c>
      <c r="X324" s="140"/>
      <c r="Y324" s="163">
        <v>51228</v>
      </c>
    </row>
    <row r="325" spans="1:25" hidden="1" x14ac:dyDescent="0.25">
      <c r="A325" s="158" t="str">
        <f>PSPOINTS[[#This Row],[PayScaleCode]]&amp;PSPOINTS[[#This Row],[RateDateFrom]]</f>
        <v>NJC_INN45748</v>
      </c>
      <c r="B325" s="57">
        <f t="shared" si="4"/>
        <v>0</v>
      </c>
      <c r="C325" s="57" t="str">
        <f>PSPOINTS[[#This Row],[PayScaleCode]]&amp;PSPOINTS[[#This Row],[PayScalePointCode]]&amp;PSPOINTS[[#This Row],[RateDateFrom]]</f>
        <v>NJC_INN3745748</v>
      </c>
      <c r="D325" s="57">
        <f>COUNTIF(PSPOINTS[Pay Scale String Duplicates],PSPOINTS[[#This Row],[Pay Scale String Duplicates]])-1</f>
        <v>0</v>
      </c>
      <c r="E325" s="57">
        <f>IF((MONTH(_xlfn.XLOOKUP(PSPOINTS[[#This Row],[PayScaleCode]],'19_PayScales'!N:N,'19_PayScales'!R:R)))=MONTH(PSPOINTS[[#This Row],[RateDateFrom]]),0,1)</f>
        <v>0</v>
      </c>
      <c r="F325" s="57">
        <f>IF(ISBLANK(PSPOINTS[[#This Row],[RateDateTo]]),0,IF(PSPOINTS[[#This Row],[RateDateFrom]]&lt;PSPOINTS[[#This Row],[RateDateTo]],0,1))</f>
        <v>0</v>
      </c>
      <c r="G325" s="57" cm="1">
        <f t="array" aca="1" ref="G325" ca="1">IF(CELL("format",PSPOINTS[[#This Row],[RateDateFrom]])="D1",0,1)+IF(CELL("format",PSPOINTS[[#This Row],[RateDateTo]])="D1",0,1)</f>
        <v>0</v>
      </c>
      <c r="H325" s="57">
        <f>IF(OR(PSPOINTS[[#This Row],[Hourly]]=TRUE,PSPOINTS[[#This Row],[Hourly]]=FALSE),IF(OR(PSPOINTS[[#This Row],[PayScalePointEnabled]]=TRUE,PSPOINTS[[#This Row],[PayScalePointEnabled]]=FALSE),0,1),1)</f>
        <v>0</v>
      </c>
      <c r="I325" s="57">
        <f>IF(LEN(PSPOINTS[[#This Row],[PayScalePointCode]])&lt;100,0,1)</f>
        <v>0</v>
      </c>
      <c r="J325" s="57">
        <f>IF(LEN(PSPOINTS[[#This Row],[PayScalePointTitle]])&lt;100,0,1)</f>
        <v>0</v>
      </c>
      <c r="K325" s="57">
        <f>(COUNTBLANK(PSPOINTS[[#This Row],[PayScalePointCode]:[RateDateFrom]])+COUNTBLANK(PSPOINTS[[#This Row],[PayScaleRate]]))</f>
        <v>0</v>
      </c>
      <c r="L325" s="120">
        <f>IF(SUBSTITUTE(TEXT(PSPOINTS[[#This Row],[PayScaleCode]],10)," ","")=TEXT(PSPOINTS[[#This Row],[PayScaleCode]],10),0,1)+IF(SUBSTITUTE(TEXT(PSPOINTS[[#This Row],[PayScalePointCode]],10)," ","")=TEXT(PSPOINTS[[#This Row],[PayScalePointCode]],10),0,1)</f>
        <v>0</v>
      </c>
      <c r="M325" s="57">
        <f ca="1">SUM(PSPOINTS[[#This Row],[Scale Point Issue]:[Space in Code]])</f>
        <v>0</v>
      </c>
      <c r="N325" s="57" t="s">
        <v>1401</v>
      </c>
      <c r="P325" s="12" t="s">
        <v>1410</v>
      </c>
      <c r="Q325" s="57" t="str">
        <f>_xlfn.XLOOKUP(PSPOINTS[[#This Row],[PayScaleCode]],'19_PayScales'!N:N,'19_PayScales'!O:O)</f>
        <v>NJC Inner</v>
      </c>
      <c r="R325" s="12">
        <v>37</v>
      </c>
      <c r="S325" s="12">
        <v>37</v>
      </c>
      <c r="T325" s="12">
        <v>37</v>
      </c>
      <c r="U325" s="12" t="b">
        <v>0</v>
      </c>
      <c r="V325" s="15" t="b">
        <v>1</v>
      </c>
      <c r="W325" s="164">
        <v>45748</v>
      </c>
      <c r="X325" s="140"/>
      <c r="Y325" s="163">
        <v>52269</v>
      </c>
    </row>
    <row r="326" spans="1:25" hidden="1" x14ac:dyDescent="0.25">
      <c r="A326" s="158" t="str">
        <f>PSPOINTS[[#This Row],[PayScaleCode]]&amp;PSPOINTS[[#This Row],[RateDateFrom]]</f>
        <v>NJC_INN45748</v>
      </c>
      <c r="B326" s="57">
        <f t="shared" ref="B326:B389" si="5">IF(A326=A325,SUM(T326-T325)-1,T326-1)</f>
        <v>0</v>
      </c>
      <c r="C326" s="57" t="str">
        <f>PSPOINTS[[#This Row],[PayScaleCode]]&amp;PSPOINTS[[#This Row],[PayScalePointCode]]&amp;PSPOINTS[[#This Row],[RateDateFrom]]</f>
        <v>NJC_INN3845748</v>
      </c>
      <c r="D326" s="57">
        <f>COUNTIF(PSPOINTS[Pay Scale String Duplicates],PSPOINTS[[#This Row],[Pay Scale String Duplicates]])-1</f>
        <v>0</v>
      </c>
      <c r="E326" s="57">
        <f>IF((MONTH(_xlfn.XLOOKUP(PSPOINTS[[#This Row],[PayScaleCode]],'19_PayScales'!N:N,'19_PayScales'!R:R)))=MONTH(PSPOINTS[[#This Row],[RateDateFrom]]),0,1)</f>
        <v>0</v>
      </c>
      <c r="F326" s="57">
        <f>IF(ISBLANK(PSPOINTS[[#This Row],[RateDateTo]]),0,IF(PSPOINTS[[#This Row],[RateDateFrom]]&lt;PSPOINTS[[#This Row],[RateDateTo]],0,1))</f>
        <v>0</v>
      </c>
      <c r="G326" s="57" cm="1">
        <f t="array" aca="1" ref="G326" ca="1">IF(CELL("format",PSPOINTS[[#This Row],[RateDateFrom]])="D1",0,1)+IF(CELL("format",PSPOINTS[[#This Row],[RateDateTo]])="D1",0,1)</f>
        <v>0</v>
      </c>
      <c r="H326" s="57">
        <f>IF(OR(PSPOINTS[[#This Row],[Hourly]]=TRUE,PSPOINTS[[#This Row],[Hourly]]=FALSE),IF(OR(PSPOINTS[[#This Row],[PayScalePointEnabled]]=TRUE,PSPOINTS[[#This Row],[PayScalePointEnabled]]=FALSE),0,1),1)</f>
        <v>0</v>
      </c>
      <c r="I326" s="57">
        <f>IF(LEN(PSPOINTS[[#This Row],[PayScalePointCode]])&lt;100,0,1)</f>
        <v>0</v>
      </c>
      <c r="J326" s="57">
        <f>IF(LEN(PSPOINTS[[#This Row],[PayScalePointTitle]])&lt;100,0,1)</f>
        <v>0</v>
      </c>
      <c r="K326" s="57">
        <f>(COUNTBLANK(PSPOINTS[[#This Row],[PayScalePointCode]:[RateDateFrom]])+COUNTBLANK(PSPOINTS[[#This Row],[PayScaleRate]]))</f>
        <v>0</v>
      </c>
      <c r="L326" s="120">
        <f>IF(SUBSTITUTE(TEXT(PSPOINTS[[#This Row],[PayScaleCode]],10)," ","")=TEXT(PSPOINTS[[#This Row],[PayScaleCode]],10),0,1)+IF(SUBSTITUTE(TEXT(PSPOINTS[[#This Row],[PayScalePointCode]],10)," ","")=TEXT(PSPOINTS[[#This Row],[PayScalePointCode]],10),0,1)</f>
        <v>0</v>
      </c>
      <c r="M326" s="57">
        <f ca="1">SUM(PSPOINTS[[#This Row],[Scale Point Issue]:[Space in Code]])</f>
        <v>0</v>
      </c>
      <c r="N326" s="57" t="s">
        <v>1401</v>
      </c>
      <c r="P326" s="12" t="s">
        <v>1410</v>
      </c>
      <c r="Q326" s="57" t="str">
        <f>_xlfn.XLOOKUP(PSPOINTS[[#This Row],[PayScaleCode]],'19_PayScales'!N:N,'19_PayScales'!O:O)</f>
        <v>NJC Inner</v>
      </c>
      <c r="R326" s="12">
        <v>38</v>
      </c>
      <c r="S326" s="12">
        <v>38</v>
      </c>
      <c r="T326" s="12">
        <v>38</v>
      </c>
      <c r="U326" s="12" t="b">
        <v>0</v>
      </c>
      <c r="V326" s="15" t="b">
        <v>1</v>
      </c>
      <c r="W326" s="164">
        <v>45748</v>
      </c>
      <c r="X326" s="140"/>
      <c r="Y326" s="163">
        <v>53319</v>
      </c>
    </row>
    <row r="327" spans="1:25" hidden="1" x14ac:dyDescent="0.25">
      <c r="A327" s="158" t="str">
        <f>PSPOINTS[[#This Row],[PayScaleCode]]&amp;PSPOINTS[[#This Row],[RateDateFrom]]</f>
        <v>NJC_INN45748</v>
      </c>
      <c r="B327" s="57">
        <f t="shared" si="5"/>
        <v>0</v>
      </c>
      <c r="C327" s="57" t="str">
        <f>PSPOINTS[[#This Row],[PayScaleCode]]&amp;PSPOINTS[[#This Row],[PayScalePointCode]]&amp;PSPOINTS[[#This Row],[RateDateFrom]]</f>
        <v>NJC_INN3945748</v>
      </c>
      <c r="D327" s="57">
        <f>COUNTIF(PSPOINTS[Pay Scale String Duplicates],PSPOINTS[[#This Row],[Pay Scale String Duplicates]])-1</f>
        <v>0</v>
      </c>
      <c r="E327" s="57">
        <f>IF((MONTH(_xlfn.XLOOKUP(PSPOINTS[[#This Row],[PayScaleCode]],'19_PayScales'!N:N,'19_PayScales'!R:R)))=MONTH(PSPOINTS[[#This Row],[RateDateFrom]]),0,1)</f>
        <v>0</v>
      </c>
      <c r="F327" s="57">
        <f>IF(ISBLANK(PSPOINTS[[#This Row],[RateDateTo]]),0,IF(PSPOINTS[[#This Row],[RateDateFrom]]&lt;PSPOINTS[[#This Row],[RateDateTo]],0,1))</f>
        <v>0</v>
      </c>
      <c r="G327" s="57" cm="1">
        <f t="array" aca="1" ref="G327" ca="1">IF(CELL("format",PSPOINTS[[#This Row],[RateDateFrom]])="D1",0,1)+IF(CELL("format",PSPOINTS[[#This Row],[RateDateTo]])="D1",0,1)</f>
        <v>0</v>
      </c>
      <c r="H327" s="57">
        <f>IF(OR(PSPOINTS[[#This Row],[Hourly]]=TRUE,PSPOINTS[[#This Row],[Hourly]]=FALSE),IF(OR(PSPOINTS[[#This Row],[PayScalePointEnabled]]=TRUE,PSPOINTS[[#This Row],[PayScalePointEnabled]]=FALSE),0,1),1)</f>
        <v>0</v>
      </c>
      <c r="I327" s="57">
        <f>IF(LEN(PSPOINTS[[#This Row],[PayScalePointCode]])&lt;100,0,1)</f>
        <v>0</v>
      </c>
      <c r="J327" s="57">
        <f>IF(LEN(PSPOINTS[[#This Row],[PayScalePointTitle]])&lt;100,0,1)</f>
        <v>0</v>
      </c>
      <c r="K327" s="57">
        <f>(COUNTBLANK(PSPOINTS[[#This Row],[PayScalePointCode]:[RateDateFrom]])+COUNTBLANK(PSPOINTS[[#This Row],[PayScaleRate]]))</f>
        <v>0</v>
      </c>
      <c r="L327" s="120">
        <f>IF(SUBSTITUTE(TEXT(PSPOINTS[[#This Row],[PayScaleCode]],10)," ","")=TEXT(PSPOINTS[[#This Row],[PayScaleCode]],10),0,1)+IF(SUBSTITUTE(TEXT(PSPOINTS[[#This Row],[PayScalePointCode]],10)," ","")=TEXT(PSPOINTS[[#This Row],[PayScalePointCode]],10),0,1)</f>
        <v>0</v>
      </c>
      <c r="M327" s="57">
        <f ca="1">SUM(PSPOINTS[[#This Row],[Scale Point Issue]:[Space in Code]])</f>
        <v>0</v>
      </c>
      <c r="N327" s="57" t="s">
        <v>1401</v>
      </c>
      <c r="P327" s="12" t="s">
        <v>1410</v>
      </c>
      <c r="Q327" s="57" t="str">
        <f>_xlfn.XLOOKUP(PSPOINTS[[#This Row],[PayScaleCode]],'19_PayScales'!N:N,'19_PayScales'!O:O)</f>
        <v>NJC Inner</v>
      </c>
      <c r="R327" s="12">
        <v>39</v>
      </c>
      <c r="S327" s="12">
        <v>39</v>
      </c>
      <c r="T327" s="12">
        <v>39</v>
      </c>
      <c r="U327" s="12" t="b">
        <v>0</v>
      </c>
      <c r="V327" s="15" t="b">
        <v>1</v>
      </c>
      <c r="W327" s="164">
        <v>45748</v>
      </c>
      <c r="X327" s="140"/>
      <c r="Y327" s="163">
        <v>54360</v>
      </c>
    </row>
    <row r="328" spans="1:25" hidden="1" x14ac:dyDescent="0.25">
      <c r="A328" s="158" t="str">
        <f>PSPOINTS[[#This Row],[PayScaleCode]]&amp;PSPOINTS[[#This Row],[RateDateFrom]]</f>
        <v>NJC_INN45748</v>
      </c>
      <c r="B328" s="57">
        <f t="shared" si="5"/>
        <v>0</v>
      </c>
      <c r="C328" s="57" t="str">
        <f>PSPOINTS[[#This Row],[PayScaleCode]]&amp;PSPOINTS[[#This Row],[PayScalePointCode]]&amp;PSPOINTS[[#This Row],[RateDateFrom]]</f>
        <v>NJC_INN4045748</v>
      </c>
      <c r="D328" s="57">
        <f>COUNTIF(PSPOINTS[Pay Scale String Duplicates],PSPOINTS[[#This Row],[Pay Scale String Duplicates]])-1</f>
        <v>0</v>
      </c>
      <c r="E328" s="57">
        <f>IF((MONTH(_xlfn.XLOOKUP(PSPOINTS[[#This Row],[PayScaleCode]],'19_PayScales'!N:N,'19_PayScales'!R:R)))=MONTH(PSPOINTS[[#This Row],[RateDateFrom]]),0,1)</f>
        <v>0</v>
      </c>
      <c r="F328" s="57">
        <f>IF(ISBLANK(PSPOINTS[[#This Row],[RateDateTo]]),0,IF(PSPOINTS[[#This Row],[RateDateFrom]]&lt;PSPOINTS[[#This Row],[RateDateTo]],0,1))</f>
        <v>0</v>
      </c>
      <c r="G328" s="57" cm="1">
        <f t="array" aca="1" ref="G328" ca="1">IF(CELL("format",PSPOINTS[[#This Row],[RateDateFrom]])="D1",0,1)+IF(CELL("format",PSPOINTS[[#This Row],[RateDateTo]])="D1",0,1)</f>
        <v>0</v>
      </c>
      <c r="H328" s="57">
        <f>IF(OR(PSPOINTS[[#This Row],[Hourly]]=TRUE,PSPOINTS[[#This Row],[Hourly]]=FALSE),IF(OR(PSPOINTS[[#This Row],[PayScalePointEnabled]]=TRUE,PSPOINTS[[#This Row],[PayScalePointEnabled]]=FALSE),0,1),1)</f>
        <v>0</v>
      </c>
      <c r="I328" s="57">
        <f>IF(LEN(PSPOINTS[[#This Row],[PayScalePointCode]])&lt;100,0,1)</f>
        <v>0</v>
      </c>
      <c r="J328" s="57">
        <f>IF(LEN(PSPOINTS[[#This Row],[PayScalePointTitle]])&lt;100,0,1)</f>
        <v>0</v>
      </c>
      <c r="K328" s="57">
        <f>(COUNTBLANK(PSPOINTS[[#This Row],[PayScalePointCode]:[RateDateFrom]])+COUNTBLANK(PSPOINTS[[#This Row],[PayScaleRate]]))</f>
        <v>0</v>
      </c>
      <c r="L328" s="120">
        <f>IF(SUBSTITUTE(TEXT(PSPOINTS[[#This Row],[PayScaleCode]],10)," ","")=TEXT(PSPOINTS[[#This Row],[PayScaleCode]],10),0,1)+IF(SUBSTITUTE(TEXT(PSPOINTS[[#This Row],[PayScalePointCode]],10)," ","")=TEXT(PSPOINTS[[#This Row],[PayScalePointCode]],10),0,1)</f>
        <v>0</v>
      </c>
      <c r="M328" s="57">
        <f ca="1">SUM(PSPOINTS[[#This Row],[Scale Point Issue]:[Space in Code]])</f>
        <v>0</v>
      </c>
      <c r="N328" s="57" t="s">
        <v>1401</v>
      </c>
      <c r="P328" s="12" t="s">
        <v>1410</v>
      </c>
      <c r="Q328" s="57" t="str">
        <f>_xlfn.XLOOKUP(PSPOINTS[[#This Row],[PayScaleCode]],'19_PayScales'!N:N,'19_PayScales'!O:O)</f>
        <v>NJC Inner</v>
      </c>
      <c r="R328" s="12">
        <v>40</v>
      </c>
      <c r="S328" s="12">
        <v>40</v>
      </c>
      <c r="T328" s="12">
        <v>40</v>
      </c>
      <c r="U328" s="12" t="b">
        <v>0</v>
      </c>
      <c r="V328" s="15" t="b">
        <v>1</v>
      </c>
      <c r="W328" s="164">
        <v>45748</v>
      </c>
      <c r="X328" s="140"/>
      <c r="Y328" s="163">
        <v>55353</v>
      </c>
    </row>
    <row r="329" spans="1:25" hidden="1" x14ac:dyDescent="0.25">
      <c r="A329" s="158" t="str">
        <f>PSPOINTS[[#This Row],[PayScaleCode]]&amp;PSPOINTS[[#This Row],[RateDateFrom]]</f>
        <v>NJC_INN45748</v>
      </c>
      <c r="B329" s="57">
        <f t="shared" si="5"/>
        <v>0</v>
      </c>
      <c r="C329" s="57" t="str">
        <f>PSPOINTS[[#This Row],[PayScaleCode]]&amp;PSPOINTS[[#This Row],[PayScalePointCode]]&amp;PSPOINTS[[#This Row],[RateDateFrom]]</f>
        <v>NJC_INN4145748</v>
      </c>
      <c r="D329" s="57">
        <f>COUNTIF(PSPOINTS[Pay Scale String Duplicates],PSPOINTS[[#This Row],[Pay Scale String Duplicates]])-1</f>
        <v>0</v>
      </c>
      <c r="E329" s="57">
        <f>IF((MONTH(_xlfn.XLOOKUP(PSPOINTS[[#This Row],[PayScaleCode]],'19_PayScales'!N:N,'19_PayScales'!R:R)))=MONTH(PSPOINTS[[#This Row],[RateDateFrom]]),0,1)</f>
        <v>0</v>
      </c>
      <c r="F329" s="57">
        <f>IF(ISBLANK(PSPOINTS[[#This Row],[RateDateTo]]),0,IF(PSPOINTS[[#This Row],[RateDateFrom]]&lt;PSPOINTS[[#This Row],[RateDateTo]],0,1))</f>
        <v>0</v>
      </c>
      <c r="G329" s="57" cm="1">
        <f t="array" aca="1" ref="G329" ca="1">IF(CELL("format",PSPOINTS[[#This Row],[RateDateFrom]])="D1",0,1)+IF(CELL("format",PSPOINTS[[#This Row],[RateDateTo]])="D1",0,1)</f>
        <v>0</v>
      </c>
      <c r="H329" s="57">
        <f>IF(OR(PSPOINTS[[#This Row],[Hourly]]=TRUE,PSPOINTS[[#This Row],[Hourly]]=FALSE),IF(OR(PSPOINTS[[#This Row],[PayScalePointEnabled]]=TRUE,PSPOINTS[[#This Row],[PayScalePointEnabled]]=FALSE),0,1),1)</f>
        <v>0</v>
      </c>
      <c r="I329" s="57">
        <f>IF(LEN(PSPOINTS[[#This Row],[PayScalePointCode]])&lt;100,0,1)</f>
        <v>0</v>
      </c>
      <c r="J329" s="57">
        <f>IF(LEN(PSPOINTS[[#This Row],[PayScalePointTitle]])&lt;100,0,1)</f>
        <v>0</v>
      </c>
      <c r="K329" s="57">
        <f>(COUNTBLANK(PSPOINTS[[#This Row],[PayScalePointCode]:[RateDateFrom]])+COUNTBLANK(PSPOINTS[[#This Row],[PayScaleRate]]))</f>
        <v>0</v>
      </c>
      <c r="L329" s="120">
        <f>IF(SUBSTITUTE(TEXT(PSPOINTS[[#This Row],[PayScaleCode]],10)," ","")=TEXT(PSPOINTS[[#This Row],[PayScaleCode]],10),0,1)+IF(SUBSTITUTE(TEXT(PSPOINTS[[#This Row],[PayScalePointCode]],10)," ","")=TEXT(PSPOINTS[[#This Row],[PayScalePointCode]],10),0,1)</f>
        <v>0</v>
      </c>
      <c r="M329" s="57">
        <f ca="1">SUM(PSPOINTS[[#This Row],[Scale Point Issue]:[Space in Code]])</f>
        <v>0</v>
      </c>
      <c r="N329" s="57" t="s">
        <v>1401</v>
      </c>
      <c r="P329" s="12" t="s">
        <v>1410</v>
      </c>
      <c r="Q329" s="57" t="str">
        <f>_xlfn.XLOOKUP(PSPOINTS[[#This Row],[PayScaleCode]],'19_PayScales'!N:N,'19_PayScales'!O:O)</f>
        <v>NJC Inner</v>
      </c>
      <c r="R329" s="12">
        <v>41</v>
      </c>
      <c r="S329" s="12">
        <v>41</v>
      </c>
      <c r="T329" s="12">
        <v>41</v>
      </c>
      <c r="U329" s="12" t="b">
        <v>0</v>
      </c>
      <c r="V329" s="15" t="b">
        <v>1</v>
      </c>
      <c r="W329" s="164">
        <v>45748</v>
      </c>
      <c r="X329" s="140"/>
      <c r="Y329" s="163">
        <v>56436</v>
      </c>
    </row>
    <row r="330" spans="1:25" hidden="1" x14ac:dyDescent="0.25">
      <c r="A330" s="158" t="str">
        <f>PSPOINTS[[#This Row],[PayScaleCode]]&amp;PSPOINTS[[#This Row],[RateDateFrom]]</f>
        <v>NJC_INN45748</v>
      </c>
      <c r="B330" s="57">
        <f t="shared" si="5"/>
        <v>0</v>
      </c>
      <c r="C330" s="57" t="str">
        <f>PSPOINTS[[#This Row],[PayScaleCode]]&amp;PSPOINTS[[#This Row],[PayScalePointCode]]&amp;PSPOINTS[[#This Row],[RateDateFrom]]</f>
        <v>NJC_INN4245748</v>
      </c>
      <c r="D330" s="57">
        <f>COUNTIF(PSPOINTS[Pay Scale String Duplicates],PSPOINTS[[#This Row],[Pay Scale String Duplicates]])-1</f>
        <v>0</v>
      </c>
      <c r="E330" s="57">
        <f>IF((MONTH(_xlfn.XLOOKUP(PSPOINTS[[#This Row],[PayScaleCode]],'19_PayScales'!N:N,'19_PayScales'!R:R)))=MONTH(PSPOINTS[[#This Row],[RateDateFrom]]),0,1)</f>
        <v>0</v>
      </c>
      <c r="F330" s="57">
        <f>IF(ISBLANK(PSPOINTS[[#This Row],[RateDateTo]]),0,IF(PSPOINTS[[#This Row],[RateDateFrom]]&lt;PSPOINTS[[#This Row],[RateDateTo]],0,1))</f>
        <v>0</v>
      </c>
      <c r="G330" s="57" cm="1">
        <f t="array" aca="1" ref="G330" ca="1">IF(CELL("format",PSPOINTS[[#This Row],[RateDateFrom]])="D1",0,1)+IF(CELL("format",PSPOINTS[[#This Row],[RateDateTo]])="D1",0,1)</f>
        <v>0</v>
      </c>
      <c r="H330" s="57">
        <f>IF(OR(PSPOINTS[[#This Row],[Hourly]]=TRUE,PSPOINTS[[#This Row],[Hourly]]=FALSE),IF(OR(PSPOINTS[[#This Row],[PayScalePointEnabled]]=TRUE,PSPOINTS[[#This Row],[PayScalePointEnabled]]=FALSE),0,1),1)</f>
        <v>0</v>
      </c>
      <c r="I330" s="57">
        <f>IF(LEN(PSPOINTS[[#This Row],[PayScalePointCode]])&lt;100,0,1)</f>
        <v>0</v>
      </c>
      <c r="J330" s="57">
        <f>IF(LEN(PSPOINTS[[#This Row],[PayScalePointTitle]])&lt;100,0,1)</f>
        <v>0</v>
      </c>
      <c r="K330" s="57">
        <f>(COUNTBLANK(PSPOINTS[[#This Row],[PayScalePointCode]:[RateDateFrom]])+COUNTBLANK(PSPOINTS[[#This Row],[PayScaleRate]]))</f>
        <v>0</v>
      </c>
      <c r="L330" s="120">
        <f>IF(SUBSTITUTE(TEXT(PSPOINTS[[#This Row],[PayScaleCode]],10)," ","")=TEXT(PSPOINTS[[#This Row],[PayScaleCode]],10),0,1)+IF(SUBSTITUTE(TEXT(PSPOINTS[[#This Row],[PayScalePointCode]],10)," ","")=TEXT(PSPOINTS[[#This Row],[PayScalePointCode]],10),0,1)</f>
        <v>0</v>
      </c>
      <c r="M330" s="57">
        <f ca="1">SUM(PSPOINTS[[#This Row],[Scale Point Issue]:[Space in Code]])</f>
        <v>0</v>
      </c>
      <c r="N330" s="57" t="s">
        <v>1401</v>
      </c>
      <c r="P330" s="12" t="s">
        <v>1410</v>
      </c>
      <c r="Q330" s="57" t="str">
        <f>_xlfn.XLOOKUP(PSPOINTS[[#This Row],[PayScaleCode]],'19_PayScales'!N:N,'19_PayScales'!O:O)</f>
        <v>NJC Inner</v>
      </c>
      <c r="R330" s="12">
        <v>42</v>
      </c>
      <c r="S330" s="12">
        <v>42</v>
      </c>
      <c r="T330" s="12">
        <v>42</v>
      </c>
      <c r="U330" s="12" t="b">
        <v>0</v>
      </c>
      <c r="V330" s="15" t="b">
        <v>1</v>
      </c>
      <c r="W330" s="164">
        <v>45748</v>
      </c>
      <c r="X330" s="140"/>
      <c r="Y330" s="163">
        <v>57495</v>
      </c>
    </row>
    <row r="331" spans="1:25" hidden="1" x14ac:dyDescent="0.25">
      <c r="A331" s="158" t="str">
        <f>PSPOINTS[[#This Row],[PayScaleCode]]&amp;PSPOINTS[[#This Row],[RateDateFrom]]</f>
        <v>NJC_INN45748</v>
      </c>
      <c r="B331" s="57">
        <f t="shared" si="5"/>
        <v>0</v>
      </c>
      <c r="C331" s="57" t="str">
        <f>PSPOINTS[[#This Row],[PayScaleCode]]&amp;PSPOINTS[[#This Row],[PayScalePointCode]]&amp;PSPOINTS[[#This Row],[RateDateFrom]]</f>
        <v>NJC_INN4345748</v>
      </c>
      <c r="D331" s="57">
        <f>COUNTIF(PSPOINTS[Pay Scale String Duplicates],PSPOINTS[[#This Row],[Pay Scale String Duplicates]])-1</f>
        <v>0</v>
      </c>
      <c r="E331" s="57">
        <f>IF((MONTH(_xlfn.XLOOKUP(PSPOINTS[[#This Row],[PayScaleCode]],'19_PayScales'!N:N,'19_PayScales'!R:R)))=MONTH(PSPOINTS[[#This Row],[RateDateFrom]]),0,1)</f>
        <v>0</v>
      </c>
      <c r="F331" s="57">
        <f>IF(ISBLANK(PSPOINTS[[#This Row],[RateDateTo]]),0,IF(PSPOINTS[[#This Row],[RateDateFrom]]&lt;PSPOINTS[[#This Row],[RateDateTo]],0,1))</f>
        <v>0</v>
      </c>
      <c r="G331" s="57" cm="1">
        <f t="array" aca="1" ref="G331" ca="1">IF(CELL("format",PSPOINTS[[#This Row],[RateDateFrom]])="D1",0,1)+IF(CELL("format",PSPOINTS[[#This Row],[RateDateTo]])="D1",0,1)</f>
        <v>0</v>
      </c>
      <c r="H331" s="57">
        <f>IF(OR(PSPOINTS[[#This Row],[Hourly]]=TRUE,PSPOINTS[[#This Row],[Hourly]]=FALSE),IF(OR(PSPOINTS[[#This Row],[PayScalePointEnabled]]=TRUE,PSPOINTS[[#This Row],[PayScalePointEnabled]]=FALSE),0,1),1)</f>
        <v>0</v>
      </c>
      <c r="I331" s="57">
        <f>IF(LEN(PSPOINTS[[#This Row],[PayScalePointCode]])&lt;100,0,1)</f>
        <v>0</v>
      </c>
      <c r="J331" s="57">
        <f>IF(LEN(PSPOINTS[[#This Row],[PayScalePointTitle]])&lt;100,0,1)</f>
        <v>0</v>
      </c>
      <c r="K331" s="57">
        <f>(COUNTBLANK(PSPOINTS[[#This Row],[PayScalePointCode]:[RateDateFrom]])+COUNTBLANK(PSPOINTS[[#This Row],[PayScaleRate]]))</f>
        <v>0</v>
      </c>
      <c r="L331" s="120">
        <f>IF(SUBSTITUTE(TEXT(PSPOINTS[[#This Row],[PayScaleCode]],10)," ","")=TEXT(PSPOINTS[[#This Row],[PayScaleCode]],10),0,1)+IF(SUBSTITUTE(TEXT(PSPOINTS[[#This Row],[PayScalePointCode]],10)," ","")=TEXT(PSPOINTS[[#This Row],[PayScalePointCode]],10),0,1)</f>
        <v>0</v>
      </c>
      <c r="M331" s="57">
        <f ca="1">SUM(PSPOINTS[[#This Row],[Scale Point Issue]:[Space in Code]])</f>
        <v>0</v>
      </c>
      <c r="N331" s="57" t="s">
        <v>1401</v>
      </c>
      <c r="P331" s="12" t="s">
        <v>1410</v>
      </c>
      <c r="Q331" s="57" t="str">
        <f>_xlfn.XLOOKUP(PSPOINTS[[#This Row],[PayScaleCode]],'19_PayScales'!N:N,'19_PayScales'!O:O)</f>
        <v>NJC Inner</v>
      </c>
      <c r="R331" s="12">
        <v>43</v>
      </c>
      <c r="S331" s="12">
        <v>43</v>
      </c>
      <c r="T331" s="12">
        <v>43</v>
      </c>
      <c r="U331" s="12" t="b">
        <v>0</v>
      </c>
      <c r="V331" s="15" t="b">
        <v>1</v>
      </c>
      <c r="W331" s="164">
        <v>45748</v>
      </c>
      <c r="X331" s="140"/>
      <c r="Y331" s="163">
        <v>58551</v>
      </c>
    </row>
    <row r="332" spans="1:25" hidden="1" x14ac:dyDescent="0.25">
      <c r="A332" s="158" t="str">
        <f>PSPOINTS[[#This Row],[PayScaleCode]]&amp;PSPOINTS[[#This Row],[RateDateFrom]]</f>
        <v>NJC_INN45748</v>
      </c>
      <c r="B332" s="57">
        <f t="shared" si="5"/>
        <v>0</v>
      </c>
      <c r="C332" s="57" t="str">
        <f>PSPOINTS[[#This Row],[PayScaleCode]]&amp;PSPOINTS[[#This Row],[PayScalePointCode]]&amp;PSPOINTS[[#This Row],[RateDateFrom]]</f>
        <v>NJC_INN4445748</v>
      </c>
      <c r="D332" s="57">
        <f>COUNTIF(PSPOINTS[Pay Scale String Duplicates],PSPOINTS[[#This Row],[Pay Scale String Duplicates]])-1</f>
        <v>0</v>
      </c>
      <c r="E332" s="57">
        <f>IF((MONTH(_xlfn.XLOOKUP(PSPOINTS[[#This Row],[PayScaleCode]],'19_PayScales'!N:N,'19_PayScales'!R:R)))=MONTH(PSPOINTS[[#This Row],[RateDateFrom]]),0,1)</f>
        <v>0</v>
      </c>
      <c r="F332" s="57">
        <f>IF(ISBLANK(PSPOINTS[[#This Row],[RateDateTo]]),0,IF(PSPOINTS[[#This Row],[RateDateFrom]]&lt;PSPOINTS[[#This Row],[RateDateTo]],0,1))</f>
        <v>0</v>
      </c>
      <c r="G332" s="57" cm="1">
        <f t="array" aca="1" ref="G332" ca="1">IF(CELL("format",PSPOINTS[[#This Row],[RateDateFrom]])="D1",0,1)+IF(CELL("format",PSPOINTS[[#This Row],[RateDateTo]])="D1",0,1)</f>
        <v>0</v>
      </c>
      <c r="H332" s="57">
        <f>IF(OR(PSPOINTS[[#This Row],[Hourly]]=TRUE,PSPOINTS[[#This Row],[Hourly]]=FALSE),IF(OR(PSPOINTS[[#This Row],[PayScalePointEnabled]]=TRUE,PSPOINTS[[#This Row],[PayScalePointEnabled]]=FALSE),0,1),1)</f>
        <v>0</v>
      </c>
      <c r="I332" s="57">
        <f>IF(LEN(PSPOINTS[[#This Row],[PayScalePointCode]])&lt;100,0,1)</f>
        <v>0</v>
      </c>
      <c r="J332" s="57">
        <f>IF(LEN(PSPOINTS[[#This Row],[PayScalePointTitle]])&lt;100,0,1)</f>
        <v>0</v>
      </c>
      <c r="K332" s="57">
        <f>(COUNTBLANK(PSPOINTS[[#This Row],[PayScalePointCode]:[RateDateFrom]])+COUNTBLANK(PSPOINTS[[#This Row],[PayScaleRate]]))</f>
        <v>0</v>
      </c>
      <c r="L332" s="120">
        <f>IF(SUBSTITUTE(TEXT(PSPOINTS[[#This Row],[PayScaleCode]],10)," ","")=TEXT(PSPOINTS[[#This Row],[PayScaleCode]],10),0,1)+IF(SUBSTITUTE(TEXT(PSPOINTS[[#This Row],[PayScalePointCode]],10)," ","")=TEXT(PSPOINTS[[#This Row],[PayScalePointCode]],10),0,1)</f>
        <v>0</v>
      </c>
      <c r="M332" s="57">
        <f ca="1">SUM(PSPOINTS[[#This Row],[Scale Point Issue]:[Space in Code]])</f>
        <v>0</v>
      </c>
      <c r="N332" s="57" t="s">
        <v>1401</v>
      </c>
      <c r="P332" s="12" t="s">
        <v>1410</v>
      </c>
      <c r="Q332" s="57" t="str">
        <f>_xlfn.XLOOKUP(PSPOINTS[[#This Row],[PayScaleCode]],'19_PayScales'!N:N,'19_PayScales'!O:O)</f>
        <v>NJC Inner</v>
      </c>
      <c r="R332" s="12">
        <v>44</v>
      </c>
      <c r="S332" s="12">
        <v>44</v>
      </c>
      <c r="T332" s="12">
        <v>44</v>
      </c>
      <c r="U332" s="12" t="b">
        <v>0</v>
      </c>
      <c r="V332" s="15" t="b">
        <v>1</v>
      </c>
      <c r="W332" s="164">
        <v>45748</v>
      </c>
      <c r="X332" s="140"/>
      <c r="Y332" s="163">
        <v>59574</v>
      </c>
    </row>
    <row r="333" spans="1:25" hidden="1" x14ac:dyDescent="0.25">
      <c r="A333" s="158" t="str">
        <f>PSPOINTS[[#This Row],[PayScaleCode]]&amp;PSPOINTS[[#This Row],[RateDateFrom]]</f>
        <v>NJC_INN45748</v>
      </c>
      <c r="B333" s="57">
        <f t="shared" si="5"/>
        <v>0</v>
      </c>
      <c r="C333" s="57" t="str">
        <f>PSPOINTS[[#This Row],[PayScaleCode]]&amp;PSPOINTS[[#This Row],[PayScalePointCode]]&amp;PSPOINTS[[#This Row],[RateDateFrom]]</f>
        <v>NJC_INN4545748</v>
      </c>
      <c r="D333" s="57">
        <f>COUNTIF(PSPOINTS[Pay Scale String Duplicates],PSPOINTS[[#This Row],[Pay Scale String Duplicates]])-1</f>
        <v>0</v>
      </c>
      <c r="E333" s="57">
        <f>IF((MONTH(_xlfn.XLOOKUP(PSPOINTS[[#This Row],[PayScaleCode]],'19_PayScales'!N:N,'19_PayScales'!R:R)))=MONTH(PSPOINTS[[#This Row],[RateDateFrom]]),0,1)</f>
        <v>0</v>
      </c>
      <c r="F333" s="57">
        <f>IF(ISBLANK(PSPOINTS[[#This Row],[RateDateTo]]),0,IF(PSPOINTS[[#This Row],[RateDateFrom]]&lt;PSPOINTS[[#This Row],[RateDateTo]],0,1))</f>
        <v>0</v>
      </c>
      <c r="G333" s="57" cm="1">
        <f t="array" aca="1" ref="G333" ca="1">IF(CELL("format",PSPOINTS[[#This Row],[RateDateFrom]])="D1",0,1)+IF(CELL("format",PSPOINTS[[#This Row],[RateDateTo]])="D1",0,1)</f>
        <v>0</v>
      </c>
      <c r="H333" s="57">
        <f>IF(OR(PSPOINTS[[#This Row],[Hourly]]=TRUE,PSPOINTS[[#This Row],[Hourly]]=FALSE),IF(OR(PSPOINTS[[#This Row],[PayScalePointEnabled]]=TRUE,PSPOINTS[[#This Row],[PayScalePointEnabled]]=FALSE),0,1),1)</f>
        <v>0</v>
      </c>
      <c r="I333" s="57">
        <f>IF(LEN(PSPOINTS[[#This Row],[PayScalePointCode]])&lt;100,0,1)</f>
        <v>0</v>
      </c>
      <c r="J333" s="57">
        <f>IF(LEN(PSPOINTS[[#This Row],[PayScalePointTitle]])&lt;100,0,1)</f>
        <v>0</v>
      </c>
      <c r="K333" s="57">
        <f>(COUNTBLANK(PSPOINTS[[#This Row],[PayScalePointCode]:[RateDateFrom]])+COUNTBLANK(PSPOINTS[[#This Row],[PayScaleRate]]))</f>
        <v>0</v>
      </c>
      <c r="L333" s="120">
        <f>IF(SUBSTITUTE(TEXT(PSPOINTS[[#This Row],[PayScaleCode]],10)," ","")=TEXT(PSPOINTS[[#This Row],[PayScaleCode]],10),0,1)+IF(SUBSTITUTE(TEXT(PSPOINTS[[#This Row],[PayScalePointCode]],10)," ","")=TEXT(PSPOINTS[[#This Row],[PayScalePointCode]],10),0,1)</f>
        <v>0</v>
      </c>
      <c r="M333" s="57">
        <f ca="1">SUM(PSPOINTS[[#This Row],[Scale Point Issue]:[Space in Code]])</f>
        <v>0</v>
      </c>
      <c r="N333" s="57" t="s">
        <v>1401</v>
      </c>
      <c r="P333" s="12" t="s">
        <v>1410</v>
      </c>
      <c r="Q333" s="57" t="str">
        <f>_xlfn.XLOOKUP(PSPOINTS[[#This Row],[PayScaleCode]],'19_PayScales'!N:N,'19_PayScales'!O:O)</f>
        <v>NJC Inner</v>
      </c>
      <c r="R333" s="12">
        <v>45</v>
      </c>
      <c r="S333" s="12">
        <v>45</v>
      </c>
      <c r="T333" s="12">
        <v>45</v>
      </c>
      <c r="U333" s="12" t="b">
        <v>0</v>
      </c>
      <c r="V333" s="15" t="b">
        <v>1</v>
      </c>
      <c r="W333" s="164">
        <v>45748</v>
      </c>
      <c r="X333" s="140"/>
      <c r="Y333" s="163">
        <v>60633</v>
      </c>
    </row>
    <row r="334" spans="1:25" hidden="1" x14ac:dyDescent="0.25">
      <c r="A334" s="158" t="str">
        <f>PSPOINTS[[#This Row],[PayScaleCode]]&amp;PSPOINTS[[#This Row],[RateDateFrom]]</f>
        <v>NJC_INN45748</v>
      </c>
      <c r="B334" s="57">
        <f t="shared" si="5"/>
        <v>0</v>
      </c>
      <c r="C334" s="57" t="str">
        <f>PSPOINTS[[#This Row],[PayScaleCode]]&amp;PSPOINTS[[#This Row],[PayScalePointCode]]&amp;PSPOINTS[[#This Row],[RateDateFrom]]</f>
        <v>NJC_INN4645748</v>
      </c>
      <c r="D334" s="57">
        <f>COUNTIF(PSPOINTS[Pay Scale String Duplicates],PSPOINTS[[#This Row],[Pay Scale String Duplicates]])-1</f>
        <v>0</v>
      </c>
      <c r="E334" s="57">
        <f>IF((MONTH(_xlfn.XLOOKUP(PSPOINTS[[#This Row],[PayScaleCode]],'19_PayScales'!N:N,'19_PayScales'!R:R)))=MONTH(PSPOINTS[[#This Row],[RateDateFrom]]),0,1)</f>
        <v>0</v>
      </c>
      <c r="F334" s="57">
        <f>IF(ISBLANK(PSPOINTS[[#This Row],[RateDateTo]]),0,IF(PSPOINTS[[#This Row],[RateDateFrom]]&lt;PSPOINTS[[#This Row],[RateDateTo]],0,1))</f>
        <v>0</v>
      </c>
      <c r="G334" s="57" cm="1">
        <f t="array" aca="1" ref="G334" ca="1">IF(CELL("format",PSPOINTS[[#This Row],[RateDateFrom]])="D1",0,1)+IF(CELL("format",PSPOINTS[[#This Row],[RateDateTo]])="D1",0,1)</f>
        <v>0</v>
      </c>
      <c r="H334" s="57">
        <f>IF(OR(PSPOINTS[[#This Row],[Hourly]]=TRUE,PSPOINTS[[#This Row],[Hourly]]=FALSE),IF(OR(PSPOINTS[[#This Row],[PayScalePointEnabled]]=TRUE,PSPOINTS[[#This Row],[PayScalePointEnabled]]=FALSE),0,1),1)</f>
        <v>0</v>
      </c>
      <c r="I334" s="57">
        <f>IF(LEN(PSPOINTS[[#This Row],[PayScalePointCode]])&lt;100,0,1)</f>
        <v>0</v>
      </c>
      <c r="J334" s="57">
        <f>IF(LEN(PSPOINTS[[#This Row],[PayScalePointTitle]])&lt;100,0,1)</f>
        <v>0</v>
      </c>
      <c r="K334" s="57">
        <f>(COUNTBLANK(PSPOINTS[[#This Row],[PayScalePointCode]:[RateDateFrom]])+COUNTBLANK(PSPOINTS[[#This Row],[PayScaleRate]]))</f>
        <v>0</v>
      </c>
      <c r="L334" s="120">
        <f>IF(SUBSTITUTE(TEXT(PSPOINTS[[#This Row],[PayScaleCode]],10)," ","")=TEXT(PSPOINTS[[#This Row],[PayScaleCode]],10),0,1)+IF(SUBSTITUTE(TEXT(PSPOINTS[[#This Row],[PayScalePointCode]],10)," ","")=TEXT(PSPOINTS[[#This Row],[PayScalePointCode]],10),0,1)</f>
        <v>0</v>
      </c>
      <c r="M334" s="57">
        <f ca="1">SUM(PSPOINTS[[#This Row],[Scale Point Issue]:[Space in Code]])</f>
        <v>0</v>
      </c>
      <c r="N334" s="57" t="s">
        <v>1401</v>
      </c>
      <c r="P334" s="12" t="s">
        <v>1410</v>
      </c>
      <c r="Q334" s="57" t="str">
        <f>_xlfn.XLOOKUP(PSPOINTS[[#This Row],[PayScaleCode]],'19_PayScales'!N:N,'19_PayScales'!O:O)</f>
        <v>NJC Inner</v>
      </c>
      <c r="R334" s="12">
        <v>46</v>
      </c>
      <c r="S334" s="12">
        <v>46</v>
      </c>
      <c r="T334" s="12">
        <v>46</v>
      </c>
      <c r="U334" s="12" t="b">
        <v>0</v>
      </c>
      <c r="V334" s="15" t="b">
        <v>1</v>
      </c>
      <c r="W334" s="164">
        <v>45748</v>
      </c>
      <c r="X334" s="140"/>
      <c r="Y334" s="163">
        <v>61686</v>
      </c>
    </row>
    <row r="335" spans="1:25" hidden="1" x14ac:dyDescent="0.25">
      <c r="A335" s="158" t="str">
        <f>PSPOINTS[[#This Row],[PayScaleCode]]&amp;PSPOINTS[[#This Row],[RateDateFrom]]</f>
        <v>NJC_INN45748</v>
      </c>
      <c r="B335" s="57">
        <f t="shared" si="5"/>
        <v>0</v>
      </c>
      <c r="C335" s="57" t="str">
        <f>PSPOINTS[[#This Row],[PayScaleCode]]&amp;PSPOINTS[[#This Row],[PayScalePointCode]]&amp;PSPOINTS[[#This Row],[RateDateFrom]]</f>
        <v>NJC_INN4745748</v>
      </c>
      <c r="D335" s="57">
        <f>COUNTIF(PSPOINTS[Pay Scale String Duplicates],PSPOINTS[[#This Row],[Pay Scale String Duplicates]])-1</f>
        <v>0</v>
      </c>
      <c r="E335" s="57">
        <f>IF((MONTH(_xlfn.XLOOKUP(PSPOINTS[[#This Row],[PayScaleCode]],'19_PayScales'!N:N,'19_PayScales'!R:R)))=MONTH(PSPOINTS[[#This Row],[RateDateFrom]]),0,1)</f>
        <v>0</v>
      </c>
      <c r="F335" s="57">
        <f>IF(ISBLANK(PSPOINTS[[#This Row],[RateDateTo]]),0,IF(PSPOINTS[[#This Row],[RateDateFrom]]&lt;PSPOINTS[[#This Row],[RateDateTo]],0,1))</f>
        <v>0</v>
      </c>
      <c r="G335" s="57" cm="1">
        <f t="array" aca="1" ref="G335" ca="1">IF(CELL("format",PSPOINTS[[#This Row],[RateDateFrom]])="D1",0,1)+IF(CELL("format",PSPOINTS[[#This Row],[RateDateTo]])="D1",0,1)</f>
        <v>0</v>
      </c>
      <c r="H335" s="57">
        <f>IF(OR(PSPOINTS[[#This Row],[Hourly]]=TRUE,PSPOINTS[[#This Row],[Hourly]]=FALSE),IF(OR(PSPOINTS[[#This Row],[PayScalePointEnabled]]=TRUE,PSPOINTS[[#This Row],[PayScalePointEnabled]]=FALSE),0,1),1)</f>
        <v>0</v>
      </c>
      <c r="I335" s="57">
        <f>IF(LEN(PSPOINTS[[#This Row],[PayScalePointCode]])&lt;100,0,1)</f>
        <v>0</v>
      </c>
      <c r="J335" s="57">
        <f>IF(LEN(PSPOINTS[[#This Row],[PayScalePointTitle]])&lt;100,0,1)</f>
        <v>0</v>
      </c>
      <c r="K335" s="57">
        <f>(COUNTBLANK(PSPOINTS[[#This Row],[PayScalePointCode]:[RateDateFrom]])+COUNTBLANK(PSPOINTS[[#This Row],[PayScaleRate]]))</f>
        <v>0</v>
      </c>
      <c r="L335" s="120">
        <f>IF(SUBSTITUTE(TEXT(PSPOINTS[[#This Row],[PayScaleCode]],10)," ","")=TEXT(PSPOINTS[[#This Row],[PayScaleCode]],10),0,1)+IF(SUBSTITUTE(TEXT(PSPOINTS[[#This Row],[PayScalePointCode]],10)," ","")=TEXT(PSPOINTS[[#This Row],[PayScalePointCode]],10),0,1)</f>
        <v>0</v>
      </c>
      <c r="M335" s="57">
        <f ca="1">SUM(PSPOINTS[[#This Row],[Scale Point Issue]:[Space in Code]])</f>
        <v>0</v>
      </c>
      <c r="N335" s="57" t="s">
        <v>1401</v>
      </c>
      <c r="P335" s="12" t="s">
        <v>1410</v>
      </c>
      <c r="Q335" s="57" t="str">
        <f>_xlfn.XLOOKUP(PSPOINTS[[#This Row],[PayScaleCode]],'19_PayScales'!N:N,'19_PayScales'!O:O)</f>
        <v>NJC Inner</v>
      </c>
      <c r="R335" s="12">
        <v>47</v>
      </c>
      <c r="S335" s="12">
        <v>47</v>
      </c>
      <c r="T335" s="12">
        <v>47</v>
      </c>
      <c r="U335" s="12" t="b">
        <v>0</v>
      </c>
      <c r="V335" s="15" t="b">
        <v>1</v>
      </c>
      <c r="W335" s="164">
        <v>45748</v>
      </c>
      <c r="X335" s="140"/>
      <c r="Y335" s="163">
        <v>62742</v>
      </c>
    </row>
    <row r="336" spans="1:25" hidden="1" x14ac:dyDescent="0.25">
      <c r="A336" s="158" t="str">
        <f>PSPOINTS[[#This Row],[PayScaleCode]]&amp;PSPOINTS[[#This Row],[RateDateFrom]]</f>
        <v>NJC_INN45748</v>
      </c>
      <c r="B336" s="57">
        <f t="shared" si="5"/>
        <v>0</v>
      </c>
      <c r="C336" s="57" t="str">
        <f>PSPOINTS[[#This Row],[PayScaleCode]]&amp;PSPOINTS[[#This Row],[PayScalePointCode]]&amp;PSPOINTS[[#This Row],[RateDateFrom]]</f>
        <v>NJC_INN4845748</v>
      </c>
      <c r="D336" s="57">
        <f>COUNTIF(PSPOINTS[Pay Scale String Duplicates],PSPOINTS[[#This Row],[Pay Scale String Duplicates]])-1</f>
        <v>0</v>
      </c>
      <c r="E336" s="57">
        <f>IF((MONTH(_xlfn.XLOOKUP(PSPOINTS[[#This Row],[PayScaleCode]],'19_PayScales'!N:N,'19_PayScales'!R:R)))=MONTH(PSPOINTS[[#This Row],[RateDateFrom]]),0,1)</f>
        <v>0</v>
      </c>
      <c r="F336" s="57">
        <f>IF(ISBLANK(PSPOINTS[[#This Row],[RateDateTo]]),0,IF(PSPOINTS[[#This Row],[RateDateFrom]]&lt;PSPOINTS[[#This Row],[RateDateTo]],0,1))</f>
        <v>0</v>
      </c>
      <c r="G336" s="57" cm="1">
        <f t="array" aca="1" ref="G336" ca="1">IF(CELL("format",PSPOINTS[[#This Row],[RateDateFrom]])="D1",0,1)+IF(CELL("format",PSPOINTS[[#This Row],[RateDateTo]])="D1",0,1)</f>
        <v>0</v>
      </c>
      <c r="H336" s="57">
        <f>IF(OR(PSPOINTS[[#This Row],[Hourly]]=TRUE,PSPOINTS[[#This Row],[Hourly]]=FALSE),IF(OR(PSPOINTS[[#This Row],[PayScalePointEnabled]]=TRUE,PSPOINTS[[#This Row],[PayScalePointEnabled]]=FALSE),0,1),1)</f>
        <v>0</v>
      </c>
      <c r="I336" s="57">
        <f>IF(LEN(PSPOINTS[[#This Row],[PayScalePointCode]])&lt;100,0,1)</f>
        <v>0</v>
      </c>
      <c r="J336" s="57">
        <f>IF(LEN(PSPOINTS[[#This Row],[PayScalePointTitle]])&lt;100,0,1)</f>
        <v>0</v>
      </c>
      <c r="K336" s="57">
        <f>(COUNTBLANK(PSPOINTS[[#This Row],[PayScalePointCode]:[RateDateFrom]])+COUNTBLANK(PSPOINTS[[#This Row],[PayScaleRate]]))</f>
        <v>0</v>
      </c>
      <c r="L336" s="120">
        <f>IF(SUBSTITUTE(TEXT(PSPOINTS[[#This Row],[PayScaleCode]],10)," ","")=TEXT(PSPOINTS[[#This Row],[PayScaleCode]],10),0,1)+IF(SUBSTITUTE(TEXT(PSPOINTS[[#This Row],[PayScalePointCode]],10)," ","")=TEXT(PSPOINTS[[#This Row],[PayScalePointCode]],10),0,1)</f>
        <v>0</v>
      </c>
      <c r="M336" s="57">
        <f ca="1">SUM(PSPOINTS[[#This Row],[Scale Point Issue]:[Space in Code]])</f>
        <v>0</v>
      </c>
      <c r="N336" s="57" t="s">
        <v>1401</v>
      </c>
      <c r="P336" s="12" t="s">
        <v>1410</v>
      </c>
      <c r="Q336" s="57" t="str">
        <f>_xlfn.XLOOKUP(PSPOINTS[[#This Row],[PayScaleCode]],'19_PayScales'!N:N,'19_PayScales'!O:O)</f>
        <v>NJC Inner</v>
      </c>
      <c r="R336" s="12">
        <v>48</v>
      </c>
      <c r="S336" s="12">
        <v>48</v>
      </c>
      <c r="T336" s="12">
        <v>48</v>
      </c>
      <c r="U336" s="12" t="b">
        <v>0</v>
      </c>
      <c r="V336" s="15" t="b">
        <v>1</v>
      </c>
      <c r="W336" s="164">
        <v>45748</v>
      </c>
      <c r="X336" s="140"/>
      <c r="Y336" s="163">
        <v>63816</v>
      </c>
    </row>
    <row r="337" spans="1:25" hidden="1" x14ac:dyDescent="0.25">
      <c r="A337" s="158" t="str">
        <f>PSPOINTS[[#This Row],[PayScaleCode]]&amp;PSPOINTS[[#This Row],[RateDateFrom]]</f>
        <v>NJC_INN45748</v>
      </c>
      <c r="B337" s="57">
        <f t="shared" si="5"/>
        <v>0</v>
      </c>
      <c r="C337" s="57" t="str">
        <f>PSPOINTS[[#This Row],[PayScaleCode]]&amp;PSPOINTS[[#This Row],[PayScalePointCode]]&amp;PSPOINTS[[#This Row],[RateDateFrom]]</f>
        <v>NJC_INN4945748</v>
      </c>
      <c r="D337" s="57">
        <f>COUNTIF(PSPOINTS[Pay Scale String Duplicates],PSPOINTS[[#This Row],[Pay Scale String Duplicates]])-1</f>
        <v>0</v>
      </c>
      <c r="E337" s="57">
        <f>IF((MONTH(_xlfn.XLOOKUP(PSPOINTS[[#This Row],[PayScaleCode]],'19_PayScales'!N:N,'19_PayScales'!R:R)))=MONTH(PSPOINTS[[#This Row],[RateDateFrom]]),0,1)</f>
        <v>0</v>
      </c>
      <c r="F337" s="57">
        <f>IF(ISBLANK(PSPOINTS[[#This Row],[RateDateTo]]),0,IF(PSPOINTS[[#This Row],[RateDateFrom]]&lt;PSPOINTS[[#This Row],[RateDateTo]],0,1))</f>
        <v>0</v>
      </c>
      <c r="G337" s="57" cm="1">
        <f t="array" aca="1" ref="G337" ca="1">IF(CELL("format",PSPOINTS[[#This Row],[RateDateFrom]])="D1",0,1)+IF(CELL("format",PSPOINTS[[#This Row],[RateDateTo]])="D1",0,1)</f>
        <v>0</v>
      </c>
      <c r="H337" s="57">
        <f>IF(OR(PSPOINTS[[#This Row],[Hourly]]=TRUE,PSPOINTS[[#This Row],[Hourly]]=FALSE),IF(OR(PSPOINTS[[#This Row],[PayScalePointEnabled]]=TRUE,PSPOINTS[[#This Row],[PayScalePointEnabled]]=FALSE),0,1),1)</f>
        <v>0</v>
      </c>
      <c r="I337" s="57">
        <f>IF(LEN(PSPOINTS[[#This Row],[PayScalePointCode]])&lt;100,0,1)</f>
        <v>0</v>
      </c>
      <c r="J337" s="57">
        <f>IF(LEN(PSPOINTS[[#This Row],[PayScalePointTitle]])&lt;100,0,1)</f>
        <v>0</v>
      </c>
      <c r="K337" s="57">
        <f>(COUNTBLANK(PSPOINTS[[#This Row],[PayScalePointCode]:[RateDateFrom]])+COUNTBLANK(PSPOINTS[[#This Row],[PayScaleRate]]))</f>
        <v>0</v>
      </c>
      <c r="L337" s="120">
        <f>IF(SUBSTITUTE(TEXT(PSPOINTS[[#This Row],[PayScaleCode]],10)," ","")=TEXT(PSPOINTS[[#This Row],[PayScaleCode]],10),0,1)+IF(SUBSTITUTE(TEXT(PSPOINTS[[#This Row],[PayScalePointCode]],10)," ","")=TEXT(PSPOINTS[[#This Row],[PayScalePointCode]],10),0,1)</f>
        <v>0</v>
      </c>
      <c r="M337" s="57">
        <f ca="1">SUM(PSPOINTS[[#This Row],[Scale Point Issue]:[Space in Code]])</f>
        <v>0</v>
      </c>
      <c r="N337" s="57" t="s">
        <v>1401</v>
      </c>
      <c r="P337" s="12" t="s">
        <v>1410</v>
      </c>
      <c r="Q337" s="57" t="str">
        <f>_xlfn.XLOOKUP(PSPOINTS[[#This Row],[PayScaleCode]],'19_PayScales'!N:N,'19_PayScales'!O:O)</f>
        <v>NJC Inner</v>
      </c>
      <c r="R337" s="12">
        <v>49</v>
      </c>
      <c r="S337" s="12">
        <v>49</v>
      </c>
      <c r="T337" s="12">
        <v>49</v>
      </c>
      <c r="U337" s="12" t="b">
        <v>0</v>
      </c>
      <c r="V337" s="15" t="b">
        <v>1</v>
      </c>
      <c r="W337" s="164">
        <v>45748</v>
      </c>
      <c r="X337" s="140"/>
      <c r="Y337" s="163">
        <v>64938</v>
      </c>
    </row>
    <row r="338" spans="1:25" hidden="1" x14ac:dyDescent="0.25">
      <c r="A338" s="158" t="str">
        <f>PSPOINTS[[#This Row],[PayScaleCode]]&amp;PSPOINTS[[#This Row],[RateDateFrom]]</f>
        <v>NJC_INN45748</v>
      </c>
      <c r="B338" s="57">
        <f t="shared" si="5"/>
        <v>0</v>
      </c>
      <c r="C338" s="57" t="str">
        <f>PSPOINTS[[#This Row],[PayScaleCode]]&amp;PSPOINTS[[#This Row],[PayScalePointCode]]&amp;PSPOINTS[[#This Row],[RateDateFrom]]</f>
        <v>NJC_INN5045748</v>
      </c>
      <c r="D338" s="57">
        <f>COUNTIF(PSPOINTS[Pay Scale String Duplicates],PSPOINTS[[#This Row],[Pay Scale String Duplicates]])-1</f>
        <v>0</v>
      </c>
      <c r="E338" s="57">
        <f>IF((MONTH(_xlfn.XLOOKUP(PSPOINTS[[#This Row],[PayScaleCode]],'19_PayScales'!N:N,'19_PayScales'!R:R)))=MONTH(PSPOINTS[[#This Row],[RateDateFrom]]),0,1)</f>
        <v>0</v>
      </c>
      <c r="F338" s="57">
        <f>IF(ISBLANK(PSPOINTS[[#This Row],[RateDateTo]]),0,IF(PSPOINTS[[#This Row],[RateDateFrom]]&lt;PSPOINTS[[#This Row],[RateDateTo]],0,1))</f>
        <v>0</v>
      </c>
      <c r="G338" s="57" cm="1">
        <f t="array" aca="1" ref="G338" ca="1">IF(CELL("format",PSPOINTS[[#This Row],[RateDateFrom]])="D1",0,1)+IF(CELL("format",PSPOINTS[[#This Row],[RateDateTo]])="D1",0,1)</f>
        <v>0</v>
      </c>
      <c r="H338" s="57">
        <f>IF(OR(PSPOINTS[[#This Row],[Hourly]]=TRUE,PSPOINTS[[#This Row],[Hourly]]=FALSE),IF(OR(PSPOINTS[[#This Row],[PayScalePointEnabled]]=TRUE,PSPOINTS[[#This Row],[PayScalePointEnabled]]=FALSE),0,1),1)</f>
        <v>0</v>
      </c>
      <c r="I338" s="57">
        <f>IF(LEN(PSPOINTS[[#This Row],[PayScalePointCode]])&lt;100,0,1)</f>
        <v>0</v>
      </c>
      <c r="J338" s="57">
        <f>IF(LEN(PSPOINTS[[#This Row],[PayScalePointTitle]])&lt;100,0,1)</f>
        <v>0</v>
      </c>
      <c r="K338" s="57">
        <f>(COUNTBLANK(PSPOINTS[[#This Row],[PayScalePointCode]:[RateDateFrom]])+COUNTBLANK(PSPOINTS[[#This Row],[PayScaleRate]]))</f>
        <v>0</v>
      </c>
      <c r="L338" s="120">
        <f>IF(SUBSTITUTE(TEXT(PSPOINTS[[#This Row],[PayScaleCode]],10)," ","")=TEXT(PSPOINTS[[#This Row],[PayScaleCode]],10),0,1)+IF(SUBSTITUTE(TEXT(PSPOINTS[[#This Row],[PayScalePointCode]],10)," ","")=TEXT(PSPOINTS[[#This Row],[PayScalePointCode]],10),0,1)</f>
        <v>0</v>
      </c>
      <c r="M338" s="57">
        <f ca="1">SUM(PSPOINTS[[#This Row],[Scale Point Issue]:[Space in Code]])</f>
        <v>0</v>
      </c>
      <c r="N338" s="57" t="s">
        <v>1401</v>
      </c>
      <c r="P338" s="12" t="s">
        <v>1410</v>
      </c>
      <c r="Q338" s="57" t="str">
        <f>_xlfn.XLOOKUP(PSPOINTS[[#This Row],[PayScaleCode]],'19_PayScales'!N:N,'19_PayScales'!O:O)</f>
        <v>NJC Inner</v>
      </c>
      <c r="R338" s="12">
        <v>50</v>
      </c>
      <c r="S338" s="12">
        <v>50</v>
      </c>
      <c r="T338" s="12">
        <v>50</v>
      </c>
      <c r="U338" s="12" t="b">
        <v>0</v>
      </c>
      <c r="V338" s="15" t="b">
        <v>1</v>
      </c>
      <c r="W338" s="164">
        <v>45748</v>
      </c>
      <c r="X338" s="140"/>
      <c r="Y338" s="163">
        <v>66084</v>
      </c>
    </row>
    <row r="339" spans="1:25" hidden="1" x14ac:dyDescent="0.25">
      <c r="A339" s="158" t="str">
        <f>PSPOINTS[[#This Row],[PayScaleCode]]&amp;PSPOINTS[[#This Row],[RateDateFrom]]</f>
        <v>NJC_INN45748</v>
      </c>
      <c r="B339" s="57">
        <f t="shared" si="5"/>
        <v>0</v>
      </c>
      <c r="C339" s="57" t="str">
        <f>PSPOINTS[[#This Row],[PayScaleCode]]&amp;PSPOINTS[[#This Row],[PayScalePointCode]]&amp;PSPOINTS[[#This Row],[RateDateFrom]]</f>
        <v>NJC_INN5145748</v>
      </c>
      <c r="D339" s="57">
        <f>COUNTIF(PSPOINTS[Pay Scale String Duplicates],PSPOINTS[[#This Row],[Pay Scale String Duplicates]])-1</f>
        <v>0</v>
      </c>
      <c r="E339" s="57">
        <f>IF((MONTH(_xlfn.XLOOKUP(PSPOINTS[[#This Row],[PayScaleCode]],'19_PayScales'!N:N,'19_PayScales'!R:R)))=MONTH(PSPOINTS[[#This Row],[RateDateFrom]]),0,1)</f>
        <v>0</v>
      </c>
      <c r="F339" s="57">
        <f>IF(ISBLANK(PSPOINTS[[#This Row],[RateDateTo]]),0,IF(PSPOINTS[[#This Row],[RateDateFrom]]&lt;PSPOINTS[[#This Row],[RateDateTo]],0,1))</f>
        <v>0</v>
      </c>
      <c r="G339" s="57" cm="1">
        <f t="array" aca="1" ref="G339" ca="1">IF(CELL("format",PSPOINTS[[#This Row],[RateDateFrom]])="D1",0,1)+IF(CELL("format",PSPOINTS[[#This Row],[RateDateTo]])="D1",0,1)</f>
        <v>0</v>
      </c>
      <c r="H339" s="57">
        <f>IF(OR(PSPOINTS[[#This Row],[Hourly]]=TRUE,PSPOINTS[[#This Row],[Hourly]]=FALSE),IF(OR(PSPOINTS[[#This Row],[PayScalePointEnabled]]=TRUE,PSPOINTS[[#This Row],[PayScalePointEnabled]]=FALSE),0,1),1)</f>
        <v>0</v>
      </c>
      <c r="I339" s="57">
        <f>IF(LEN(PSPOINTS[[#This Row],[PayScalePointCode]])&lt;100,0,1)</f>
        <v>0</v>
      </c>
      <c r="J339" s="57">
        <f>IF(LEN(PSPOINTS[[#This Row],[PayScalePointTitle]])&lt;100,0,1)</f>
        <v>0</v>
      </c>
      <c r="K339" s="57">
        <f>(COUNTBLANK(PSPOINTS[[#This Row],[PayScalePointCode]:[RateDateFrom]])+COUNTBLANK(PSPOINTS[[#This Row],[PayScaleRate]]))</f>
        <v>0</v>
      </c>
      <c r="L339" s="120">
        <f>IF(SUBSTITUTE(TEXT(PSPOINTS[[#This Row],[PayScaleCode]],10)," ","")=TEXT(PSPOINTS[[#This Row],[PayScaleCode]],10),0,1)+IF(SUBSTITUTE(TEXT(PSPOINTS[[#This Row],[PayScalePointCode]],10)," ","")=TEXT(PSPOINTS[[#This Row],[PayScalePointCode]],10),0,1)</f>
        <v>0</v>
      </c>
      <c r="M339" s="57">
        <f ca="1">SUM(PSPOINTS[[#This Row],[Scale Point Issue]:[Space in Code]])</f>
        <v>0</v>
      </c>
      <c r="N339" s="57" t="s">
        <v>1401</v>
      </c>
      <c r="P339" s="12" t="s">
        <v>1410</v>
      </c>
      <c r="Q339" s="57" t="str">
        <f>_xlfn.XLOOKUP(PSPOINTS[[#This Row],[PayScaleCode]],'19_PayScales'!N:N,'19_PayScales'!O:O)</f>
        <v>NJC Inner</v>
      </c>
      <c r="R339" s="12">
        <v>51</v>
      </c>
      <c r="S339" s="12">
        <v>51</v>
      </c>
      <c r="T339" s="12">
        <v>51</v>
      </c>
      <c r="U339" s="12" t="b">
        <v>0</v>
      </c>
      <c r="V339" s="15" t="b">
        <v>1</v>
      </c>
      <c r="W339" s="164">
        <v>45748</v>
      </c>
      <c r="X339" s="140"/>
      <c r="Y339" s="163">
        <v>67260</v>
      </c>
    </row>
    <row r="340" spans="1:25" hidden="1" x14ac:dyDescent="0.25">
      <c r="A340" s="158" t="str">
        <f>PSPOINTS[[#This Row],[PayScaleCode]]&amp;PSPOINTS[[#This Row],[RateDateFrom]]</f>
        <v>NJC_INN45748</v>
      </c>
      <c r="B340" s="57">
        <f t="shared" si="5"/>
        <v>0</v>
      </c>
      <c r="C340" s="57" t="str">
        <f>PSPOINTS[[#This Row],[PayScaleCode]]&amp;PSPOINTS[[#This Row],[PayScalePointCode]]&amp;PSPOINTS[[#This Row],[RateDateFrom]]</f>
        <v>NJC_INN5245748</v>
      </c>
      <c r="D340" s="57">
        <f>COUNTIF(PSPOINTS[Pay Scale String Duplicates],PSPOINTS[[#This Row],[Pay Scale String Duplicates]])-1</f>
        <v>0</v>
      </c>
      <c r="E340" s="57">
        <f>IF((MONTH(_xlfn.XLOOKUP(PSPOINTS[[#This Row],[PayScaleCode]],'19_PayScales'!N:N,'19_PayScales'!R:R)))=MONTH(PSPOINTS[[#This Row],[RateDateFrom]]),0,1)</f>
        <v>0</v>
      </c>
      <c r="F340" s="57">
        <f>IF(ISBLANK(PSPOINTS[[#This Row],[RateDateTo]]),0,IF(PSPOINTS[[#This Row],[RateDateFrom]]&lt;PSPOINTS[[#This Row],[RateDateTo]],0,1))</f>
        <v>0</v>
      </c>
      <c r="G340" s="57" cm="1">
        <f t="array" aca="1" ref="G340" ca="1">IF(CELL("format",PSPOINTS[[#This Row],[RateDateFrom]])="D1",0,1)+IF(CELL("format",PSPOINTS[[#This Row],[RateDateTo]])="D1",0,1)</f>
        <v>0</v>
      </c>
      <c r="H340" s="57">
        <f>IF(OR(PSPOINTS[[#This Row],[Hourly]]=TRUE,PSPOINTS[[#This Row],[Hourly]]=FALSE),IF(OR(PSPOINTS[[#This Row],[PayScalePointEnabled]]=TRUE,PSPOINTS[[#This Row],[PayScalePointEnabled]]=FALSE),0,1),1)</f>
        <v>0</v>
      </c>
      <c r="I340" s="57">
        <f>IF(LEN(PSPOINTS[[#This Row],[PayScalePointCode]])&lt;100,0,1)</f>
        <v>0</v>
      </c>
      <c r="J340" s="57">
        <f>IF(LEN(PSPOINTS[[#This Row],[PayScalePointTitle]])&lt;100,0,1)</f>
        <v>0</v>
      </c>
      <c r="K340" s="57">
        <f>(COUNTBLANK(PSPOINTS[[#This Row],[PayScalePointCode]:[RateDateFrom]])+COUNTBLANK(PSPOINTS[[#This Row],[PayScaleRate]]))</f>
        <v>0</v>
      </c>
      <c r="L340" s="120">
        <f>IF(SUBSTITUTE(TEXT(PSPOINTS[[#This Row],[PayScaleCode]],10)," ","")=TEXT(PSPOINTS[[#This Row],[PayScaleCode]],10),0,1)+IF(SUBSTITUTE(TEXT(PSPOINTS[[#This Row],[PayScalePointCode]],10)," ","")=TEXT(PSPOINTS[[#This Row],[PayScalePointCode]],10),0,1)</f>
        <v>0</v>
      </c>
      <c r="M340" s="57">
        <f ca="1">SUM(PSPOINTS[[#This Row],[Scale Point Issue]:[Space in Code]])</f>
        <v>0</v>
      </c>
      <c r="N340" s="57" t="s">
        <v>1401</v>
      </c>
      <c r="P340" s="12" t="s">
        <v>1410</v>
      </c>
      <c r="Q340" s="57" t="str">
        <f>_xlfn.XLOOKUP(PSPOINTS[[#This Row],[PayScaleCode]],'19_PayScales'!N:N,'19_PayScales'!O:O)</f>
        <v>NJC Inner</v>
      </c>
      <c r="R340" s="12">
        <v>52</v>
      </c>
      <c r="S340" s="12">
        <v>52</v>
      </c>
      <c r="T340" s="12">
        <v>52</v>
      </c>
      <c r="U340" s="12" t="b">
        <v>0</v>
      </c>
      <c r="V340" s="15" t="b">
        <v>1</v>
      </c>
      <c r="W340" s="164">
        <v>45748</v>
      </c>
      <c r="X340" s="140"/>
      <c r="Y340" s="163">
        <v>68460</v>
      </c>
    </row>
    <row r="341" spans="1:25" hidden="1" x14ac:dyDescent="0.25">
      <c r="A341" s="158" t="str">
        <f>PSPOINTS[[#This Row],[PayScaleCode]]&amp;PSPOINTS[[#This Row],[RateDateFrom]]</f>
        <v>NJC_INN45748</v>
      </c>
      <c r="B341" s="57">
        <f t="shared" si="5"/>
        <v>0</v>
      </c>
      <c r="C341" s="57" t="str">
        <f>PSPOINTS[[#This Row],[PayScaleCode]]&amp;PSPOINTS[[#This Row],[PayScalePointCode]]&amp;PSPOINTS[[#This Row],[RateDateFrom]]</f>
        <v>NJC_INN5345748</v>
      </c>
      <c r="D341" s="57">
        <f>COUNTIF(PSPOINTS[Pay Scale String Duplicates],PSPOINTS[[#This Row],[Pay Scale String Duplicates]])-1</f>
        <v>0</v>
      </c>
      <c r="E341" s="57">
        <f>IF((MONTH(_xlfn.XLOOKUP(PSPOINTS[[#This Row],[PayScaleCode]],'19_PayScales'!N:N,'19_PayScales'!R:R)))=MONTH(PSPOINTS[[#This Row],[RateDateFrom]]),0,1)</f>
        <v>0</v>
      </c>
      <c r="F341" s="57">
        <f>IF(ISBLANK(PSPOINTS[[#This Row],[RateDateTo]]),0,IF(PSPOINTS[[#This Row],[RateDateFrom]]&lt;PSPOINTS[[#This Row],[RateDateTo]],0,1))</f>
        <v>0</v>
      </c>
      <c r="G341" s="57" cm="1">
        <f t="array" aca="1" ref="G341" ca="1">IF(CELL("format",PSPOINTS[[#This Row],[RateDateFrom]])="D1",0,1)+IF(CELL("format",PSPOINTS[[#This Row],[RateDateTo]])="D1",0,1)</f>
        <v>0</v>
      </c>
      <c r="H341" s="57">
        <f>IF(OR(PSPOINTS[[#This Row],[Hourly]]=TRUE,PSPOINTS[[#This Row],[Hourly]]=FALSE),IF(OR(PSPOINTS[[#This Row],[PayScalePointEnabled]]=TRUE,PSPOINTS[[#This Row],[PayScalePointEnabled]]=FALSE),0,1),1)</f>
        <v>0</v>
      </c>
      <c r="I341" s="57">
        <f>IF(LEN(PSPOINTS[[#This Row],[PayScalePointCode]])&lt;100,0,1)</f>
        <v>0</v>
      </c>
      <c r="J341" s="57">
        <f>IF(LEN(PSPOINTS[[#This Row],[PayScalePointTitle]])&lt;100,0,1)</f>
        <v>0</v>
      </c>
      <c r="K341" s="57">
        <f>(COUNTBLANK(PSPOINTS[[#This Row],[PayScalePointCode]:[RateDateFrom]])+COUNTBLANK(PSPOINTS[[#This Row],[PayScaleRate]]))</f>
        <v>0</v>
      </c>
      <c r="L341" s="120">
        <f>IF(SUBSTITUTE(TEXT(PSPOINTS[[#This Row],[PayScaleCode]],10)," ","")=TEXT(PSPOINTS[[#This Row],[PayScaleCode]],10),0,1)+IF(SUBSTITUTE(TEXT(PSPOINTS[[#This Row],[PayScalePointCode]],10)," ","")=TEXT(PSPOINTS[[#This Row],[PayScalePointCode]],10),0,1)</f>
        <v>0</v>
      </c>
      <c r="M341" s="57">
        <f ca="1">SUM(PSPOINTS[[#This Row],[Scale Point Issue]:[Space in Code]])</f>
        <v>0</v>
      </c>
      <c r="N341" s="57" t="s">
        <v>1401</v>
      </c>
      <c r="P341" s="12" t="s">
        <v>1410</v>
      </c>
      <c r="Q341" s="57" t="str">
        <f>_xlfn.XLOOKUP(PSPOINTS[[#This Row],[PayScaleCode]],'19_PayScales'!N:N,'19_PayScales'!O:O)</f>
        <v>NJC Inner</v>
      </c>
      <c r="R341" s="12">
        <v>53</v>
      </c>
      <c r="S341" s="12">
        <v>53</v>
      </c>
      <c r="T341" s="12">
        <v>53</v>
      </c>
      <c r="U341" s="12" t="b">
        <v>0</v>
      </c>
      <c r="V341" s="15" t="b">
        <v>1</v>
      </c>
      <c r="W341" s="164">
        <v>45748</v>
      </c>
      <c r="X341" s="140"/>
      <c r="Y341" s="163">
        <v>69660</v>
      </c>
    </row>
    <row r="342" spans="1:25" hidden="1" x14ac:dyDescent="0.25">
      <c r="A342" s="158" t="str">
        <f>PSPOINTS[[#This Row],[PayScaleCode]]&amp;PSPOINTS[[#This Row],[RateDateFrom]]</f>
        <v>NJC_INN45748</v>
      </c>
      <c r="B342" s="57">
        <f t="shared" si="5"/>
        <v>0</v>
      </c>
      <c r="C342" s="57" t="str">
        <f>PSPOINTS[[#This Row],[PayScaleCode]]&amp;PSPOINTS[[#This Row],[PayScalePointCode]]&amp;PSPOINTS[[#This Row],[RateDateFrom]]</f>
        <v>NJC_INN5445748</v>
      </c>
      <c r="D342" s="57">
        <f>COUNTIF(PSPOINTS[Pay Scale String Duplicates],PSPOINTS[[#This Row],[Pay Scale String Duplicates]])-1</f>
        <v>0</v>
      </c>
      <c r="E342" s="57">
        <f>IF((MONTH(_xlfn.XLOOKUP(PSPOINTS[[#This Row],[PayScaleCode]],'19_PayScales'!N:N,'19_PayScales'!R:R)))=MONTH(PSPOINTS[[#This Row],[RateDateFrom]]),0,1)</f>
        <v>0</v>
      </c>
      <c r="F342" s="57">
        <f>IF(ISBLANK(PSPOINTS[[#This Row],[RateDateTo]]),0,IF(PSPOINTS[[#This Row],[RateDateFrom]]&lt;PSPOINTS[[#This Row],[RateDateTo]],0,1))</f>
        <v>0</v>
      </c>
      <c r="G342" s="57" cm="1">
        <f t="array" aca="1" ref="G342" ca="1">IF(CELL("format",PSPOINTS[[#This Row],[RateDateFrom]])="D1",0,1)+IF(CELL("format",PSPOINTS[[#This Row],[RateDateTo]])="D1",0,1)</f>
        <v>0</v>
      </c>
      <c r="H342" s="57">
        <f>IF(OR(PSPOINTS[[#This Row],[Hourly]]=TRUE,PSPOINTS[[#This Row],[Hourly]]=FALSE),IF(OR(PSPOINTS[[#This Row],[PayScalePointEnabled]]=TRUE,PSPOINTS[[#This Row],[PayScalePointEnabled]]=FALSE),0,1),1)</f>
        <v>0</v>
      </c>
      <c r="I342" s="57">
        <f>IF(LEN(PSPOINTS[[#This Row],[PayScalePointCode]])&lt;100,0,1)</f>
        <v>0</v>
      </c>
      <c r="J342" s="57">
        <f>IF(LEN(PSPOINTS[[#This Row],[PayScalePointTitle]])&lt;100,0,1)</f>
        <v>0</v>
      </c>
      <c r="K342" s="57">
        <f>(COUNTBLANK(PSPOINTS[[#This Row],[PayScalePointCode]:[RateDateFrom]])+COUNTBLANK(PSPOINTS[[#This Row],[PayScaleRate]]))</f>
        <v>0</v>
      </c>
      <c r="L342" s="120">
        <f>IF(SUBSTITUTE(TEXT(PSPOINTS[[#This Row],[PayScaleCode]],10)," ","")=TEXT(PSPOINTS[[#This Row],[PayScaleCode]],10),0,1)+IF(SUBSTITUTE(TEXT(PSPOINTS[[#This Row],[PayScalePointCode]],10)," ","")=TEXT(PSPOINTS[[#This Row],[PayScalePointCode]],10),0,1)</f>
        <v>0</v>
      </c>
      <c r="M342" s="57">
        <f ca="1">SUM(PSPOINTS[[#This Row],[Scale Point Issue]:[Space in Code]])</f>
        <v>0</v>
      </c>
      <c r="N342" s="57" t="s">
        <v>1401</v>
      </c>
      <c r="P342" s="12" t="s">
        <v>1410</v>
      </c>
      <c r="Q342" s="57" t="str">
        <f>_xlfn.XLOOKUP(PSPOINTS[[#This Row],[PayScaleCode]],'19_PayScales'!N:N,'19_PayScales'!O:O)</f>
        <v>NJC Inner</v>
      </c>
      <c r="R342" s="12">
        <v>54</v>
      </c>
      <c r="S342" s="12">
        <v>54</v>
      </c>
      <c r="T342" s="12">
        <v>54</v>
      </c>
      <c r="U342" s="12" t="b">
        <v>0</v>
      </c>
      <c r="V342" s="15" t="b">
        <v>1</v>
      </c>
      <c r="W342" s="164">
        <v>45748</v>
      </c>
      <c r="X342" s="140"/>
      <c r="Y342" s="163">
        <v>70860</v>
      </c>
    </row>
    <row r="343" spans="1:25" hidden="1" x14ac:dyDescent="0.25">
      <c r="A343" s="158" t="str">
        <f>PSPOINTS[[#This Row],[PayScaleCode]]&amp;PSPOINTS[[#This Row],[RateDateFrom]]</f>
        <v>NJC_INN45748</v>
      </c>
      <c r="B343" s="57">
        <f t="shared" si="5"/>
        <v>0</v>
      </c>
      <c r="C343" s="57" t="str">
        <f>PSPOINTS[[#This Row],[PayScaleCode]]&amp;PSPOINTS[[#This Row],[PayScalePointCode]]&amp;PSPOINTS[[#This Row],[RateDateFrom]]</f>
        <v>NJC_INN5545748</v>
      </c>
      <c r="D343" s="57">
        <f>COUNTIF(PSPOINTS[Pay Scale String Duplicates],PSPOINTS[[#This Row],[Pay Scale String Duplicates]])-1</f>
        <v>0</v>
      </c>
      <c r="E343" s="57">
        <f>IF((MONTH(_xlfn.XLOOKUP(PSPOINTS[[#This Row],[PayScaleCode]],'19_PayScales'!N:N,'19_PayScales'!R:R)))=MONTH(PSPOINTS[[#This Row],[RateDateFrom]]),0,1)</f>
        <v>0</v>
      </c>
      <c r="F343" s="57">
        <f>IF(ISBLANK(PSPOINTS[[#This Row],[RateDateTo]]),0,IF(PSPOINTS[[#This Row],[RateDateFrom]]&lt;PSPOINTS[[#This Row],[RateDateTo]],0,1))</f>
        <v>0</v>
      </c>
      <c r="G343" s="57" cm="1">
        <f t="array" aca="1" ref="G343" ca="1">IF(CELL("format",PSPOINTS[[#This Row],[RateDateFrom]])="D1",0,1)+IF(CELL("format",PSPOINTS[[#This Row],[RateDateTo]])="D1",0,1)</f>
        <v>0</v>
      </c>
      <c r="H343" s="57">
        <f>IF(OR(PSPOINTS[[#This Row],[Hourly]]=TRUE,PSPOINTS[[#This Row],[Hourly]]=FALSE),IF(OR(PSPOINTS[[#This Row],[PayScalePointEnabled]]=TRUE,PSPOINTS[[#This Row],[PayScalePointEnabled]]=FALSE),0,1),1)</f>
        <v>0</v>
      </c>
      <c r="I343" s="57">
        <f>IF(LEN(PSPOINTS[[#This Row],[PayScalePointCode]])&lt;100,0,1)</f>
        <v>0</v>
      </c>
      <c r="J343" s="57">
        <f>IF(LEN(PSPOINTS[[#This Row],[PayScalePointTitle]])&lt;100,0,1)</f>
        <v>0</v>
      </c>
      <c r="K343" s="57">
        <f>(COUNTBLANK(PSPOINTS[[#This Row],[PayScalePointCode]:[RateDateFrom]])+COUNTBLANK(PSPOINTS[[#This Row],[PayScaleRate]]))</f>
        <v>0</v>
      </c>
      <c r="L343" s="120">
        <f>IF(SUBSTITUTE(TEXT(PSPOINTS[[#This Row],[PayScaleCode]],10)," ","")=TEXT(PSPOINTS[[#This Row],[PayScaleCode]],10),0,1)+IF(SUBSTITUTE(TEXT(PSPOINTS[[#This Row],[PayScalePointCode]],10)," ","")=TEXT(PSPOINTS[[#This Row],[PayScalePointCode]],10),0,1)</f>
        <v>0</v>
      </c>
      <c r="M343" s="57">
        <f ca="1">SUM(PSPOINTS[[#This Row],[Scale Point Issue]:[Space in Code]])</f>
        <v>0</v>
      </c>
      <c r="N343" s="57" t="s">
        <v>1401</v>
      </c>
      <c r="P343" s="12" t="s">
        <v>1410</v>
      </c>
      <c r="Q343" s="57" t="str">
        <f>_xlfn.XLOOKUP(PSPOINTS[[#This Row],[PayScaleCode]],'19_PayScales'!N:N,'19_PayScales'!O:O)</f>
        <v>NJC Inner</v>
      </c>
      <c r="R343" s="12">
        <v>55</v>
      </c>
      <c r="S343" s="12">
        <v>55</v>
      </c>
      <c r="T343" s="12">
        <v>55</v>
      </c>
      <c r="U343" s="12" t="b">
        <v>0</v>
      </c>
      <c r="V343" s="15" t="b">
        <v>1</v>
      </c>
      <c r="W343" s="164">
        <v>45748</v>
      </c>
      <c r="X343" s="140"/>
      <c r="Y343" s="163">
        <v>72075</v>
      </c>
    </row>
    <row r="344" spans="1:25" hidden="1" x14ac:dyDescent="0.25">
      <c r="A344" s="158" t="str">
        <f>PSPOINTS[[#This Row],[PayScaleCode]]&amp;PSPOINTS[[#This Row],[RateDateFrom]]</f>
        <v>NJC_INN45748</v>
      </c>
      <c r="B344" s="57">
        <f t="shared" si="5"/>
        <v>0</v>
      </c>
      <c r="C344" s="57" t="str">
        <f>PSPOINTS[[#This Row],[PayScaleCode]]&amp;PSPOINTS[[#This Row],[PayScalePointCode]]&amp;PSPOINTS[[#This Row],[RateDateFrom]]</f>
        <v>NJC_INN5645748</v>
      </c>
      <c r="D344" s="57">
        <f>COUNTIF(PSPOINTS[Pay Scale String Duplicates],PSPOINTS[[#This Row],[Pay Scale String Duplicates]])-1</f>
        <v>0</v>
      </c>
      <c r="E344" s="57">
        <f>IF((MONTH(_xlfn.XLOOKUP(PSPOINTS[[#This Row],[PayScaleCode]],'19_PayScales'!N:N,'19_PayScales'!R:R)))=MONTH(PSPOINTS[[#This Row],[RateDateFrom]]),0,1)</f>
        <v>0</v>
      </c>
      <c r="F344" s="57">
        <f>IF(ISBLANK(PSPOINTS[[#This Row],[RateDateTo]]),0,IF(PSPOINTS[[#This Row],[RateDateFrom]]&lt;PSPOINTS[[#This Row],[RateDateTo]],0,1))</f>
        <v>0</v>
      </c>
      <c r="G344" s="57" cm="1">
        <f t="array" aca="1" ref="G344" ca="1">IF(CELL("format",PSPOINTS[[#This Row],[RateDateFrom]])="D1",0,1)+IF(CELL("format",PSPOINTS[[#This Row],[RateDateTo]])="D1",0,1)</f>
        <v>0</v>
      </c>
      <c r="H344" s="57">
        <f>IF(OR(PSPOINTS[[#This Row],[Hourly]]=TRUE,PSPOINTS[[#This Row],[Hourly]]=FALSE),IF(OR(PSPOINTS[[#This Row],[PayScalePointEnabled]]=TRUE,PSPOINTS[[#This Row],[PayScalePointEnabled]]=FALSE),0,1),1)</f>
        <v>0</v>
      </c>
      <c r="I344" s="57">
        <f>IF(LEN(PSPOINTS[[#This Row],[PayScalePointCode]])&lt;100,0,1)</f>
        <v>0</v>
      </c>
      <c r="J344" s="57">
        <f>IF(LEN(PSPOINTS[[#This Row],[PayScalePointTitle]])&lt;100,0,1)</f>
        <v>0</v>
      </c>
      <c r="K344" s="57">
        <f>(COUNTBLANK(PSPOINTS[[#This Row],[PayScalePointCode]:[RateDateFrom]])+COUNTBLANK(PSPOINTS[[#This Row],[PayScaleRate]]))</f>
        <v>0</v>
      </c>
      <c r="L344" s="120">
        <f>IF(SUBSTITUTE(TEXT(PSPOINTS[[#This Row],[PayScaleCode]],10)," ","")=TEXT(PSPOINTS[[#This Row],[PayScaleCode]],10),0,1)+IF(SUBSTITUTE(TEXT(PSPOINTS[[#This Row],[PayScalePointCode]],10)," ","")=TEXT(PSPOINTS[[#This Row],[PayScalePointCode]],10),0,1)</f>
        <v>0</v>
      </c>
      <c r="M344" s="57">
        <f ca="1">SUM(PSPOINTS[[#This Row],[Scale Point Issue]:[Space in Code]])</f>
        <v>0</v>
      </c>
      <c r="N344" s="57" t="s">
        <v>1401</v>
      </c>
      <c r="P344" s="12" t="s">
        <v>1410</v>
      </c>
      <c r="Q344" s="57" t="str">
        <f>_xlfn.XLOOKUP(PSPOINTS[[#This Row],[PayScaleCode]],'19_PayScales'!N:N,'19_PayScales'!O:O)</f>
        <v>NJC Inner</v>
      </c>
      <c r="R344" s="12">
        <v>56</v>
      </c>
      <c r="S344" s="12">
        <v>56</v>
      </c>
      <c r="T344" s="12">
        <v>56</v>
      </c>
      <c r="U344" s="12" t="b">
        <v>0</v>
      </c>
      <c r="V344" s="15" t="b">
        <v>1</v>
      </c>
      <c r="W344" s="164">
        <v>45748</v>
      </c>
      <c r="X344" s="140"/>
      <c r="Y344" s="163">
        <v>73266</v>
      </c>
    </row>
    <row r="345" spans="1:25" hidden="1" x14ac:dyDescent="0.25">
      <c r="A345" s="158" t="str">
        <f>PSPOINTS[[#This Row],[PayScaleCode]]&amp;PSPOINTS[[#This Row],[RateDateFrom]]</f>
        <v>NJC_INN45748</v>
      </c>
      <c r="B345" s="57">
        <f t="shared" si="5"/>
        <v>0</v>
      </c>
      <c r="C345" s="57" t="str">
        <f>PSPOINTS[[#This Row],[PayScaleCode]]&amp;PSPOINTS[[#This Row],[PayScalePointCode]]&amp;PSPOINTS[[#This Row],[RateDateFrom]]</f>
        <v>NJC_INN5745748</v>
      </c>
      <c r="D345" s="57">
        <f>COUNTIF(PSPOINTS[Pay Scale String Duplicates],PSPOINTS[[#This Row],[Pay Scale String Duplicates]])-1</f>
        <v>0</v>
      </c>
      <c r="E345" s="57">
        <f>IF((MONTH(_xlfn.XLOOKUP(PSPOINTS[[#This Row],[PayScaleCode]],'19_PayScales'!N:N,'19_PayScales'!R:R)))=MONTH(PSPOINTS[[#This Row],[RateDateFrom]]),0,1)</f>
        <v>0</v>
      </c>
      <c r="F345" s="57">
        <f>IF(ISBLANK(PSPOINTS[[#This Row],[RateDateTo]]),0,IF(PSPOINTS[[#This Row],[RateDateFrom]]&lt;PSPOINTS[[#This Row],[RateDateTo]],0,1))</f>
        <v>0</v>
      </c>
      <c r="G345" s="57" cm="1">
        <f t="array" aca="1" ref="G345" ca="1">IF(CELL("format",PSPOINTS[[#This Row],[RateDateFrom]])="D1",0,1)+IF(CELL("format",PSPOINTS[[#This Row],[RateDateTo]])="D1",0,1)</f>
        <v>0</v>
      </c>
      <c r="H345" s="57">
        <f>IF(OR(PSPOINTS[[#This Row],[Hourly]]=TRUE,PSPOINTS[[#This Row],[Hourly]]=FALSE),IF(OR(PSPOINTS[[#This Row],[PayScalePointEnabled]]=TRUE,PSPOINTS[[#This Row],[PayScalePointEnabled]]=FALSE),0,1),1)</f>
        <v>0</v>
      </c>
      <c r="I345" s="57">
        <f>IF(LEN(PSPOINTS[[#This Row],[PayScalePointCode]])&lt;100,0,1)</f>
        <v>0</v>
      </c>
      <c r="J345" s="57">
        <f>IF(LEN(PSPOINTS[[#This Row],[PayScalePointTitle]])&lt;100,0,1)</f>
        <v>0</v>
      </c>
      <c r="K345" s="57">
        <f>(COUNTBLANK(PSPOINTS[[#This Row],[PayScalePointCode]:[RateDateFrom]])+COUNTBLANK(PSPOINTS[[#This Row],[PayScaleRate]]))</f>
        <v>0</v>
      </c>
      <c r="L345" s="120">
        <f>IF(SUBSTITUTE(TEXT(PSPOINTS[[#This Row],[PayScaleCode]],10)," ","")=TEXT(PSPOINTS[[#This Row],[PayScaleCode]],10),0,1)+IF(SUBSTITUTE(TEXT(PSPOINTS[[#This Row],[PayScalePointCode]],10)," ","")=TEXT(PSPOINTS[[#This Row],[PayScalePointCode]],10),0,1)</f>
        <v>0</v>
      </c>
      <c r="M345" s="57">
        <f ca="1">SUM(PSPOINTS[[#This Row],[Scale Point Issue]:[Space in Code]])</f>
        <v>0</v>
      </c>
      <c r="N345" s="57" t="s">
        <v>1401</v>
      </c>
      <c r="P345" s="12" t="s">
        <v>1410</v>
      </c>
      <c r="Q345" s="57" t="str">
        <f>_xlfn.XLOOKUP(PSPOINTS[[#This Row],[PayScaleCode]],'19_PayScales'!N:N,'19_PayScales'!O:O)</f>
        <v>NJC Inner</v>
      </c>
      <c r="R345" s="12">
        <v>57</v>
      </c>
      <c r="S345" s="12">
        <v>57</v>
      </c>
      <c r="T345" s="12">
        <v>57</v>
      </c>
      <c r="U345" s="12" t="b">
        <v>0</v>
      </c>
      <c r="V345" s="15" t="b">
        <v>1</v>
      </c>
      <c r="W345" s="164">
        <v>45748</v>
      </c>
      <c r="X345" s="140"/>
      <c r="Y345" s="163">
        <v>74472</v>
      </c>
    </row>
    <row r="346" spans="1:25" hidden="1" x14ac:dyDescent="0.25">
      <c r="A346" s="158" t="str">
        <f>PSPOINTS[[#This Row],[PayScaleCode]]&amp;PSPOINTS[[#This Row],[RateDateFrom]]</f>
        <v>NJC_INN45748</v>
      </c>
      <c r="B346" s="57">
        <f t="shared" si="5"/>
        <v>0</v>
      </c>
      <c r="C346" s="57" t="str">
        <f>PSPOINTS[[#This Row],[PayScaleCode]]&amp;PSPOINTS[[#This Row],[PayScalePointCode]]&amp;PSPOINTS[[#This Row],[RateDateFrom]]</f>
        <v>NJC_INN5845748</v>
      </c>
      <c r="D346" s="57">
        <f>COUNTIF(PSPOINTS[Pay Scale String Duplicates],PSPOINTS[[#This Row],[Pay Scale String Duplicates]])-1</f>
        <v>0</v>
      </c>
      <c r="E346" s="57">
        <f>IF((MONTH(_xlfn.XLOOKUP(PSPOINTS[[#This Row],[PayScaleCode]],'19_PayScales'!N:N,'19_PayScales'!R:R)))=MONTH(PSPOINTS[[#This Row],[RateDateFrom]]),0,1)</f>
        <v>0</v>
      </c>
      <c r="F346" s="57">
        <f>IF(ISBLANK(PSPOINTS[[#This Row],[RateDateTo]]),0,IF(PSPOINTS[[#This Row],[RateDateFrom]]&lt;PSPOINTS[[#This Row],[RateDateTo]],0,1))</f>
        <v>0</v>
      </c>
      <c r="G346" s="57" cm="1">
        <f t="array" aca="1" ref="G346" ca="1">IF(CELL("format",PSPOINTS[[#This Row],[RateDateFrom]])="D1",0,1)+IF(CELL("format",PSPOINTS[[#This Row],[RateDateTo]])="D1",0,1)</f>
        <v>0</v>
      </c>
      <c r="H346" s="57">
        <f>IF(OR(PSPOINTS[[#This Row],[Hourly]]=TRUE,PSPOINTS[[#This Row],[Hourly]]=FALSE),IF(OR(PSPOINTS[[#This Row],[PayScalePointEnabled]]=TRUE,PSPOINTS[[#This Row],[PayScalePointEnabled]]=FALSE),0,1),1)</f>
        <v>0</v>
      </c>
      <c r="I346" s="57">
        <f>IF(LEN(PSPOINTS[[#This Row],[PayScalePointCode]])&lt;100,0,1)</f>
        <v>0</v>
      </c>
      <c r="J346" s="57">
        <f>IF(LEN(PSPOINTS[[#This Row],[PayScalePointTitle]])&lt;100,0,1)</f>
        <v>0</v>
      </c>
      <c r="K346" s="57">
        <f>(COUNTBLANK(PSPOINTS[[#This Row],[PayScalePointCode]:[RateDateFrom]])+COUNTBLANK(PSPOINTS[[#This Row],[PayScaleRate]]))</f>
        <v>0</v>
      </c>
      <c r="L346" s="120">
        <f>IF(SUBSTITUTE(TEXT(PSPOINTS[[#This Row],[PayScaleCode]],10)," ","")=TEXT(PSPOINTS[[#This Row],[PayScaleCode]],10),0,1)+IF(SUBSTITUTE(TEXT(PSPOINTS[[#This Row],[PayScalePointCode]],10)," ","")=TEXT(PSPOINTS[[#This Row],[PayScalePointCode]],10),0,1)</f>
        <v>0</v>
      </c>
      <c r="M346" s="57">
        <f ca="1">SUM(PSPOINTS[[#This Row],[Scale Point Issue]:[Space in Code]])</f>
        <v>0</v>
      </c>
      <c r="N346" s="57" t="s">
        <v>1401</v>
      </c>
      <c r="P346" s="12" t="s">
        <v>1410</v>
      </c>
      <c r="Q346" s="57" t="str">
        <f>_xlfn.XLOOKUP(PSPOINTS[[#This Row],[PayScaleCode]],'19_PayScales'!N:N,'19_PayScales'!O:O)</f>
        <v>NJC Inner</v>
      </c>
      <c r="R346" s="12">
        <v>58</v>
      </c>
      <c r="S346" s="12">
        <v>58</v>
      </c>
      <c r="T346" s="12">
        <v>58</v>
      </c>
      <c r="U346" s="12" t="b">
        <v>0</v>
      </c>
      <c r="V346" s="15" t="b">
        <v>1</v>
      </c>
      <c r="W346" s="164">
        <v>45748</v>
      </c>
      <c r="X346" s="140"/>
      <c r="Y346" s="163">
        <v>75696</v>
      </c>
    </row>
    <row r="347" spans="1:25" hidden="1" x14ac:dyDescent="0.25">
      <c r="A347" s="158" t="str">
        <f>PSPOINTS[[#This Row],[PayScaleCode]]&amp;PSPOINTS[[#This Row],[RateDateFrom]]</f>
        <v>NJC_INN45748</v>
      </c>
      <c r="B347" s="57">
        <f t="shared" si="5"/>
        <v>0</v>
      </c>
      <c r="C347" s="57" t="str">
        <f>PSPOINTS[[#This Row],[PayScaleCode]]&amp;PSPOINTS[[#This Row],[PayScalePointCode]]&amp;PSPOINTS[[#This Row],[RateDateFrom]]</f>
        <v>NJC_INN5945748</v>
      </c>
      <c r="D347" s="57">
        <f>COUNTIF(PSPOINTS[Pay Scale String Duplicates],PSPOINTS[[#This Row],[Pay Scale String Duplicates]])-1</f>
        <v>0</v>
      </c>
      <c r="E347" s="57">
        <f>IF((MONTH(_xlfn.XLOOKUP(PSPOINTS[[#This Row],[PayScaleCode]],'19_PayScales'!N:N,'19_PayScales'!R:R)))=MONTH(PSPOINTS[[#This Row],[RateDateFrom]]),0,1)</f>
        <v>0</v>
      </c>
      <c r="F347" s="57">
        <f>IF(ISBLANK(PSPOINTS[[#This Row],[RateDateTo]]),0,IF(PSPOINTS[[#This Row],[RateDateFrom]]&lt;PSPOINTS[[#This Row],[RateDateTo]],0,1))</f>
        <v>0</v>
      </c>
      <c r="G347" s="57" cm="1">
        <f t="array" aca="1" ref="G347" ca="1">IF(CELL("format",PSPOINTS[[#This Row],[RateDateFrom]])="D1",0,1)+IF(CELL("format",PSPOINTS[[#This Row],[RateDateTo]])="D1",0,1)</f>
        <v>0</v>
      </c>
      <c r="H347" s="57">
        <f>IF(OR(PSPOINTS[[#This Row],[Hourly]]=TRUE,PSPOINTS[[#This Row],[Hourly]]=FALSE),IF(OR(PSPOINTS[[#This Row],[PayScalePointEnabled]]=TRUE,PSPOINTS[[#This Row],[PayScalePointEnabled]]=FALSE),0,1),1)</f>
        <v>0</v>
      </c>
      <c r="I347" s="57">
        <f>IF(LEN(PSPOINTS[[#This Row],[PayScalePointCode]])&lt;100,0,1)</f>
        <v>0</v>
      </c>
      <c r="J347" s="57">
        <f>IF(LEN(PSPOINTS[[#This Row],[PayScalePointTitle]])&lt;100,0,1)</f>
        <v>0</v>
      </c>
      <c r="K347" s="57">
        <f>(COUNTBLANK(PSPOINTS[[#This Row],[PayScalePointCode]:[RateDateFrom]])+COUNTBLANK(PSPOINTS[[#This Row],[PayScaleRate]]))</f>
        <v>0</v>
      </c>
      <c r="L347" s="120">
        <f>IF(SUBSTITUTE(TEXT(PSPOINTS[[#This Row],[PayScaleCode]],10)," ","")=TEXT(PSPOINTS[[#This Row],[PayScaleCode]],10),0,1)+IF(SUBSTITUTE(TEXT(PSPOINTS[[#This Row],[PayScalePointCode]],10)," ","")=TEXT(PSPOINTS[[#This Row],[PayScalePointCode]],10),0,1)</f>
        <v>0</v>
      </c>
      <c r="M347" s="57">
        <f ca="1">SUM(PSPOINTS[[#This Row],[Scale Point Issue]:[Space in Code]])</f>
        <v>0</v>
      </c>
      <c r="N347" s="57" t="s">
        <v>1401</v>
      </c>
      <c r="P347" s="12" t="s">
        <v>1410</v>
      </c>
      <c r="Q347" s="57" t="str">
        <f>_xlfn.XLOOKUP(PSPOINTS[[#This Row],[PayScaleCode]],'19_PayScales'!N:N,'19_PayScales'!O:O)</f>
        <v>NJC Inner</v>
      </c>
      <c r="R347" s="12">
        <v>59</v>
      </c>
      <c r="S347" s="12">
        <v>59</v>
      </c>
      <c r="T347" s="12">
        <v>59</v>
      </c>
      <c r="U347" s="12" t="b">
        <v>0</v>
      </c>
      <c r="V347" s="15" t="b">
        <v>1</v>
      </c>
      <c r="W347" s="164">
        <v>45748</v>
      </c>
      <c r="X347" s="140"/>
      <c r="Y347" s="163">
        <v>76872</v>
      </c>
    </row>
    <row r="348" spans="1:25" hidden="1" x14ac:dyDescent="0.25">
      <c r="A348" s="158" t="str">
        <f>PSPOINTS[[#This Row],[PayScaleCode]]&amp;PSPOINTS[[#This Row],[RateDateFrom]]</f>
        <v>NJC_INN45748</v>
      </c>
      <c r="B348" s="57">
        <f t="shared" si="5"/>
        <v>0</v>
      </c>
      <c r="C348" s="57" t="str">
        <f>PSPOINTS[[#This Row],[PayScaleCode]]&amp;PSPOINTS[[#This Row],[PayScalePointCode]]&amp;PSPOINTS[[#This Row],[RateDateFrom]]</f>
        <v>NJC_INN6045748</v>
      </c>
      <c r="D348" s="57">
        <f>COUNTIF(PSPOINTS[Pay Scale String Duplicates],PSPOINTS[[#This Row],[Pay Scale String Duplicates]])-1</f>
        <v>0</v>
      </c>
      <c r="E348" s="57">
        <f>IF((MONTH(_xlfn.XLOOKUP(PSPOINTS[[#This Row],[PayScaleCode]],'19_PayScales'!N:N,'19_PayScales'!R:R)))=MONTH(PSPOINTS[[#This Row],[RateDateFrom]]),0,1)</f>
        <v>0</v>
      </c>
      <c r="F348" s="57">
        <f>IF(ISBLANK(PSPOINTS[[#This Row],[RateDateTo]]),0,IF(PSPOINTS[[#This Row],[RateDateFrom]]&lt;PSPOINTS[[#This Row],[RateDateTo]],0,1))</f>
        <v>0</v>
      </c>
      <c r="G348" s="57" cm="1">
        <f t="array" aca="1" ref="G348" ca="1">IF(CELL("format",PSPOINTS[[#This Row],[RateDateFrom]])="D1",0,1)+IF(CELL("format",PSPOINTS[[#This Row],[RateDateTo]])="D1",0,1)</f>
        <v>0</v>
      </c>
      <c r="H348" s="57">
        <f>IF(OR(PSPOINTS[[#This Row],[Hourly]]=TRUE,PSPOINTS[[#This Row],[Hourly]]=FALSE),IF(OR(PSPOINTS[[#This Row],[PayScalePointEnabled]]=TRUE,PSPOINTS[[#This Row],[PayScalePointEnabled]]=FALSE),0,1),1)</f>
        <v>0</v>
      </c>
      <c r="I348" s="57">
        <f>IF(LEN(PSPOINTS[[#This Row],[PayScalePointCode]])&lt;100,0,1)</f>
        <v>0</v>
      </c>
      <c r="J348" s="57">
        <f>IF(LEN(PSPOINTS[[#This Row],[PayScalePointTitle]])&lt;100,0,1)</f>
        <v>0</v>
      </c>
      <c r="K348" s="57">
        <f>(COUNTBLANK(PSPOINTS[[#This Row],[PayScalePointCode]:[RateDateFrom]])+COUNTBLANK(PSPOINTS[[#This Row],[PayScaleRate]]))</f>
        <v>0</v>
      </c>
      <c r="L348" s="120">
        <f>IF(SUBSTITUTE(TEXT(PSPOINTS[[#This Row],[PayScaleCode]],10)," ","")=TEXT(PSPOINTS[[#This Row],[PayScaleCode]],10),0,1)+IF(SUBSTITUTE(TEXT(PSPOINTS[[#This Row],[PayScalePointCode]],10)," ","")=TEXT(PSPOINTS[[#This Row],[PayScalePointCode]],10),0,1)</f>
        <v>0</v>
      </c>
      <c r="M348" s="57">
        <f ca="1">SUM(PSPOINTS[[#This Row],[Scale Point Issue]:[Space in Code]])</f>
        <v>0</v>
      </c>
      <c r="N348" s="57" t="s">
        <v>1401</v>
      </c>
      <c r="P348" s="12" t="s">
        <v>1410</v>
      </c>
      <c r="Q348" s="57" t="str">
        <f>_xlfn.XLOOKUP(PSPOINTS[[#This Row],[PayScaleCode]],'19_PayScales'!N:N,'19_PayScales'!O:O)</f>
        <v>NJC Inner</v>
      </c>
      <c r="R348" s="12">
        <v>60</v>
      </c>
      <c r="S348" s="12">
        <v>60</v>
      </c>
      <c r="T348" s="12">
        <v>60</v>
      </c>
      <c r="U348" s="12" t="b">
        <v>0</v>
      </c>
      <c r="V348" s="15" t="b">
        <v>1</v>
      </c>
      <c r="W348" s="164">
        <v>45748</v>
      </c>
      <c r="X348" s="140"/>
      <c r="Y348" s="163">
        <v>78090</v>
      </c>
    </row>
    <row r="349" spans="1:25" hidden="1" x14ac:dyDescent="0.25">
      <c r="A349" s="158" t="str">
        <f>PSPOINTS[[#This Row],[PayScaleCode]]&amp;PSPOINTS[[#This Row],[RateDateFrom]]</f>
        <v>NJC_INN45748</v>
      </c>
      <c r="B349" s="57">
        <f t="shared" si="5"/>
        <v>0</v>
      </c>
      <c r="C349" s="57" t="str">
        <f>PSPOINTS[[#This Row],[PayScaleCode]]&amp;PSPOINTS[[#This Row],[PayScalePointCode]]&amp;PSPOINTS[[#This Row],[RateDateFrom]]</f>
        <v>NJC_INN6145748</v>
      </c>
      <c r="D349" s="57">
        <f>COUNTIF(PSPOINTS[Pay Scale String Duplicates],PSPOINTS[[#This Row],[Pay Scale String Duplicates]])-1</f>
        <v>0</v>
      </c>
      <c r="E349" s="57">
        <f>IF((MONTH(_xlfn.XLOOKUP(PSPOINTS[[#This Row],[PayScaleCode]],'19_PayScales'!N:N,'19_PayScales'!R:R)))=MONTH(PSPOINTS[[#This Row],[RateDateFrom]]),0,1)</f>
        <v>0</v>
      </c>
      <c r="F349" s="57">
        <f>IF(ISBLANK(PSPOINTS[[#This Row],[RateDateTo]]),0,IF(PSPOINTS[[#This Row],[RateDateFrom]]&lt;PSPOINTS[[#This Row],[RateDateTo]],0,1))</f>
        <v>0</v>
      </c>
      <c r="G349" s="57" cm="1">
        <f t="array" aca="1" ref="G349" ca="1">IF(CELL("format",PSPOINTS[[#This Row],[RateDateFrom]])="D1",0,1)+IF(CELL("format",PSPOINTS[[#This Row],[RateDateTo]])="D1",0,1)</f>
        <v>0</v>
      </c>
      <c r="H349" s="57">
        <f>IF(OR(PSPOINTS[[#This Row],[Hourly]]=TRUE,PSPOINTS[[#This Row],[Hourly]]=FALSE),IF(OR(PSPOINTS[[#This Row],[PayScalePointEnabled]]=TRUE,PSPOINTS[[#This Row],[PayScalePointEnabled]]=FALSE),0,1),1)</f>
        <v>0</v>
      </c>
      <c r="I349" s="57">
        <f>IF(LEN(PSPOINTS[[#This Row],[PayScalePointCode]])&lt;100,0,1)</f>
        <v>0</v>
      </c>
      <c r="J349" s="57">
        <f>IF(LEN(PSPOINTS[[#This Row],[PayScalePointTitle]])&lt;100,0,1)</f>
        <v>0</v>
      </c>
      <c r="K349" s="57">
        <f>(COUNTBLANK(PSPOINTS[[#This Row],[PayScalePointCode]:[RateDateFrom]])+COUNTBLANK(PSPOINTS[[#This Row],[PayScaleRate]]))</f>
        <v>0</v>
      </c>
      <c r="L349" s="120">
        <f>IF(SUBSTITUTE(TEXT(PSPOINTS[[#This Row],[PayScaleCode]],10)," ","")=TEXT(PSPOINTS[[#This Row],[PayScaleCode]],10),0,1)+IF(SUBSTITUTE(TEXT(PSPOINTS[[#This Row],[PayScalePointCode]],10)," ","")=TEXT(PSPOINTS[[#This Row],[PayScalePointCode]],10),0,1)</f>
        <v>0</v>
      </c>
      <c r="M349" s="57">
        <f ca="1">SUM(PSPOINTS[[#This Row],[Scale Point Issue]:[Space in Code]])</f>
        <v>0</v>
      </c>
      <c r="N349" s="57" t="s">
        <v>1401</v>
      </c>
      <c r="P349" s="12" t="s">
        <v>1410</v>
      </c>
      <c r="Q349" s="57" t="str">
        <f>_xlfn.XLOOKUP(PSPOINTS[[#This Row],[PayScaleCode]],'19_PayScales'!N:N,'19_PayScales'!O:O)</f>
        <v>NJC Inner</v>
      </c>
      <c r="R349" s="12">
        <v>61</v>
      </c>
      <c r="S349" s="12">
        <v>61</v>
      </c>
      <c r="T349" s="12">
        <v>61</v>
      </c>
      <c r="U349" s="12" t="b">
        <v>0</v>
      </c>
      <c r="V349" s="15" t="b">
        <v>1</v>
      </c>
      <c r="W349" s="164">
        <v>45748</v>
      </c>
      <c r="X349" s="140"/>
      <c r="Y349" s="163">
        <v>79629</v>
      </c>
    </row>
    <row r="350" spans="1:25" hidden="1" x14ac:dyDescent="0.25">
      <c r="A350" s="158" t="str">
        <f>PSPOINTS[[#This Row],[PayScaleCode]]&amp;PSPOINTS[[#This Row],[RateDateFrom]]</f>
        <v>NJC_INN45748</v>
      </c>
      <c r="B350" s="57">
        <f t="shared" si="5"/>
        <v>0</v>
      </c>
      <c r="C350" s="57" t="str">
        <f>PSPOINTS[[#This Row],[PayScaleCode]]&amp;PSPOINTS[[#This Row],[PayScalePointCode]]&amp;PSPOINTS[[#This Row],[RateDateFrom]]</f>
        <v>NJC_INN6245748</v>
      </c>
      <c r="D350" s="57">
        <f>COUNTIF(PSPOINTS[Pay Scale String Duplicates],PSPOINTS[[#This Row],[Pay Scale String Duplicates]])-1</f>
        <v>0</v>
      </c>
      <c r="E350" s="57">
        <f>IF((MONTH(_xlfn.XLOOKUP(PSPOINTS[[#This Row],[PayScaleCode]],'19_PayScales'!N:N,'19_PayScales'!R:R)))=MONTH(PSPOINTS[[#This Row],[RateDateFrom]]),0,1)</f>
        <v>0</v>
      </c>
      <c r="F350" s="57">
        <f>IF(ISBLANK(PSPOINTS[[#This Row],[RateDateTo]]),0,IF(PSPOINTS[[#This Row],[RateDateFrom]]&lt;PSPOINTS[[#This Row],[RateDateTo]],0,1))</f>
        <v>0</v>
      </c>
      <c r="G350" s="57" cm="1">
        <f t="array" aca="1" ref="G350" ca="1">IF(CELL("format",PSPOINTS[[#This Row],[RateDateFrom]])="D1",0,1)+IF(CELL("format",PSPOINTS[[#This Row],[RateDateTo]])="D1",0,1)</f>
        <v>0</v>
      </c>
      <c r="H350" s="57">
        <f>IF(OR(PSPOINTS[[#This Row],[Hourly]]=TRUE,PSPOINTS[[#This Row],[Hourly]]=FALSE),IF(OR(PSPOINTS[[#This Row],[PayScalePointEnabled]]=TRUE,PSPOINTS[[#This Row],[PayScalePointEnabled]]=FALSE),0,1),1)</f>
        <v>0</v>
      </c>
      <c r="I350" s="57">
        <f>IF(LEN(PSPOINTS[[#This Row],[PayScalePointCode]])&lt;100,0,1)</f>
        <v>0</v>
      </c>
      <c r="J350" s="57">
        <f>IF(LEN(PSPOINTS[[#This Row],[PayScalePointTitle]])&lt;100,0,1)</f>
        <v>0</v>
      </c>
      <c r="K350" s="57">
        <f>(COUNTBLANK(PSPOINTS[[#This Row],[PayScalePointCode]:[RateDateFrom]])+COUNTBLANK(PSPOINTS[[#This Row],[PayScaleRate]]))</f>
        <v>0</v>
      </c>
      <c r="L350" s="120">
        <f>IF(SUBSTITUTE(TEXT(PSPOINTS[[#This Row],[PayScaleCode]],10)," ","")=TEXT(PSPOINTS[[#This Row],[PayScaleCode]],10),0,1)+IF(SUBSTITUTE(TEXT(PSPOINTS[[#This Row],[PayScalePointCode]],10)," ","")=TEXT(PSPOINTS[[#This Row],[PayScalePointCode]],10),0,1)</f>
        <v>0</v>
      </c>
      <c r="M350" s="57">
        <f ca="1">SUM(PSPOINTS[[#This Row],[Scale Point Issue]:[Space in Code]])</f>
        <v>0</v>
      </c>
      <c r="N350" s="57" t="s">
        <v>1401</v>
      </c>
      <c r="P350" s="12" t="s">
        <v>1410</v>
      </c>
      <c r="Q350" s="57" t="str">
        <f>_xlfn.XLOOKUP(PSPOINTS[[#This Row],[PayScaleCode]],'19_PayScales'!N:N,'19_PayScales'!O:O)</f>
        <v>NJC Inner</v>
      </c>
      <c r="R350" s="12">
        <v>62</v>
      </c>
      <c r="S350" s="12">
        <v>62</v>
      </c>
      <c r="T350" s="12">
        <v>62</v>
      </c>
      <c r="U350" s="12" t="b">
        <v>0</v>
      </c>
      <c r="V350" s="15" t="b">
        <v>1</v>
      </c>
      <c r="W350" s="164">
        <v>45748</v>
      </c>
      <c r="X350" s="140"/>
      <c r="Y350" s="163">
        <v>81207</v>
      </c>
    </row>
    <row r="351" spans="1:25" hidden="1" x14ac:dyDescent="0.25">
      <c r="A351" s="158" t="str">
        <f>PSPOINTS[[#This Row],[PayScaleCode]]&amp;PSPOINTS[[#This Row],[RateDateFrom]]</f>
        <v>NJC_INN45748</v>
      </c>
      <c r="B351" s="57">
        <f t="shared" si="5"/>
        <v>0</v>
      </c>
      <c r="C351" s="57" t="str">
        <f>PSPOINTS[[#This Row],[PayScaleCode]]&amp;PSPOINTS[[#This Row],[PayScalePointCode]]&amp;PSPOINTS[[#This Row],[RateDateFrom]]</f>
        <v>NJC_INN6345748</v>
      </c>
      <c r="D351" s="57">
        <f>COUNTIF(PSPOINTS[Pay Scale String Duplicates],PSPOINTS[[#This Row],[Pay Scale String Duplicates]])-1</f>
        <v>0</v>
      </c>
      <c r="E351" s="57">
        <f>IF((MONTH(_xlfn.XLOOKUP(PSPOINTS[[#This Row],[PayScaleCode]],'19_PayScales'!N:N,'19_PayScales'!R:R)))=MONTH(PSPOINTS[[#This Row],[RateDateFrom]]),0,1)</f>
        <v>0</v>
      </c>
      <c r="F351" s="57">
        <f>IF(ISBLANK(PSPOINTS[[#This Row],[RateDateTo]]),0,IF(PSPOINTS[[#This Row],[RateDateFrom]]&lt;PSPOINTS[[#This Row],[RateDateTo]],0,1))</f>
        <v>0</v>
      </c>
      <c r="G351" s="57" cm="1">
        <f t="array" aca="1" ref="G351" ca="1">IF(CELL("format",PSPOINTS[[#This Row],[RateDateFrom]])="D1",0,1)+IF(CELL("format",PSPOINTS[[#This Row],[RateDateTo]])="D1",0,1)</f>
        <v>0</v>
      </c>
      <c r="H351" s="57">
        <f>IF(OR(PSPOINTS[[#This Row],[Hourly]]=TRUE,PSPOINTS[[#This Row],[Hourly]]=FALSE),IF(OR(PSPOINTS[[#This Row],[PayScalePointEnabled]]=TRUE,PSPOINTS[[#This Row],[PayScalePointEnabled]]=FALSE),0,1),1)</f>
        <v>0</v>
      </c>
      <c r="I351" s="57">
        <f>IF(LEN(PSPOINTS[[#This Row],[PayScalePointCode]])&lt;100,0,1)</f>
        <v>0</v>
      </c>
      <c r="J351" s="57">
        <f>IF(LEN(PSPOINTS[[#This Row],[PayScalePointTitle]])&lt;100,0,1)</f>
        <v>0</v>
      </c>
      <c r="K351" s="57">
        <f>(COUNTBLANK(PSPOINTS[[#This Row],[PayScalePointCode]:[RateDateFrom]])+COUNTBLANK(PSPOINTS[[#This Row],[PayScaleRate]]))</f>
        <v>0</v>
      </c>
      <c r="L351" s="120">
        <f>IF(SUBSTITUTE(TEXT(PSPOINTS[[#This Row],[PayScaleCode]],10)," ","")=TEXT(PSPOINTS[[#This Row],[PayScaleCode]],10),0,1)+IF(SUBSTITUTE(TEXT(PSPOINTS[[#This Row],[PayScalePointCode]],10)," ","")=TEXT(PSPOINTS[[#This Row],[PayScalePointCode]],10),0,1)</f>
        <v>0</v>
      </c>
      <c r="M351" s="57">
        <f ca="1">SUM(PSPOINTS[[#This Row],[Scale Point Issue]:[Space in Code]])</f>
        <v>0</v>
      </c>
      <c r="N351" s="57" t="s">
        <v>1401</v>
      </c>
      <c r="P351" s="12" t="s">
        <v>1410</v>
      </c>
      <c r="Q351" s="57" t="str">
        <f>_xlfn.XLOOKUP(PSPOINTS[[#This Row],[PayScaleCode]],'19_PayScales'!N:N,'19_PayScales'!O:O)</f>
        <v>NJC Inner</v>
      </c>
      <c r="R351" s="12">
        <v>63</v>
      </c>
      <c r="S351" s="12">
        <v>63</v>
      </c>
      <c r="T351" s="12">
        <v>63</v>
      </c>
      <c r="U351" s="12" t="b">
        <v>0</v>
      </c>
      <c r="V351" s="15" t="b">
        <v>1</v>
      </c>
      <c r="W351" s="164">
        <v>45748</v>
      </c>
      <c r="X351" s="140"/>
      <c r="Y351" s="163">
        <v>82797</v>
      </c>
    </row>
    <row r="352" spans="1:25" hidden="1" x14ac:dyDescent="0.25">
      <c r="A352" s="158" t="str">
        <f>PSPOINTS[[#This Row],[PayScaleCode]]&amp;PSPOINTS[[#This Row],[RateDateFrom]]</f>
        <v>NJC_INN45748</v>
      </c>
      <c r="B352" s="57">
        <f t="shared" si="5"/>
        <v>0</v>
      </c>
      <c r="C352" s="57" t="str">
        <f>PSPOINTS[[#This Row],[PayScaleCode]]&amp;PSPOINTS[[#This Row],[PayScalePointCode]]&amp;PSPOINTS[[#This Row],[RateDateFrom]]</f>
        <v>NJC_INN6445748</v>
      </c>
      <c r="D352" s="57">
        <f>COUNTIF(PSPOINTS[Pay Scale String Duplicates],PSPOINTS[[#This Row],[Pay Scale String Duplicates]])-1</f>
        <v>0</v>
      </c>
      <c r="E352" s="57">
        <f>IF((MONTH(_xlfn.XLOOKUP(PSPOINTS[[#This Row],[PayScaleCode]],'19_PayScales'!N:N,'19_PayScales'!R:R)))=MONTH(PSPOINTS[[#This Row],[RateDateFrom]]),0,1)</f>
        <v>0</v>
      </c>
      <c r="F352" s="57">
        <f>IF(ISBLANK(PSPOINTS[[#This Row],[RateDateTo]]),0,IF(PSPOINTS[[#This Row],[RateDateFrom]]&lt;PSPOINTS[[#This Row],[RateDateTo]],0,1))</f>
        <v>0</v>
      </c>
      <c r="G352" s="57" cm="1">
        <f t="array" aca="1" ref="G352" ca="1">IF(CELL("format",PSPOINTS[[#This Row],[RateDateFrom]])="D1",0,1)+IF(CELL("format",PSPOINTS[[#This Row],[RateDateTo]])="D1",0,1)</f>
        <v>0</v>
      </c>
      <c r="H352" s="57">
        <f>IF(OR(PSPOINTS[[#This Row],[Hourly]]=TRUE,PSPOINTS[[#This Row],[Hourly]]=FALSE),IF(OR(PSPOINTS[[#This Row],[PayScalePointEnabled]]=TRUE,PSPOINTS[[#This Row],[PayScalePointEnabled]]=FALSE),0,1),1)</f>
        <v>0</v>
      </c>
      <c r="I352" s="57">
        <f>IF(LEN(PSPOINTS[[#This Row],[PayScalePointCode]])&lt;100,0,1)</f>
        <v>0</v>
      </c>
      <c r="J352" s="57">
        <f>IF(LEN(PSPOINTS[[#This Row],[PayScalePointTitle]])&lt;100,0,1)</f>
        <v>0</v>
      </c>
      <c r="K352" s="57">
        <f>(COUNTBLANK(PSPOINTS[[#This Row],[PayScalePointCode]:[RateDateFrom]])+COUNTBLANK(PSPOINTS[[#This Row],[PayScaleRate]]))</f>
        <v>0</v>
      </c>
      <c r="L352" s="120">
        <f>IF(SUBSTITUTE(TEXT(PSPOINTS[[#This Row],[PayScaleCode]],10)," ","")=TEXT(PSPOINTS[[#This Row],[PayScaleCode]],10),0,1)+IF(SUBSTITUTE(TEXT(PSPOINTS[[#This Row],[PayScalePointCode]],10)," ","")=TEXT(PSPOINTS[[#This Row],[PayScalePointCode]],10),0,1)</f>
        <v>0</v>
      </c>
      <c r="M352" s="57">
        <f ca="1">SUM(PSPOINTS[[#This Row],[Scale Point Issue]:[Space in Code]])</f>
        <v>0</v>
      </c>
      <c r="N352" s="57" t="s">
        <v>1401</v>
      </c>
      <c r="P352" s="12" t="s">
        <v>1410</v>
      </c>
      <c r="Q352" s="57" t="str">
        <f>_xlfn.XLOOKUP(PSPOINTS[[#This Row],[PayScaleCode]],'19_PayScales'!N:N,'19_PayScales'!O:O)</f>
        <v>NJC Inner</v>
      </c>
      <c r="R352" s="12">
        <v>64</v>
      </c>
      <c r="S352" s="12">
        <v>64</v>
      </c>
      <c r="T352" s="12">
        <v>64</v>
      </c>
      <c r="U352" s="12" t="b">
        <v>0</v>
      </c>
      <c r="V352" s="15" t="b">
        <v>1</v>
      </c>
      <c r="W352" s="164">
        <v>45748</v>
      </c>
      <c r="X352" s="140"/>
      <c r="Y352" s="163">
        <v>84459</v>
      </c>
    </row>
    <row r="353" spans="1:25" hidden="1" x14ac:dyDescent="0.25">
      <c r="A353" s="158" t="str">
        <f>PSPOINTS[[#This Row],[PayScaleCode]]&amp;PSPOINTS[[#This Row],[RateDateFrom]]</f>
        <v>NJC_INN45748</v>
      </c>
      <c r="B353" s="57">
        <f t="shared" si="5"/>
        <v>0</v>
      </c>
      <c r="C353" s="57" t="str">
        <f>PSPOINTS[[#This Row],[PayScaleCode]]&amp;PSPOINTS[[#This Row],[PayScalePointCode]]&amp;PSPOINTS[[#This Row],[RateDateFrom]]</f>
        <v>NJC_INN6545748</v>
      </c>
      <c r="D353" s="57">
        <f>COUNTIF(PSPOINTS[Pay Scale String Duplicates],PSPOINTS[[#This Row],[Pay Scale String Duplicates]])-1</f>
        <v>0</v>
      </c>
      <c r="E353" s="57">
        <f>IF((MONTH(_xlfn.XLOOKUP(PSPOINTS[[#This Row],[PayScaleCode]],'19_PayScales'!N:N,'19_PayScales'!R:R)))=MONTH(PSPOINTS[[#This Row],[RateDateFrom]]),0,1)</f>
        <v>0</v>
      </c>
      <c r="F353" s="57">
        <f>IF(ISBLANK(PSPOINTS[[#This Row],[RateDateTo]]),0,IF(PSPOINTS[[#This Row],[RateDateFrom]]&lt;PSPOINTS[[#This Row],[RateDateTo]],0,1))</f>
        <v>0</v>
      </c>
      <c r="G353" s="57" cm="1">
        <f t="array" aca="1" ref="G353" ca="1">IF(CELL("format",PSPOINTS[[#This Row],[RateDateFrom]])="D1",0,1)+IF(CELL("format",PSPOINTS[[#This Row],[RateDateTo]])="D1",0,1)</f>
        <v>0</v>
      </c>
      <c r="H353" s="57">
        <f>IF(OR(PSPOINTS[[#This Row],[Hourly]]=TRUE,PSPOINTS[[#This Row],[Hourly]]=FALSE),IF(OR(PSPOINTS[[#This Row],[PayScalePointEnabled]]=TRUE,PSPOINTS[[#This Row],[PayScalePointEnabled]]=FALSE),0,1),1)</f>
        <v>0</v>
      </c>
      <c r="I353" s="57">
        <f>IF(LEN(PSPOINTS[[#This Row],[PayScalePointCode]])&lt;100,0,1)</f>
        <v>0</v>
      </c>
      <c r="J353" s="57">
        <f>IF(LEN(PSPOINTS[[#This Row],[PayScalePointTitle]])&lt;100,0,1)</f>
        <v>0</v>
      </c>
      <c r="K353" s="57">
        <f>(COUNTBLANK(PSPOINTS[[#This Row],[PayScalePointCode]:[RateDateFrom]])+COUNTBLANK(PSPOINTS[[#This Row],[PayScaleRate]]))</f>
        <v>0</v>
      </c>
      <c r="L353" s="120">
        <f>IF(SUBSTITUTE(TEXT(PSPOINTS[[#This Row],[PayScaleCode]],10)," ","")=TEXT(PSPOINTS[[#This Row],[PayScaleCode]],10),0,1)+IF(SUBSTITUTE(TEXT(PSPOINTS[[#This Row],[PayScalePointCode]],10)," ","")=TEXT(PSPOINTS[[#This Row],[PayScalePointCode]],10),0,1)</f>
        <v>0</v>
      </c>
      <c r="M353" s="57">
        <f ca="1">SUM(PSPOINTS[[#This Row],[Scale Point Issue]:[Space in Code]])</f>
        <v>0</v>
      </c>
      <c r="N353" s="57" t="s">
        <v>1401</v>
      </c>
      <c r="P353" s="12" t="s">
        <v>1410</v>
      </c>
      <c r="Q353" s="57" t="str">
        <f>_xlfn.XLOOKUP(PSPOINTS[[#This Row],[PayScaleCode]],'19_PayScales'!N:N,'19_PayScales'!O:O)</f>
        <v>NJC Inner</v>
      </c>
      <c r="R353" s="12">
        <v>65</v>
      </c>
      <c r="S353" s="12">
        <v>65</v>
      </c>
      <c r="T353" s="12">
        <v>65</v>
      </c>
      <c r="U353" s="12" t="b">
        <v>0</v>
      </c>
      <c r="V353" s="15" t="b">
        <v>1</v>
      </c>
      <c r="W353" s="164">
        <v>45748</v>
      </c>
      <c r="X353" s="140"/>
      <c r="Y353" s="163">
        <v>86121</v>
      </c>
    </row>
    <row r="354" spans="1:25" hidden="1" x14ac:dyDescent="0.25">
      <c r="A354" s="158" t="str">
        <f>PSPOINTS[[#This Row],[PayScaleCode]]&amp;PSPOINTS[[#This Row],[RateDateFrom]]</f>
        <v>MAIN_OUT45901</v>
      </c>
      <c r="B354" s="57">
        <f t="shared" si="5"/>
        <v>0</v>
      </c>
      <c r="C354" s="57" t="str">
        <f>PSPOINTS[[#This Row],[PayScaleCode]]&amp;PSPOINTS[[#This Row],[PayScalePointCode]]&amp;PSPOINTS[[#This Row],[RateDateFrom]]</f>
        <v>MAIN_OUTM145901</v>
      </c>
      <c r="D354" s="57">
        <f>COUNTIF(PSPOINTS[Pay Scale String Duplicates],PSPOINTS[[#This Row],[Pay Scale String Duplicates]])-1</f>
        <v>0</v>
      </c>
      <c r="E354" s="57">
        <f>IF((MONTH(_xlfn.XLOOKUP(PSPOINTS[[#This Row],[PayScaleCode]],'19_PayScales'!N:N,'19_PayScales'!R:R)))=MONTH(PSPOINTS[[#This Row],[RateDateFrom]]),0,1)</f>
        <v>0</v>
      </c>
      <c r="F354" s="57">
        <f>IF(ISBLANK(PSPOINTS[[#This Row],[RateDateTo]]),0,IF(PSPOINTS[[#This Row],[RateDateFrom]]&lt;PSPOINTS[[#This Row],[RateDateTo]],0,1))</f>
        <v>0</v>
      </c>
      <c r="G354" s="57" cm="1">
        <f t="array" aca="1" ref="G354" ca="1">IF(CELL("format",PSPOINTS[[#This Row],[RateDateFrom]])="D1",0,1)+IF(CELL("format",PSPOINTS[[#This Row],[RateDateTo]])="D1",0,1)</f>
        <v>0</v>
      </c>
      <c r="H354" s="57">
        <f>IF(OR(PSPOINTS[[#This Row],[Hourly]]=TRUE,PSPOINTS[[#This Row],[Hourly]]=FALSE),IF(OR(PSPOINTS[[#This Row],[PayScalePointEnabled]]=TRUE,PSPOINTS[[#This Row],[PayScalePointEnabled]]=FALSE),0,1),1)</f>
        <v>0</v>
      </c>
      <c r="I354" s="57">
        <f>IF(LEN(PSPOINTS[[#This Row],[PayScalePointCode]])&lt;100,0,1)</f>
        <v>0</v>
      </c>
      <c r="J354" s="57">
        <f>IF(LEN(PSPOINTS[[#This Row],[PayScalePointTitle]])&lt;100,0,1)</f>
        <v>0</v>
      </c>
      <c r="K354" s="57">
        <f>(COUNTBLANK(PSPOINTS[[#This Row],[PayScalePointCode]:[RateDateFrom]])+COUNTBLANK(PSPOINTS[[#This Row],[PayScaleRate]]))</f>
        <v>0</v>
      </c>
      <c r="L354" s="120">
        <f>IF(SUBSTITUTE(TEXT(PSPOINTS[[#This Row],[PayScaleCode]],10)," ","")=TEXT(PSPOINTS[[#This Row],[PayScaleCode]],10),0,1)+IF(SUBSTITUTE(TEXT(PSPOINTS[[#This Row],[PayScalePointCode]],10)," ","")=TEXT(PSPOINTS[[#This Row],[PayScalePointCode]],10),0,1)</f>
        <v>0</v>
      </c>
      <c r="M354" s="57">
        <f ca="1">SUM(PSPOINTS[[#This Row],[Scale Point Issue]:[Space in Code]])</f>
        <v>0</v>
      </c>
      <c r="N354" s="57" t="s">
        <v>1412</v>
      </c>
      <c r="P354" s="12" t="s">
        <v>1413</v>
      </c>
      <c r="Q354" s="57" t="str">
        <f>_xlfn.XLOOKUP(PSPOINTS[[#This Row],[PayScaleCode]],'19_PayScales'!N:N,'19_PayScales'!O:O)</f>
        <v>Teachers Main Outer</v>
      </c>
      <c r="R354" s="12" t="s">
        <v>1441</v>
      </c>
      <c r="S354" s="12" t="s">
        <v>1441</v>
      </c>
      <c r="T354" s="12">
        <v>1</v>
      </c>
      <c r="U354" s="12" t="b">
        <v>0</v>
      </c>
      <c r="V354" s="15" t="b">
        <v>1</v>
      </c>
      <c r="W354" s="164">
        <v>45901</v>
      </c>
      <c r="X354" s="140"/>
      <c r="Y354" s="162">
        <v>37870</v>
      </c>
    </row>
    <row r="355" spans="1:25" hidden="1" x14ac:dyDescent="0.25">
      <c r="A355" s="158" t="str">
        <f>PSPOINTS[[#This Row],[PayScaleCode]]&amp;PSPOINTS[[#This Row],[RateDateFrom]]</f>
        <v>MAIN_OUT45901</v>
      </c>
      <c r="B355" s="57">
        <f t="shared" si="5"/>
        <v>0</v>
      </c>
      <c r="C355" s="57" t="str">
        <f>PSPOINTS[[#This Row],[PayScaleCode]]&amp;PSPOINTS[[#This Row],[PayScalePointCode]]&amp;PSPOINTS[[#This Row],[RateDateFrom]]</f>
        <v>MAIN_OUTM245901</v>
      </c>
      <c r="D355" s="57">
        <f>COUNTIF(PSPOINTS[Pay Scale String Duplicates],PSPOINTS[[#This Row],[Pay Scale String Duplicates]])-1</f>
        <v>0</v>
      </c>
      <c r="E355" s="57">
        <f>IF((MONTH(_xlfn.XLOOKUP(PSPOINTS[[#This Row],[PayScaleCode]],'19_PayScales'!N:N,'19_PayScales'!R:R)))=MONTH(PSPOINTS[[#This Row],[RateDateFrom]]),0,1)</f>
        <v>0</v>
      </c>
      <c r="F355" s="57">
        <f>IF(ISBLANK(PSPOINTS[[#This Row],[RateDateTo]]),0,IF(PSPOINTS[[#This Row],[RateDateFrom]]&lt;PSPOINTS[[#This Row],[RateDateTo]],0,1))</f>
        <v>0</v>
      </c>
      <c r="G355" s="57" cm="1">
        <f t="array" aca="1" ref="G355" ca="1">IF(CELL("format",PSPOINTS[[#This Row],[RateDateFrom]])="D1",0,1)+IF(CELL("format",PSPOINTS[[#This Row],[RateDateTo]])="D1",0,1)</f>
        <v>0</v>
      </c>
      <c r="H355" s="57">
        <f>IF(OR(PSPOINTS[[#This Row],[Hourly]]=TRUE,PSPOINTS[[#This Row],[Hourly]]=FALSE),IF(OR(PSPOINTS[[#This Row],[PayScalePointEnabled]]=TRUE,PSPOINTS[[#This Row],[PayScalePointEnabled]]=FALSE),0,1),1)</f>
        <v>0</v>
      </c>
      <c r="I355" s="57">
        <f>IF(LEN(PSPOINTS[[#This Row],[PayScalePointCode]])&lt;100,0,1)</f>
        <v>0</v>
      </c>
      <c r="J355" s="57">
        <f>IF(LEN(PSPOINTS[[#This Row],[PayScalePointTitle]])&lt;100,0,1)</f>
        <v>0</v>
      </c>
      <c r="K355" s="57">
        <f>(COUNTBLANK(PSPOINTS[[#This Row],[PayScalePointCode]:[RateDateFrom]])+COUNTBLANK(PSPOINTS[[#This Row],[PayScaleRate]]))</f>
        <v>0</v>
      </c>
      <c r="L355" s="120">
        <f>IF(SUBSTITUTE(TEXT(PSPOINTS[[#This Row],[PayScaleCode]],10)," ","")=TEXT(PSPOINTS[[#This Row],[PayScaleCode]],10),0,1)+IF(SUBSTITUTE(TEXT(PSPOINTS[[#This Row],[PayScalePointCode]],10)," ","")=TEXT(PSPOINTS[[#This Row],[PayScalePointCode]],10),0,1)</f>
        <v>0</v>
      </c>
      <c r="M355" s="57">
        <f ca="1">SUM(PSPOINTS[[#This Row],[Scale Point Issue]:[Space in Code]])</f>
        <v>0</v>
      </c>
      <c r="N355" s="57" t="s">
        <v>1412</v>
      </c>
      <c r="P355" s="12" t="s">
        <v>1413</v>
      </c>
      <c r="Q355" s="57" t="str">
        <f>_xlfn.XLOOKUP(PSPOINTS[[#This Row],[PayScaleCode]],'19_PayScales'!N:N,'19_PayScales'!O:O)</f>
        <v>Teachers Main Outer</v>
      </c>
      <c r="R355" s="12" t="s">
        <v>1517</v>
      </c>
      <c r="S355" s="12" t="s">
        <v>1517</v>
      </c>
      <c r="T355" s="12">
        <v>2</v>
      </c>
      <c r="U355" s="12" t="b">
        <v>0</v>
      </c>
      <c r="V355" s="15" t="b">
        <v>1</v>
      </c>
      <c r="W355" s="164">
        <v>45901</v>
      </c>
      <c r="X355" s="140"/>
      <c r="Y355" s="162">
        <v>39851</v>
      </c>
    </row>
    <row r="356" spans="1:25" hidden="1" x14ac:dyDescent="0.25">
      <c r="A356" s="158" t="str">
        <f>PSPOINTS[[#This Row],[PayScaleCode]]&amp;PSPOINTS[[#This Row],[RateDateFrom]]</f>
        <v>MAIN_OUT45901</v>
      </c>
      <c r="B356" s="57">
        <f t="shared" si="5"/>
        <v>0</v>
      </c>
      <c r="C356" s="57" t="str">
        <f>PSPOINTS[[#This Row],[PayScaleCode]]&amp;PSPOINTS[[#This Row],[PayScalePointCode]]&amp;PSPOINTS[[#This Row],[RateDateFrom]]</f>
        <v>MAIN_OUTM345901</v>
      </c>
      <c r="D356" s="57">
        <f>COUNTIF(PSPOINTS[Pay Scale String Duplicates],PSPOINTS[[#This Row],[Pay Scale String Duplicates]])-1</f>
        <v>0</v>
      </c>
      <c r="E356" s="57">
        <f>IF((MONTH(_xlfn.XLOOKUP(PSPOINTS[[#This Row],[PayScaleCode]],'19_PayScales'!N:N,'19_PayScales'!R:R)))=MONTH(PSPOINTS[[#This Row],[RateDateFrom]]),0,1)</f>
        <v>0</v>
      </c>
      <c r="F356" s="57">
        <f>IF(ISBLANK(PSPOINTS[[#This Row],[RateDateTo]]),0,IF(PSPOINTS[[#This Row],[RateDateFrom]]&lt;PSPOINTS[[#This Row],[RateDateTo]],0,1))</f>
        <v>0</v>
      </c>
      <c r="G356" s="57" cm="1">
        <f t="array" aca="1" ref="G356" ca="1">IF(CELL("format",PSPOINTS[[#This Row],[RateDateFrom]])="D1",0,1)+IF(CELL("format",PSPOINTS[[#This Row],[RateDateTo]])="D1",0,1)</f>
        <v>0</v>
      </c>
      <c r="H356" s="57">
        <f>IF(OR(PSPOINTS[[#This Row],[Hourly]]=TRUE,PSPOINTS[[#This Row],[Hourly]]=FALSE),IF(OR(PSPOINTS[[#This Row],[PayScalePointEnabled]]=TRUE,PSPOINTS[[#This Row],[PayScalePointEnabled]]=FALSE),0,1),1)</f>
        <v>0</v>
      </c>
      <c r="I356" s="57">
        <f>IF(LEN(PSPOINTS[[#This Row],[PayScalePointCode]])&lt;100,0,1)</f>
        <v>0</v>
      </c>
      <c r="J356" s="57">
        <f>IF(LEN(PSPOINTS[[#This Row],[PayScalePointTitle]])&lt;100,0,1)</f>
        <v>0</v>
      </c>
      <c r="K356" s="57">
        <f>(COUNTBLANK(PSPOINTS[[#This Row],[PayScalePointCode]:[RateDateFrom]])+COUNTBLANK(PSPOINTS[[#This Row],[PayScaleRate]]))</f>
        <v>0</v>
      </c>
      <c r="L356" s="120">
        <f>IF(SUBSTITUTE(TEXT(PSPOINTS[[#This Row],[PayScaleCode]],10)," ","")=TEXT(PSPOINTS[[#This Row],[PayScaleCode]],10),0,1)+IF(SUBSTITUTE(TEXT(PSPOINTS[[#This Row],[PayScalePointCode]],10)," ","")=TEXT(PSPOINTS[[#This Row],[PayScalePointCode]],10),0,1)</f>
        <v>0</v>
      </c>
      <c r="M356" s="57">
        <f ca="1">SUM(PSPOINTS[[#This Row],[Scale Point Issue]:[Space in Code]])</f>
        <v>0</v>
      </c>
      <c r="N356" s="57" t="s">
        <v>1412</v>
      </c>
      <c r="P356" s="12" t="s">
        <v>1413</v>
      </c>
      <c r="Q356" s="57" t="str">
        <f>_xlfn.XLOOKUP(PSPOINTS[[#This Row],[PayScaleCode]],'19_PayScales'!N:N,'19_PayScales'!O:O)</f>
        <v>Teachers Main Outer</v>
      </c>
      <c r="R356" s="12" t="s">
        <v>1518</v>
      </c>
      <c r="S356" s="12" t="s">
        <v>1518</v>
      </c>
      <c r="T356" s="12">
        <v>3</v>
      </c>
      <c r="U356" s="12" t="b">
        <v>0</v>
      </c>
      <c r="V356" s="15" t="b">
        <v>1</v>
      </c>
      <c r="W356" s="164">
        <v>45901</v>
      </c>
      <c r="X356" s="140"/>
      <c r="Y356" s="162">
        <v>41935</v>
      </c>
    </row>
    <row r="357" spans="1:25" hidden="1" x14ac:dyDescent="0.25">
      <c r="A357" s="158" t="str">
        <f>PSPOINTS[[#This Row],[PayScaleCode]]&amp;PSPOINTS[[#This Row],[RateDateFrom]]</f>
        <v>MAIN_OUT45901</v>
      </c>
      <c r="B357" s="57">
        <f t="shared" si="5"/>
        <v>0</v>
      </c>
      <c r="C357" s="57" t="str">
        <f>PSPOINTS[[#This Row],[PayScaleCode]]&amp;PSPOINTS[[#This Row],[PayScalePointCode]]&amp;PSPOINTS[[#This Row],[RateDateFrom]]</f>
        <v>MAIN_OUTM445901</v>
      </c>
      <c r="D357" s="57">
        <f>COUNTIF(PSPOINTS[Pay Scale String Duplicates],PSPOINTS[[#This Row],[Pay Scale String Duplicates]])-1</f>
        <v>0</v>
      </c>
      <c r="E357" s="57">
        <f>IF((MONTH(_xlfn.XLOOKUP(PSPOINTS[[#This Row],[PayScaleCode]],'19_PayScales'!N:N,'19_PayScales'!R:R)))=MONTH(PSPOINTS[[#This Row],[RateDateFrom]]),0,1)</f>
        <v>0</v>
      </c>
      <c r="F357" s="57">
        <f>IF(ISBLANK(PSPOINTS[[#This Row],[RateDateTo]]),0,IF(PSPOINTS[[#This Row],[RateDateFrom]]&lt;PSPOINTS[[#This Row],[RateDateTo]],0,1))</f>
        <v>0</v>
      </c>
      <c r="G357" s="57" cm="1">
        <f t="array" aca="1" ref="G357" ca="1">IF(CELL("format",PSPOINTS[[#This Row],[RateDateFrom]])="D1",0,1)+IF(CELL("format",PSPOINTS[[#This Row],[RateDateTo]])="D1",0,1)</f>
        <v>0</v>
      </c>
      <c r="H357" s="57">
        <f>IF(OR(PSPOINTS[[#This Row],[Hourly]]=TRUE,PSPOINTS[[#This Row],[Hourly]]=FALSE),IF(OR(PSPOINTS[[#This Row],[PayScalePointEnabled]]=TRUE,PSPOINTS[[#This Row],[PayScalePointEnabled]]=FALSE),0,1),1)</f>
        <v>0</v>
      </c>
      <c r="I357" s="57">
        <f>IF(LEN(PSPOINTS[[#This Row],[PayScalePointCode]])&lt;100,0,1)</f>
        <v>0</v>
      </c>
      <c r="J357" s="57">
        <f>IF(LEN(PSPOINTS[[#This Row],[PayScalePointTitle]])&lt;100,0,1)</f>
        <v>0</v>
      </c>
      <c r="K357" s="57">
        <f>(COUNTBLANK(PSPOINTS[[#This Row],[PayScalePointCode]:[RateDateFrom]])+COUNTBLANK(PSPOINTS[[#This Row],[PayScaleRate]]))</f>
        <v>0</v>
      </c>
      <c r="L357" s="120">
        <f>IF(SUBSTITUTE(TEXT(PSPOINTS[[#This Row],[PayScaleCode]],10)," ","")=TEXT(PSPOINTS[[#This Row],[PayScaleCode]],10),0,1)+IF(SUBSTITUTE(TEXT(PSPOINTS[[#This Row],[PayScalePointCode]],10)," ","")=TEXT(PSPOINTS[[#This Row],[PayScalePointCode]],10),0,1)</f>
        <v>0</v>
      </c>
      <c r="M357" s="57">
        <f ca="1">SUM(PSPOINTS[[#This Row],[Scale Point Issue]:[Space in Code]])</f>
        <v>0</v>
      </c>
      <c r="N357" s="57" t="s">
        <v>1412</v>
      </c>
      <c r="P357" s="12" t="s">
        <v>1413</v>
      </c>
      <c r="Q357" s="57" t="str">
        <f>_xlfn.XLOOKUP(PSPOINTS[[#This Row],[PayScaleCode]],'19_PayScales'!N:N,'19_PayScales'!O:O)</f>
        <v>Teachers Main Outer</v>
      </c>
      <c r="R357" s="12" t="s">
        <v>1519</v>
      </c>
      <c r="S357" s="12" t="s">
        <v>1519</v>
      </c>
      <c r="T357" s="12">
        <v>4</v>
      </c>
      <c r="U357" s="12" t="b">
        <v>0</v>
      </c>
      <c r="V357" s="15" t="b">
        <v>1</v>
      </c>
      <c r="W357" s="164">
        <v>45901</v>
      </c>
      <c r="X357" s="140"/>
      <c r="Y357" s="162">
        <v>44128</v>
      </c>
    </row>
    <row r="358" spans="1:25" hidden="1" x14ac:dyDescent="0.25">
      <c r="A358" s="158" t="str">
        <f>PSPOINTS[[#This Row],[PayScaleCode]]&amp;PSPOINTS[[#This Row],[RateDateFrom]]</f>
        <v>MAIN_OUT45901</v>
      </c>
      <c r="B358" s="57">
        <f t="shared" si="5"/>
        <v>0</v>
      </c>
      <c r="C358" s="57" t="str">
        <f>PSPOINTS[[#This Row],[PayScaleCode]]&amp;PSPOINTS[[#This Row],[PayScalePointCode]]&amp;PSPOINTS[[#This Row],[RateDateFrom]]</f>
        <v>MAIN_OUTM545901</v>
      </c>
      <c r="D358" s="57">
        <f>COUNTIF(PSPOINTS[Pay Scale String Duplicates],PSPOINTS[[#This Row],[Pay Scale String Duplicates]])-1</f>
        <v>0</v>
      </c>
      <c r="E358" s="57">
        <f>IF((MONTH(_xlfn.XLOOKUP(PSPOINTS[[#This Row],[PayScaleCode]],'19_PayScales'!N:N,'19_PayScales'!R:R)))=MONTH(PSPOINTS[[#This Row],[RateDateFrom]]),0,1)</f>
        <v>0</v>
      </c>
      <c r="F358" s="57">
        <f>IF(ISBLANK(PSPOINTS[[#This Row],[RateDateTo]]),0,IF(PSPOINTS[[#This Row],[RateDateFrom]]&lt;PSPOINTS[[#This Row],[RateDateTo]],0,1))</f>
        <v>0</v>
      </c>
      <c r="G358" s="57" cm="1">
        <f t="array" aca="1" ref="G358" ca="1">IF(CELL("format",PSPOINTS[[#This Row],[RateDateFrom]])="D1",0,1)+IF(CELL("format",PSPOINTS[[#This Row],[RateDateTo]])="D1",0,1)</f>
        <v>0</v>
      </c>
      <c r="H358" s="57">
        <f>IF(OR(PSPOINTS[[#This Row],[Hourly]]=TRUE,PSPOINTS[[#This Row],[Hourly]]=FALSE),IF(OR(PSPOINTS[[#This Row],[PayScalePointEnabled]]=TRUE,PSPOINTS[[#This Row],[PayScalePointEnabled]]=FALSE),0,1),1)</f>
        <v>0</v>
      </c>
      <c r="I358" s="57">
        <f>IF(LEN(PSPOINTS[[#This Row],[PayScalePointCode]])&lt;100,0,1)</f>
        <v>0</v>
      </c>
      <c r="J358" s="57">
        <f>IF(LEN(PSPOINTS[[#This Row],[PayScalePointTitle]])&lt;100,0,1)</f>
        <v>0</v>
      </c>
      <c r="K358" s="57">
        <f>(COUNTBLANK(PSPOINTS[[#This Row],[PayScalePointCode]:[RateDateFrom]])+COUNTBLANK(PSPOINTS[[#This Row],[PayScaleRate]]))</f>
        <v>0</v>
      </c>
      <c r="L358" s="120">
        <f>IF(SUBSTITUTE(TEXT(PSPOINTS[[#This Row],[PayScaleCode]],10)," ","")=TEXT(PSPOINTS[[#This Row],[PayScaleCode]],10),0,1)+IF(SUBSTITUTE(TEXT(PSPOINTS[[#This Row],[PayScalePointCode]],10)," ","")=TEXT(PSPOINTS[[#This Row],[PayScalePointCode]],10),0,1)</f>
        <v>0</v>
      </c>
      <c r="M358" s="57">
        <f ca="1">SUM(PSPOINTS[[#This Row],[Scale Point Issue]:[Space in Code]])</f>
        <v>0</v>
      </c>
      <c r="N358" s="57" t="s">
        <v>1412</v>
      </c>
      <c r="P358" s="12" t="s">
        <v>1413</v>
      </c>
      <c r="Q358" s="57" t="str">
        <f>_xlfn.XLOOKUP(PSPOINTS[[#This Row],[PayScaleCode]],'19_PayScales'!N:N,'19_PayScales'!O:O)</f>
        <v>Teachers Main Outer</v>
      </c>
      <c r="R358" s="12" t="s">
        <v>1520</v>
      </c>
      <c r="S358" s="12" t="s">
        <v>1520</v>
      </c>
      <c r="T358" s="12">
        <v>5</v>
      </c>
      <c r="U358" s="12" t="b">
        <v>0</v>
      </c>
      <c r="V358" s="15" t="b">
        <v>1</v>
      </c>
      <c r="W358" s="164">
        <v>45901</v>
      </c>
      <c r="X358" s="140"/>
      <c r="Y358" s="162">
        <v>46800</v>
      </c>
    </row>
    <row r="359" spans="1:25" hidden="1" x14ac:dyDescent="0.25">
      <c r="A359" s="158" t="str">
        <f>PSPOINTS[[#This Row],[PayScaleCode]]&amp;PSPOINTS[[#This Row],[RateDateFrom]]</f>
        <v>MAIN_OUT45901</v>
      </c>
      <c r="B359" s="57">
        <f t="shared" si="5"/>
        <v>0</v>
      </c>
      <c r="C359" s="57" t="str">
        <f>PSPOINTS[[#This Row],[PayScaleCode]]&amp;PSPOINTS[[#This Row],[PayScalePointCode]]&amp;PSPOINTS[[#This Row],[RateDateFrom]]</f>
        <v>MAIN_OUTM645901</v>
      </c>
      <c r="D359" s="57">
        <f>COUNTIF(PSPOINTS[Pay Scale String Duplicates],PSPOINTS[[#This Row],[Pay Scale String Duplicates]])-1</f>
        <v>0</v>
      </c>
      <c r="E359" s="57">
        <f>IF((MONTH(_xlfn.XLOOKUP(PSPOINTS[[#This Row],[PayScaleCode]],'19_PayScales'!N:N,'19_PayScales'!R:R)))=MONTH(PSPOINTS[[#This Row],[RateDateFrom]]),0,1)</f>
        <v>0</v>
      </c>
      <c r="F359" s="57">
        <f>IF(ISBLANK(PSPOINTS[[#This Row],[RateDateTo]]),0,IF(PSPOINTS[[#This Row],[RateDateFrom]]&lt;PSPOINTS[[#This Row],[RateDateTo]],0,1))</f>
        <v>0</v>
      </c>
      <c r="G359" s="57" cm="1">
        <f t="array" aca="1" ref="G359" ca="1">IF(CELL("format",PSPOINTS[[#This Row],[RateDateFrom]])="D1",0,1)+IF(CELL("format",PSPOINTS[[#This Row],[RateDateTo]])="D1",0,1)</f>
        <v>0</v>
      </c>
      <c r="H359" s="57">
        <f>IF(OR(PSPOINTS[[#This Row],[Hourly]]=TRUE,PSPOINTS[[#This Row],[Hourly]]=FALSE),IF(OR(PSPOINTS[[#This Row],[PayScalePointEnabled]]=TRUE,PSPOINTS[[#This Row],[PayScalePointEnabled]]=FALSE),0,1),1)</f>
        <v>0</v>
      </c>
      <c r="I359" s="57">
        <f>IF(LEN(PSPOINTS[[#This Row],[PayScalePointCode]])&lt;100,0,1)</f>
        <v>0</v>
      </c>
      <c r="J359" s="57">
        <f>IF(LEN(PSPOINTS[[#This Row],[PayScalePointTitle]])&lt;100,0,1)</f>
        <v>0</v>
      </c>
      <c r="K359" s="57">
        <f>(COUNTBLANK(PSPOINTS[[#This Row],[PayScalePointCode]:[RateDateFrom]])+COUNTBLANK(PSPOINTS[[#This Row],[PayScaleRate]]))</f>
        <v>0</v>
      </c>
      <c r="L359" s="120">
        <f>IF(SUBSTITUTE(TEXT(PSPOINTS[[#This Row],[PayScaleCode]],10)," ","")=TEXT(PSPOINTS[[#This Row],[PayScaleCode]],10),0,1)+IF(SUBSTITUTE(TEXT(PSPOINTS[[#This Row],[PayScalePointCode]],10)," ","")=TEXT(PSPOINTS[[#This Row],[PayScalePointCode]],10),0,1)</f>
        <v>0</v>
      </c>
      <c r="M359" s="57">
        <f ca="1">SUM(PSPOINTS[[#This Row],[Scale Point Issue]:[Space in Code]])</f>
        <v>0</v>
      </c>
      <c r="N359" s="57" t="s">
        <v>1412</v>
      </c>
      <c r="P359" s="12" t="s">
        <v>1413</v>
      </c>
      <c r="Q359" s="57" t="str">
        <f>_xlfn.XLOOKUP(PSPOINTS[[#This Row],[PayScaleCode]],'19_PayScales'!N:N,'19_PayScales'!O:O)</f>
        <v>Teachers Main Outer</v>
      </c>
      <c r="R359" s="12" t="s">
        <v>1445</v>
      </c>
      <c r="S359" s="12" t="s">
        <v>1445</v>
      </c>
      <c r="T359" s="12">
        <v>6</v>
      </c>
      <c r="U359" s="12" t="b">
        <v>0</v>
      </c>
      <c r="V359" s="15" t="b">
        <v>1</v>
      </c>
      <c r="W359" s="164">
        <v>45901</v>
      </c>
      <c r="X359" s="140"/>
      <c r="Y359" s="162">
        <v>50474</v>
      </c>
    </row>
    <row r="360" spans="1:25" hidden="1" x14ac:dyDescent="0.25">
      <c r="A360" s="158" t="str">
        <f>PSPOINTS[[#This Row],[PayScaleCode]]&amp;PSPOINTS[[#This Row],[RateDateFrom]]</f>
        <v>MAIN_OUT45901</v>
      </c>
      <c r="B360" s="57">
        <f t="shared" si="5"/>
        <v>0</v>
      </c>
      <c r="C360" s="57" t="str">
        <f>PSPOINTS[[#This Row],[PayScaleCode]]&amp;PSPOINTS[[#This Row],[PayScalePointCode]]&amp;PSPOINTS[[#This Row],[RateDateFrom]]</f>
        <v>MAIN_OUTU1Y145901</v>
      </c>
      <c r="D360" s="57">
        <f>COUNTIF(PSPOINTS[Pay Scale String Duplicates],PSPOINTS[[#This Row],[Pay Scale String Duplicates]])-1</f>
        <v>0</v>
      </c>
      <c r="E360" s="57">
        <f>IF((MONTH(_xlfn.XLOOKUP(PSPOINTS[[#This Row],[PayScaleCode]],'19_PayScales'!N:N,'19_PayScales'!R:R)))=MONTH(PSPOINTS[[#This Row],[RateDateFrom]]),0,1)</f>
        <v>0</v>
      </c>
      <c r="F360" s="57">
        <f>IF(ISBLANK(PSPOINTS[[#This Row],[RateDateTo]]),0,IF(PSPOINTS[[#This Row],[RateDateFrom]]&lt;PSPOINTS[[#This Row],[RateDateTo]],0,1))</f>
        <v>0</v>
      </c>
      <c r="G360" s="57" cm="1">
        <f t="array" aca="1" ref="G360" ca="1">IF(CELL("format",PSPOINTS[[#This Row],[RateDateFrom]])="D1",0,1)+IF(CELL("format",PSPOINTS[[#This Row],[RateDateTo]])="D1",0,1)</f>
        <v>0</v>
      </c>
      <c r="H360" s="57">
        <f>IF(OR(PSPOINTS[[#This Row],[Hourly]]=TRUE,PSPOINTS[[#This Row],[Hourly]]=FALSE),IF(OR(PSPOINTS[[#This Row],[PayScalePointEnabled]]=TRUE,PSPOINTS[[#This Row],[PayScalePointEnabled]]=FALSE),0,1),1)</f>
        <v>0</v>
      </c>
      <c r="I360" s="57">
        <f>IF(LEN(PSPOINTS[[#This Row],[PayScalePointCode]])&lt;100,0,1)</f>
        <v>0</v>
      </c>
      <c r="J360" s="57">
        <f>IF(LEN(PSPOINTS[[#This Row],[PayScalePointTitle]])&lt;100,0,1)</f>
        <v>0</v>
      </c>
      <c r="K360" s="57">
        <f>(COUNTBLANK(PSPOINTS[[#This Row],[PayScalePointCode]:[RateDateFrom]])+COUNTBLANK(PSPOINTS[[#This Row],[PayScaleRate]]))</f>
        <v>0</v>
      </c>
      <c r="L360" s="120">
        <f>IF(SUBSTITUTE(TEXT(PSPOINTS[[#This Row],[PayScaleCode]],10)," ","")=TEXT(PSPOINTS[[#This Row],[PayScaleCode]],10),0,1)+IF(SUBSTITUTE(TEXT(PSPOINTS[[#This Row],[PayScalePointCode]],10)," ","")=TEXT(PSPOINTS[[#This Row],[PayScalePointCode]],10),0,1)</f>
        <v>0</v>
      </c>
      <c r="M360" s="57">
        <f ca="1">SUM(PSPOINTS[[#This Row],[Scale Point Issue]:[Space in Code]])</f>
        <v>0</v>
      </c>
      <c r="N360" s="57" t="s">
        <v>1412</v>
      </c>
      <c r="P360" s="12" t="s">
        <v>1413</v>
      </c>
      <c r="Q360" s="57" t="str">
        <f>_xlfn.XLOOKUP(PSPOINTS[[#This Row],[PayScaleCode]],'19_PayScales'!N:N,'19_PayScales'!O:O)</f>
        <v>Teachers Main Outer</v>
      </c>
      <c r="R360" s="12" t="s">
        <v>1448</v>
      </c>
      <c r="S360" s="12" t="s">
        <v>1448</v>
      </c>
      <c r="T360" s="12">
        <v>7</v>
      </c>
      <c r="U360" s="12" t="b">
        <v>0</v>
      </c>
      <c r="V360" s="15" t="b">
        <v>1</v>
      </c>
      <c r="W360" s="164">
        <v>45901</v>
      </c>
      <c r="X360" s="140"/>
      <c r="Y360" s="162">
        <v>52219</v>
      </c>
    </row>
    <row r="361" spans="1:25" hidden="1" x14ac:dyDescent="0.25">
      <c r="A361" s="158" t="str">
        <f>PSPOINTS[[#This Row],[PayScaleCode]]&amp;PSPOINTS[[#This Row],[RateDateFrom]]</f>
        <v>MAIN_OUT45901</v>
      </c>
      <c r="B361" s="57">
        <f t="shared" si="5"/>
        <v>0</v>
      </c>
      <c r="C361" s="57" t="str">
        <f>PSPOINTS[[#This Row],[PayScaleCode]]&amp;PSPOINTS[[#This Row],[PayScalePointCode]]&amp;PSPOINTS[[#This Row],[RateDateFrom]]</f>
        <v>MAIN_OUTU1Y245901</v>
      </c>
      <c r="D361" s="57">
        <f>COUNTIF(PSPOINTS[Pay Scale String Duplicates],PSPOINTS[[#This Row],[Pay Scale String Duplicates]])-1</f>
        <v>0</v>
      </c>
      <c r="E361" s="57">
        <f>IF((MONTH(_xlfn.XLOOKUP(PSPOINTS[[#This Row],[PayScaleCode]],'19_PayScales'!N:N,'19_PayScales'!R:R)))=MONTH(PSPOINTS[[#This Row],[RateDateFrom]]),0,1)</f>
        <v>0</v>
      </c>
      <c r="F361" s="57">
        <f>IF(ISBLANK(PSPOINTS[[#This Row],[RateDateTo]]),0,IF(PSPOINTS[[#This Row],[RateDateFrom]]&lt;PSPOINTS[[#This Row],[RateDateTo]],0,1))</f>
        <v>0</v>
      </c>
      <c r="G361" s="57" cm="1">
        <f t="array" aca="1" ref="G361" ca="1">IF(CELL("format",PSPOINTS[[#This Row],[RateDateFrom]])="D1",0,1)+IF(CELL("format",PSPOINTS[[#This Row],[RateDateTo]])="D1",0,1)</f>
        <v>0</v>
      </c>
      <c r="H361" s="57">
        <f>IF(OR(PSPOINTS[[#This Row],[Hourly]]=TRUE,PSPOINTS[[#This Row],[Hourly]]=FALSE),IF(OR(PSPOINTS[[#This Row],[PayScalePointEnabled]]=TRUE,PSPOINTS[[#This Row],[PayScalePointEnabled]]=FALSE),0,1),1)</f>
        <v>0</v>
      </c>
      <c r="I361" s="57">
        <f>IF(LEN(PSPOINTS[[#This Row],[PayScalePointCode]])&lt;100,0,1)</f>
        <v>0</v>
      </c>
      <c r="J361" s="57">
        <f>IF(LEN(PSPOINTS[[#This Row],[PayScalePointTitle]])&lt;100,0,1)</f>
        <v>0</v>
      </c>
      <c r="K361" s="57">
        <f>(COUNTBLANK(PSPOINTS[[#This Row],[PayScalePointCode]:[RateDateFrom]])+COUNTBLANK(PSPOINTS[[#This Row],[PayScaleRate]]))</f>
        <v>0</v>
      </c>
      <c r="L361" s="120">
        <f>IF(SUBSTITUTE(TEXT(PSPOINTS[[#This Row],[PayScaleCode]],10)," ","")=TEXT(PSPOINTS[[#This Row],[PayScaleCode]],10),0,1)+IF(SUBSTITUTE(TEXT(PSPOINTS[[#This Row],[PayScalePointCode]],10)," ","")=TEXT(PSPOINTS[[#This Row],[PayScalePointCode]],10),0,1)</f>
        <v>0</v>
      </c>
      <c r="M361" s="57">
        <f ca="1">SUM(PSPOINTS[[#This Row],[Scale Point Issue]:[Space in Code]])</f>
        <v>0</v>
      </c>
      <c r="N361" s="57" t="s">
        <v>1412</v>
      </c>
      <c r="P361" s="12" t="s">
        <v>1413</v>
      </c>
      <c r="Q361" s="57" t="str">
        <f>_xlfn.XLOOKUP(PSPOINTS[[#This Row],[PayScaleCode]],'19_PayScales'!N:N,'19_PayScales'!O:O)</f>
        <v>Teachers Main Outer</v>
      </c>
      <c r="R361" s="12" t="s">
        <v>1521</v>
      </c>
      <c r="S361" s="12" t="s">
        <v>1521</v>
      </c>
      <c r="T361" s="12">
        <v>8</v>
      </c>
      <c r="U361" s="12" t="b">
        <v>0</v>
      </c>
      <c r="V361" s="15" t="b">
        <v>1</v>
      </c>
      <c r="W361" s="164">
        <v>45901</v>
      </c>
      <c r="X361" s="140"/>
      <c r="Y361" s="162">
        <v>52219</v>
      </c>
    </row>
    <row r="362" spans="1:25" hidden="1" x14ac:dyDescent="0.25">
      <c r="A362" s="158" t="str">
        <f>PSPOINTS[[#This Row],[PayScaleCode]]&amp;PSPOINTS[[#This Row],[RateDateFrom]]</f>
        <v>MAIN_OUT45901</v>
      </c>
      <c r="B362" s="57">
        <f t="shared" si="5"/>
        <v>0</v>
      </c>
      <c r="C362" s="57" t="str">
        <f>PSPOINTS[[#This Row],[PayScaleCode]]&amp;PSPOINTS[[#This Row],[PayScalePointCode]]&amp;PSPOINTS[[#This Row],[RateDateFrom]]</f>
        <v>MAIN_OUTU2Y145901</v>
      </c>
      <c r="D362" s="57">
        <f>COUNTIF(PSPOINTS[Pay Scale String Duplicates],PSPOINTS[[#This Row],[Pay Scale String Duplicates]])-1</f>
        <v>0</v>
      </c>
      <c r="E362" s="57">
        <f>IF((MONTH(_xlfn.XLOOKUP(PSPOINTS[[#This Row],[PayScaleCode]],'19_PayScales'!N:N,'19_PayScales'!R:R)))=MONTH(PSPOINTS[[#This Row],[RateDateFrom]]),0,1)</f>
        <v>0</v>
      </c>
      <c r="F362" s="57">
        <f>IF(ISBLANK(PSPOINTS[[#This Row],[RateDateTo]]),0,IF(PSPOINTS[[#This Row],[RateDateFrom]]&lt;PSPOINTS[[#This Row],[RateDateTo]],0,1))</f>
        <v>0</v>
      </c>
      <c r="G362" s="57" cm="1">
        <f t="array" aca="1" ref="G362" ca="1">IF(CELL("format",PSPOINTS[[#This Row],[RateDateFrom]])="D1",0,1)+IF(CELL("format",PSPOINTS[[#This Row],[RateDateTo]])="D1",0,1)</f>
        <v>0</v>
      </c>
      <c r="H362" s="57">
        <f>IF(OR(PSPOINTS[[#This Row],[Hourly]]=TRUE,PSPOINTS[[#This Row],[Hourly]]=FALSE),IF(OR(PSPOINTS[[#This Row],[PayScalePointEnabled]]=TRUE,PSPOINTS[[#This Row],[PayScalePointEnabled]]=FALSE),0,1),1)</f>
        <v>0</v>
      </c>
      <c r="I362" s="57">
        <f>IF(LEN(PSPOINTS[[#This Row],[PayScalePointCode]])&lt;100,0,1)</f>
        <v>0</v>
      </c>
      <c r="J362" s="57">
        <f>IF(LEN(PSPOINTS[[#This Row],[PayScalePointTitle]])&lt;100,0,1)</f>
        <v>0</v>
      </c>
      <c r="K362" s="57">
        <f>(COUNTBLANK(PSPOINTS[[#This Row],[PayScalePointCode]:[RateDateFrom]])+COUNTBLANK(PSPOINTS[[#This Row],[PayScaleRate]]))</f>
        <v>0</v>
      </c>
      <c r="L362" s="120">
        <f>IF(SUBSTITUTE(TEXT(PSPOINTS[[#This Row],[PayScaleCode]],10)," ","")=TEXT(PSPOINTS[[#This Row],[PayScaleCode]],10),0,1)+IF(SUBSTITUTE(TEXT(PSPOINTS[[#This Row],[PayScalePointCode]],10)," ","")=TEXT(PSPOINTS[[#This Row],[PayScalePointCode]],10),0,1)</f>
        <v>0</v>
      </c>
      <c r="M362" s="57">
        <f ca="1">SUM(PSPOINTS[[#This Row],[Scale Point Issue]:[Space in Code]])</f>
        <v>0</v>
      </c>
      <c r="N362" s="57" t="s">
        <v>1412</v>
      </c>
      <c r="P362" s="12" t="s">
        <v>1413</v>
      </c>
      <c r="Q362" s="57" t="str">
        <f>_xlfn.XLOOKUP(PSPOINTS[[#This Row],[PayScaleCode]],'19_PayScales'!N:N,'19_PayScales'!O:O)</f>
        <v>Teachers Main Outer</v>
      </c>
      <c r="R362" s="12" t="s">
        <v>1522</v>
      </c>
      <c r="S362" s="12" t="s">
        <v>1522</v>
      </c>
      <c r="T362" s="12">
        <v>9</v>
      </c>
      <c r="U362" s="12" t="b">
        <v>0</v>
      </c>
      <c r="V362" s="15" t="b">
        <v>1</v>
      </c>
      <c r="W362" s="164">
        <v>45901</v>
      </c>
      <c r="X362" s="140"/>
      <c r="Y362" s="162">
        <v>54151</v>
      </c>
    </row>
    <row r="363" spans="1:25" hidden="1" x14ac:dyDescent="0.25">
      <c r="A363" s="158" t="str">
        <f>PSPOINTS[[#This Row],[PayScaleCode]]&amp;PSPOINTS[[#This Row],[RateDateFrom]]</f>
        <v>MAIN_OUT45901</v>
      </c>
      <c r="B363" s="57">
        <f t="shared" si="5"/>
        <v>0</v>
      </c>
      <c r="C363" s="57" t="str">
        <f>PSPOINTS[[#This Row],[PayScaleCode]]&amp;PSPOINTS[[#This Row],[PayScalePointCode]]&amp;PSPOINTS[[#This Row],[RateDateFrom]]</f>
        <v>MAIN_OUTU2Y245901</v>
      </c>
      <c r="D363" s="57">
        <f>COUNTIF(PSPOINTS[Pay Scale String Duplicates],PSPOINTS[[#This Row],[Pay Scale String Duplicates]])-1</f>
        <v>0</v>
      </c>
      <c r="E363" s="57">
        <f>IF((MONTH(_xlfn.XLOOKUP(PSPOINTS[[#This Row],[PayScaleCode]],'19_PayScales'!N:N,'19_PayScales'!R:R)))=MONTH(PSPOINTS[[#This Row],[RateDateFrom]]),0,1)</f>
        <v>0</v>
      </c>
      <c r="F363" s="57">
        <f>IF(ISBLANK(PSPOINTS[[#This Row],[RateDateTo]]),0,IF(PSPOINTS[[#This Row],[RateDateFrom]]&lt;PSPOINTS[[#This Row],[RateDateTo]],0,1))</f>
        <v>0</v>
      </c>
      <c r="G363" s="57" cm="1">
        <f t="array" aca="1" ref="G363" ca="1">IF(CELL("format",PSPOINTS[[#This Row],[RateDateFrom]])="D1",0,1)+IF(CELL("format",PSPOINTS[[#This Row],[RateDateTo]])="D1",0,1)</f>
        <v>0</v>
      </c>
      <c r="H363" s="57">
        <f>IF(OR(PSPOINTS[[#This Row],[Hourly]]=TRUE,PSPOINTS[[#This Row],[Hourly]]=FALSE),IF(OR(PSPOINTS[[#This Row],[PayScalePointEnabled]]=TRUE,PSPOINTS[[#This Row],[PayScalePointEnabled]]=FALSE),0,1),1)</f>
        <v>0</v>
      </c>
      <c r="I363" s="57">
        <f>IF(LEN(PSPOINTS[[#This Row],[PayScalePointCode]])&lt;100,0,1)</f>
        <v>0</v>
      </c>
      <c r="J363" s="57">
        <f>IF(LEN(PSPOINTS[[#This Row],[PayScalePointTitle]])&lt;100,0,1)</f>
        <v>0</v>
      </c>
      <c r="K363" s="57">
        <f>(COUNTBLANK(PSPOINTS[[#This Row],[PayScalePointCode]:[RateDateFrom]])+COUNTBLANK(PSPOINTS[[#This Row],[PayScaleRate]]))</f>
        <v>0</v>
      </c>
      <c r="L363" s="120">
        <f>IF(SUBSTITUTE(TEXT(PSPOINTS[[#This Row],[PayScaleCode]],10)," ","")=TEXT(PSPOINTS[[#This Row],[PayScaleCode]],10),0,1)+IF(SUBSTITUTE(TEXT(PSPOINTS[[#This Row],[PayScalePointCode]],10)," ","")=TEXT(PSPOINTS[[#This Row],[PayScalePointCode]],10),0,1)</f>
        <v>0</v>
      </c>
      <c r="M363" s="57">
        <f ca="1">SUM(PSPOINTS[[#This Row],[Scale Point Issue]:[Space in Code]])</f>
        <v>0</v>
      </c>
      <c r="N363" s="57" t="s">
        <v>1412</v>
      </c>
      <c r="P363" s="12" t="s">
        <v>1413</v>
      </c>
      <c r="Q363" s="57" t="str">
        <f>_xlfn.XLOOKUP(PSPOINTS[[#This Row],[PayScaleCode]],'19_PayScales'!N:N,'19_PayScales'!O:O)</f>
        <v>Teachers Main Outer</v>
      </c>
      <c r="R363" s="12" t="s">
        <v>1523</v>
      </c>
      <c r="S363" s="12" t="s">
        <v>1523</v>
      </c>
      <c r="T363" s="12">
        <v>10</v>
      </c>
      <c r="U363" s="12" t="b">
        <v>0</v>
      </c>
      <c r="V363" s="15" t="b">
        <v>1</v>
      </c>
      <c r="W363" s="164">
        <v>45901</v>
      </c>
      <c r="X363" s="140"/>
      <c r="Y363" s="162">
        <v>54151</v>
      </c>
    </row>
    <row r="364" spans="1:25" hidden="1" x14ac:dyDescent="0.25">
      <c r="A364" s="158" t="str">
        <f>PSPOINTS[[#This Row],[PayScaleCode]]&amp;PSPOINTS[[#This Row],[RateDateFrom]]</f>
        <v>MAIN_OUT45901</v>
      </c>
      <c r="B364" s="57">
        <f t="shared" si="5"/>
        <v>0</v>
      </c>
      <c r="C364" s="57" t="str">
        <f>PSPOINTS[[#This Row],[PayScaleCode]]&amp;PSPOINTS[[#This Row],[PayScalePointCode]]&amp;PSPOINTS[[#This Row],[RateDateFrom]]</f>
        <v>MAIN_OUTU345901</v>
      </c>
      <c r="D364" s="57">
        <f>COUNTIF(PSPOINTS[Pay Scale String Duplicates],PSPOINTS[[#This Row],[Pay Scale String Duplicates]])-1</f>
        <v>0</v>
      </c>
      <c r="E364" s="57">
        <f>IF((MONTH(_xlfn.XLOOKUP(PSPOINTS[[#This Row],[PayScaleCode]],'19_PayScales'!N:N,'19_PayScales'!R:R)))=MONTH(PSPOINTS[[#This Row],[RateDateFrom]]),0,1)</f>
        <v>0</v>
      </c>
      <c r="F364" s="57">
        <f>IF(ISBLANK(PSPOINTS[[#This Row],[RateDateTo]]),0,IF(PSPOINTS[[#This Row],[RateDateFrom]]&lt;PSPOINTS[[#This Row],[RateDateTo]],0,1))</f>
        <v>0</v>
      </c>
      <c r="G364" s="57" cm="1">
        <f t="array" aca="1" ref="G364" ca="1">IF(CELL("format",PSPOINTS[[#This Row],[RateDateFrom]])="D1",0,1)+IF(CELL("format",PSPOINTS[[#This Row],[RateDateTo]])="D1",0,1)</f>
        <v>0</v>
      </c>
      <c r="H364" s="57">
        <f>IF(OR(PSPOINTS[[#This Row],[Hourly]]=TRUE,PSPOINTS[[#This Row],[Hourly]]=FALSE),IF(OR(PSPOINTS[[#This Row],[PayScalePointEnabled]]=TRUE,PSPOINTS[[#This Row],[PayScalePointEnabled]]=FALSE),0,1),1)</f>
        <v>0</v>
      </c>
      <c r="I364" s="57">
        <f>IF(LEN(PSPOINTS[[#This Row],[PayScalePointCode]])&lt;100,0,1)</f>
        <v>0</v>
      </c>
      <c r="J364" s="57">
        <f>IF(LEN(PSPOINTS[[#This Row],[PayScalePointTitle]])&lt;100,0,1)</f>
        <v>0</v>
      </c>
      <c r="K364" s="57">
        <f>(COUNTBLANK(PSPOINTS[[#This Row],[PayScalePointCode]:[RateDateFrom]])+COUNTBLANK(PSPOINTS[[#This Row],[PayScaleRate]]))</f>
        <v>0</v>
      </c>
      <c r="L364" s="120">
        <f>IF(SUBSTITUTE(TEXT(PSPOINTS[[#This Row],[PayScaleCode]],10)," ","")=TEXT(PSPOINTS[[#This Row],[PayScaleCode]],10),0,1)+IF(SUBSTITUTE(TEXT(PSPOINTS[[#This Row],[PayScalePointCode]],10)," ","")=TEXT(PSPOINTS[[#This Row],[PayScalePointCode]],10),0,1)</f>
        <v>0</v>
      </c>
      <c r="M364" s="57">
        <f ca="1">SUM(PSPOINTS[[#This Row],[Scale Point Issue]:[Space in Code]])</f>
        <v>0</v>
      </c>
      <c r="N364" s="57" t="s">
        <v>1412</v>
      </c>
      <c r="P364" s="12" t="s">
        <v>1413</v>
      </c>
      <c r="Q364" s="57" t="str">
        <f>_xlfn.XLOOKUP(PSPOINTS[[#This Row],[PayScaleCode]],'19_PayScales'!N:N,'19_PayScales'!O:O)</f>
        <v>Teachers Main Outer</v>
      </c>
      <c r="R364" s="12" t="s">
        <v>1442</v>
      </c>
      <c r="S364" s="12" t="s">
        <v>1442</v>
      </c>
      <c r="T364" s="12">
        <v>11</v>
      </c>
      <c r="U364" s="12" t="b">
        <v>0</v>
      </c>
      <c r="V364" s="15" t="b">
        <v>1</v>
      </c>
      <c r="W364" s="164">
        <v>45901</v>
      </c>
      <c r="X364" s="140"/>
      <c r="Y364" s="162">
        <v>56154</v>
      </c>
    </row>
    <row r="365" spans="1:25" x14ac:dyDescent="0.25">
      <c r="A365" s="158" t="str">
        <f>PSPOINTS[[#This Row],[PayScaleCode]]&amp;PSPOINTS[[#This Row],[RateDateFrom]]</f>
        <v>LP_OUT45901</v>
      </c>
      <c r="B365" s="57">
        <f t="shared" si="5"/>
        <v>0</v>
      </c>
      <c r="C365" s="57" t="str">
        <f>PSPOINTS[[#This Row],[PayScaleCode]]&amp;PSPOINTS[[#This Row],[PayScalePointCode]]&amp;PSPOINTS[[#This Row],[RateDateFrom]]</f>
        <v>LP_OUTLP0145901</v>
      </c>
      <c r="D365" s="57">
        <f>COUNTIF(PSPOINTS[Pay Scale String Duplicates],PSPOINTS[[#This Row],[Pay Scale String Duplicates]])-1</f>
        <v>0</v>
      </c>
      <c r="E365" s="57">
        <f>IF((MONTH(_xlfn.XLOOKUP(PSPOINTS[[#This Row],[PayScaleCode]],'19_PayScales'!N:N,'19_PayScales'!R:R)))=MONTH(PSPOINTS[[#This Row],[RateDateFrom]]),0,1)</f>
        <v>0</v>
      </c>
      <c r="F365" s="57">
        <f>IF(ISBLANK(PSPOINTS[[#This Row],[RateDateTo]]),0,IF(PSPOINTS[[#This Row],[RateDateFrom]]&lt;PSPOINTS[[#This Row],[RateDateTo]],0,1))</f>
        <v>0</v>
      </c>
      <c r="G365" s="57" cm="1">
        <f t="array" aca="1" ref="G365" ca="1">IF(CELL("format",PSPOINTS[[#This Row],[RateDateFrom]])="D1",0,1)+IF(CELL("format",PSPOINTS[[#This Row],[RateDateTo]])="D1",0,1)</f>
        <v>0</v>
      </c>
      <c r="H365" s="57">
        <f>IF(OR(PSPOINTS[[#This Row],[Hourly]]=TRUE,PSPOINTS[[#This Row],[Hourly]]=FALSE),IF(OR(PSPOINTS[[#This Row],[PayScalePointEnabled]]=TRUE,PSPOINTS[[#This Row],[PayScalePointEnabled]]=FALSE),0,1),1)</f>
        <v>0</v>
      </c>
      <c r="I365" s="57">
        <f>IF(LEN(PSPOINTS[[#This Row],[PayScalePointCode]])&lt;100,0,1)</f>
        <v>0</v>
      </c>
      <c r="J365" s="57">
        <f>IF(LEN(PSPOINTS[[#This Row],[PayScalePointTitle]])&lt;100,0,1)</f>
        <v>0</v>
      </c>
      <c r="K365" s="57">
        <f>(COUNTBLANK(PSPOINTS[[#This Row],[PayScalePointCode]:[RateDateFrom]])+COUNTBLANK(PSPOINTS[[#This Row],[PayScaleRate]]))</f>
        <v>0</v>
      </c>
      <c r="L365" s="120">
        <f>IF(SUBSTITUTE(TEXT(PSPOINTS[[#This Row],[PayScaleCode]],10)," ","")=TEXT(PSPOINTS[[#This Row],[PayScaleCode]],10),0,1)+IF(SUBSTITUTE(TEXT(PSPOINTS[[#This Row],[PayScalePointCode]],10)," ","")=TEXT(PSPOINTS[[#This Row],[PayScalePointCode]],10),0,1)</f>
        <v>0</v>
      </c>
      <c r="M365" s="57">
        <f ca="1">SUM(PSPOINTS[[#This Row],[Scale Point Issue]:[Space in Code]])</f>
        <v>0</v>
      </c>
      <c r="N365" s="57" t="s">
        <v>1412</v>
      </c>
      <c r="P365" s="12" t="s">
        <v>1415</v>
      </c>
      <c r="Q365" s="57" t="str">
        <f>_xlfn.XLOOKUP(PSPOINTS[[#This Row],[PayScaleCode]],'19_PayScales'!N:N,'19_PayScales'!O:O)</f>
        <v>Lead Practitioner Outer</v>
      </c>
      <c r="R365" s="12" t="s">
        <v>1459</v>
      </c>
      <c r="S365" s="12" t="s">
        <v>1459</v>
      </c>
      <c r="T365" s="12">
        <v>1</v>
      </c>
      <c r="U365" s="12" t="b">
        <v>0</v>
      </c>
      <c r="V365" s="15" t="b">
        <v>1</v>
      </c>
      <c r="W365" s="164">
        <v>45901</v>
      </c>
      <c r="X365" s="140"/>
      <c r="Y365" s="162">
        <v>56154</v>
      </c>
    </row>
    <row r="366" spans="1:25" x14ac:dyDescent="0.25">
      <c r="A366" s="158" t="str">
        <f>PSPOINTS[[#This Row],[PayScaleCode]]&amp;PSPOINTS[[#This Row],[RateDateFrom]]</f>
        <v>LP_OUT45901</v>
      </c>
      <c r="B366" s="57">
        <f t="shared" si="5"/>
        <v>0</v>
      </c>
      <c r="C366" s="57" t="str">
        <f>PSPOINTS[[#This Row],[PayScaleCode]]&amp;PSPOINTS[[#This Row],[PayScalePointCode]]&amp;PSPOINTS[[#This Row],[RateDateFrom]]</f>
        <v>LP_OUTLP0245901</v>
      </c>
      <c r="D366" s="57">
        <f>COUNTIF(PSPOINTS[Pay Scale String Duplicates],PSPOINTS[[#This Row],[Pay Scale String Duplicates]])-1</f>
        <v>0</v>
      </c>
      <c r="E366" s="57">
        <f>IF((MONTH(_xlfn.XLOOKUP(PSPOINTS[[#This Row],[PayScaleCode]],'19_PayScales'!N:N,'19_PayScales'!R:R)))=MONTH(PSPOINTS[[#This Row],[RateDateFrom]]),0,1)</f>
        <v>0</v>
      </c>
      <c r="F366" s="57">
        <f>IF(ISBLANK(PSPOINTS[[#This Row],[RateDateTo]]),0,IF(PSPOINTS[[#This Row],[RateDateFrom]]&lt;PSPOINTS[[#This Row],[RateDateTo]],0,1))</f>
        <v>0</v>
      </c>
      <c r="G366" s="57" cm="1">
        <f t="array" aca="1" ref="G366" ca="1">IF(CELL("format",PSPOINTS[[#This Row],[RateDateFrom]])="D1",0,1)+IF(CELL("format",PSPOINTS[[#This Row],[RateDateTo]])="D1",0,1)</f>
        <v>0</v>
      </c>
      <c r="H366" s="57">
        <f>IF(OR(PSPOINTS[[#This Row],[Hourly]]=TRUE,PSPOINTS[[#This Row],[Hourly]]=FALSE),IF(OR(PSPOINTS[[#This Row],[PayScalePointEnabled]]=TRUE,PSPOINTS[[#This Row],[PayScalePointEnabled]]=FALSE),0,1),1)</f>
        <v>0</v>
      </c>
      <c r="I366" s="57">
        <f>IF(LEN(PSPOINTS[[#This Row],[PayScalePointCode]])&lt;100,0,1)</f>
        <v>0</v>
      </c>
      <c r="J366" s="57">
        <f>IF(LEN(PSPOINTS[[#This Row],[PayScalePointTitle]])&lt;100,0,1)</f>
        <v>0</v>
      </c>
      <c r="K366" s="57">
        <f>(COUNTBLANK(PSPOINTS[[#This Row],[PayScalePointCode]:[RateDateFrom]])+COUNTBLANK(PSPOINTS[[#This Row],[PayScaleRate]]))</f>
        <v>0</v>
      </c>
      <c r="L366" s="120">
        <f>IF(SUBSTITUTE(TEXT(PSPOINTS[[#This Row],[PayScaleCode]],10)," ","")=TEXT(PSPOINTS[[#This Row],[PayScaleCode]],10),0,1)+IF(SUBSTITUTE(TEXT(PSPOINTS[[#This Row],[PayScalePointCode]],10)," ","")=TEXT(PSPOINTS[[#This Row],[PayScalePointCode]],10),0,1)</f>
        <v>0</v>
      </c>
      <c r="M366" s="57">
        <f ca="1">SUM(PSPOINTS[[#This Row],[Scale Point Issue]:[Space in Code]])</f>
        <v>0</v>
      </c>
      <c r="N366" s="57" t="s">
        <v>1412</v>
      </c>
      <c r="P366" s="12" t="s">
        <v>1415</v>
      </c>
      <c r="Q366" s="57" t="str">
        <f>_xlfn.XLOOKUP(PSPOINTS[[#This Row],[PayScaleCode]],'19_PayScales'!N:N,'19_PayScales'!O:O)</f>
        <v>Lead Practitioner Outer</v>
      </c>
      <c r="R366" s="12" t="s">
        <v>1524</v>
      </c>
      <c r="S366" s="12" t="s">
        <v>1524</v>
      </c>
      <c r="T366" s="12">
        <v>2</v>
      </c>
      <c r="U366" s="12" t="b">
        <v>0</v>
      </c>
      <c r="V366" s="15" t="b">
        <v>1</v>
      </c>
      <c r="W366" s="164">
        <v>45901</v>
      </c>
      <c r="X366" s="140"/>
      <c r="Y366" s="162">
        <v>57460</v>
      </c>
    </row>
    <row r="367" spans="1:25" x14ac:dyDescent="0.25">
      <c r="A367" s="158" t="str">
        <f>PSPOINTS[[#This Row],[PayScaleCode]]&amp;PSPOINTS[[#This Row],[RateDateFrom]]</f>
        <v>LP_OUT45901</v>
      </c>
      <c r="B367" s="57">
        <f t="shared" si="5"/>
        <v>0</v>
      </c>
      <c r="C367" s="57" t="str">
        <f>PSPOINTS[[#This Row],[PayScaleCode]]&amp;PSPOINTS[[#This Row],[PayScalePointCode]]&amp;PSPOINTS[[#This Row],[RateDateFrom]]</f>
        <v>LP_OUTLP0345901</v>
      </c>
      <c r="D367" s="57">
        <f>COUNTIF(PSPOINTS[Pay Scale String Duplicates],PSPOINTS[[#This Row],[Pay Scale String Duplicates]])-1</f>
        <v>0</v>
      </c>
      <c r="E367" s="57">
        <f>IF((MONTH(_xlfn.XLOOKUP(PSPOINTS[[#This Row],[PayScaleCode]],'19_PayScales'!N:N,'19_PayScales'!R:R)))=MONTH(PSPOINTS[[#This Row],[RateDateFrom]]),0,1)</f>
        <v>0</v>
      </c>
      <c r="F367" s="57">
        <f>IF(ISBLANK(PSPOINTS[[#This Row],[RateDateTo]]),0,IF(PSPOINTS[[#This Row],[RateDateFrom]]&lt;PSPOINTS[[#This Row],[RateDateTo]],0,1))</f>
        <v>0</v>
      </c>
      <c r="G367" s="57" cm="1">
        <f t="array" aca="1" ref="G367" ca="1">IF(CELL("format",PSPOINTS[[#This Row],[RateDateFrom]])="D1",0,1)+IF(CELL("format",PSPOINTS[[#This Row],[RateDateTo]])="D1",0,1)</f>
        <v>0</v>
      </c>
      <c r="H367" s="57">
        <f>IF(OR(PSPOINTS[[#This Row],[Hourly]]=TRUE,PSPOINTS[[#This Row],[Hourly]]=FALSE),IF(OR(PSPOINTS[[#This Row],[PayScalePointEnabled]]=TRUE,PSPOINTS[[#This Row],[PayScalePointEnabled]]=FALSE),0,1),1)</f>
        <v>0</v>
      </c>
      <c r="I367" s="57">
        <f>IF(LEN(PSPOINTS[[#This Row],[PayScalePointCode]])&lt;100,0,1)</f>
        <v>0</v>
      </c>
      <c r="J367" s="57">
        <f>IF(LEN(PSPOINTS[[#This Row],[PayScalePointTitle]])&lt;100,0,1)</f>
        <v>0</v>
      </c>
      <c r="K367" s="57">
        <f>(COUNTBLANK(PSPOINTS[[#This Row],[PayScalePointCode]:[RateDateFrom]])+COUNTBLANK(PSPOINTS[[#This Row],[PayScaleRate]]))</f>
        <v>0</v>
      </c>
      <c r="L367" s="120">
        <f>IF(SUBSTITUTE(TEXT(PSPOINTS[[#This Row],[PayScaleCode]],10)," ","")=TEXT(PSPOINTS[[#This Row],[PayScaleCode]],10),0,1)+IF(SUBSTITUTE(TEXT(PSPOINTS[[#This Row],[PayScalePointCode]],10)," ","")=TEXT(PSPOINTS[[#This Row],[PayScalePointCode]],10),0,1)</f>
        <v>0</v>
      </c>
      <c r="M367" s="57">
        <f ca="1">SUM(PSPOINTS[[#This Row],[Scale Point Issue]:[Space in Code]])</f>
        <v>0</v>
      </c>
      <c r="N367" s="57" t="s">
        <v>1412</v>
      </c>
      <c r="P367" s="12" t="s">
        <v>1415</v>
      </c>
      <c r="Q367" s="57" t="str">
        <f>_xlfn.XLOOKUP(PSPOINTS[[#This Row],[PayScaleCode]],'19_PayScales'!N:N,'19_PayScales'!O:O)</f>
        <v>Lead Practitioner Outer</v>
      </c>
      <c r="R367" s="12" t="s">
        <v>1525</v>
      </c>
      <c r="S367" s="12" t="s">
        <v>1525</v>
      </c>
      <c r="T367" s="12">
        <v>3</v>
      </c>
      <c r="U367" s="12" t="b">
        <v>0</v>
      </c>
      <c r="V367" s="15" t="b">
        <v>1</v>
      </c>
      <c r="W367" s="164">
        <v>45901</v>
      </c>
      <c r="X367" s="140"/>
      <c r="Y367" s="162">
        <v>58785</v>
      </c>
    </row>
    <row r="368" spans="1:25" x14ac:dyDescent="0.25">
      <c r="A368" s="158" t="str">
        <f>PSPOINTS[[#This Row],[PayScaleCode]]&amp;PSPOINTS[[#This Row],[RateDateFrom]]</f>
        <v>LP_OUT45901</v>
      </c>
      <c r="B368" s="57">
        <f t="shared" si="5"/>
        <v>0</v>
      </c>
      <c r="C368" s="57" t="str">
        <f>PSPOINTS[[#This Row],[PayScaleCode]]&amp;PSPOINTS[[#This Row],[PayScalePointCode]]&amp;PSPOINTS[[#This Row],[RateDateFrom]]</f>
        <v>LP_OUTLP0445901</v>
      </c>
      <c r="D368" s="57">
        <f>COUNTIF(PSPOINTS[Pay Scale String Duplicates],PSPOINTS[[#This Row],[Pay Scale String Duplicates]])-1</f>
        <v>0</v>
      </c>
      <c r="E368" s="57">
        <f>IF((MONTH(_xlfn.XLOOKUP(PSPOINTS[[#This Row],[PayScaleCode]],'19_PayScales'!N:N,'19_PayScales'!R:R)))=MONTH(PSPOINTS[[#This Row],[RateDateFrom]]),0,1)</f>
        <v>0</v>
      </c>
      <c r="F368" s="57">
        <f>IF(ISBLANK(PSPOINTS[[#This Row],[RateDateTo]]),0,IF(PSPOINTS[[#This Row],[RateDateFrom]]&lt;PSPOINTS[[#This Row],[RateDateTo]],0,1))</f>
        <v>0</v>
      </c>
      <c r="G368" s="57" cm="1">
        <f t="array" aca="1" ref="G368" ca="1">IF(CELL("format",PSPOINTS[[#This Row],[RateDateFrom]])="D1",0,1)+IF(CELL("format",PSPOINTS[[#This Row],[RateDateTo]])="D1",0,1)</f>
        <v>0</v>
      </c>
      <c r="H368" s="57">
        <f>IF(OR(PSPOINTS[[#This Row],[Hourly]]=TRUE,PSPOINTS[[#This Row],[Hourly]]=FALSE),IF(OR(PSPOINTS[[#This Row],[PayScalePointEnabled]]=TRUE,PSPOINTS[[#This Row],[PayScalePointEnabled]]=FALSE),0,1),1)</f>
        <v>0</v>
      </c>
      <c r="I368" s="57">
        <f>IF(LEN(PSPOINTS[[#This Row],[PayScalePointCode]])&lt;100,0,1)</f>
        <v>0</v>
      </c>
      <c r="J368" s="57">
        <f>IF(LEN(PSPOINTS[[#This Row],[PayScalePointTitle]])&lt;100,0,1)</f>
        <v>0</v>
      </c>
      <c r="K368" s="57">
        <f>(COUNTBLANK(PSPOINTS[[#This Row],[PayScalePointCode]:[RateDateFrom]])+COUNTBLANK(PSPOINTS[[#This Row],[PayScaleRate]]))</f>
        <v>0</v>
      </c>
      <c r="L368" s="120">
        <f>IF(SUBSTITUTE(TEXT(PSPOINTS[[#This Row],[PayScaleCode]],10)," ","")=TEXT(PSPOINTS[[#This Row],[PayScaleCode]],10),0,1)+IF(SUBSTITUTE(TEXT(PSPOINTS[[#This Row],[PayScalePointCode]],10)," ","")=TEXT(PSPOINTS[[#This Row],[PayScalePointCode]],10),0,1)</f>
        <v>0</v>
      </c>
      <c r="M368" s="57">
        <f ca="1">SUM(PSPOINTS[[#This Row],[Scale Point Issue]:[Space in Code]])</f>
        <v>0</v>
      </c>
      <c r="N368" s="57" t="s">
        <v>1412</v>
      </c>
      <c r="P368" s="12" t="s">
        <v>1415</v>
      </c>
      <c r="Q368" s="57" t="str">
        <f>_xlfn.XLOOKUP(PSPOINTS[[#This Row],[PayScaleCode]],'19_PayScales'!N:N,'19_PayScales'!O:O)</f>
        <v>Lead Practitioner Outer</v>
      </c>
      <c r="R368" s="12" t="s">
        <v>1526</v>
      </c>
      <c r="S368" s="12" t="s">
        <v>1526</v>
      </c>
      <c r="T368" s="12">
        <v>4</v>
      </c>
      <c r="U368" s="12" t="b">
        <v>0</v>
      </c>
      <c r="V368" s="15" t="b">
        <v>1</v>
      </c>
      <c r="W368" s="164">
        <v>45901</v>
      </c>
      <c r="X368" s="140"/>
      <c r="Y368" s="162">
        <v>60155</v>
      </c>
    </row>
    <row r="369" spans="1:25" x14ac:dyDescent="0.25">
      <c r="A369" s="158" t="str">
        <f>PSPOINTS[[#This Row],[PayScaleCode]]&amp;PSPOINTS[[#This Row],[RateDateFrom]]</f>
        <v>LP_OUT45901</v>
      </c>
      <c r="B369" s="57">
        <f t="shared" si="5"/>
        <v>0</v>
      </c>
      <c r="C369" s="57" t="str">
        <f>PSPOINTS[[#This Row],[PayScaleCode]]&amp;PSPOINTS[[#This Row],[PayScalePointCode]]&amp;PSPOINTS[[#This Row],[RateDateFrom]]</f>
        <v>LP_OUTLP0545901</v>
      </c>
      <c r="D369" s="57">
        <f>COUNTIF(PSPOINTS[Pay Scale String Duplicates],PSPOINTS[[#This Row],[Pay Scale String Duplicates]])-1</f>
        <v>0</v>
      </c>
      <c r="E369" s="57">
        <f>IF((MONTH(_xlfn.XLOOKUP(PSPOINTS[[#This Row],[PayScaleCode]],'19_PayScales'!N:N,'19_PayScales'!R:R)))=MONTH(PSPOINTS[[#This Row],[RateDateFrom]]),0,1)</f>
        <v>0</v>
      </c>
      <c r="F369" s="57">
        <f>IF(ISBLANK(PSPOINTS[[#This Row],[RateDateTo]]),0,IF(PSPOINTS[[#This Row],[RateDateFrom]]&lt;PSPOINTS[[#This Row],[RateDateTo]],0,1))</f>
        <v>0</v>
      </c>
      <c r="G369" s="57" cm="1">
        <f t="array" aca="1" ref="G369" ca="1">IF(CELL("format",PSPOINTS[[#This Row],[RateDateFrom]])="D1",0,1)+IF(CELL("format",PSPOINTS[[#This Row],[RateDateTo]])="D1",0,1)</f>
        <v>0</v>
      </c>
      <c r="H369" s="57">
        <f>IF(OR(PSPOINTS[[#This Row],[Hourly]]=TRUE,PSPOINTS[[#This Row],[Hourly]]=FALSE),IF(OR(PSPOINTS[[#This Row],[PayScalePointEnabled]]=TRUE,PSPOINTS[[#This Row],[PayScalePointEnabled]]=FALSE),0,1),1)</f>
        <v>0</v>
      </c>
      <c r="I369" s="57">
        <f>IF(LEN(PSPOINTS[[#This Row],[PayScalePointCode]])&lt;100,0,1)</f>
        <v>0</v>
      </c>
      <c r="J369" s="57">
        <f>IF(LEN(PSPOINTS[[#This Row],[PayScalePointTitle]])&lt;100,0,1)</f>
        <v>0</v>
      </c>
      <c r="K369" s="57">
        <f>(COUNTBLANK(PSPOINTS[[#This Row],[PayScalePointCode]:[RateDateFrom]])+COUNTBLANK(PSPOINTS[[#This Row],[PayScaleRate]]))</f>
        <v>0</v>
      </c>
      <c r="L369" s="120">
        <f>IF(SUBSTITUTE(TEXT(PSPOINTS[[#This Row],[PayScaleCode]],10)," ","")=TEXT(PSPOINTS[[#This Row],[PayScaleCode]],10),0,1)+IF(SUBSTITUTE(TEXT(PSPOINTS[[#This Row],[PayScalePointCode]],10)," ","")=TEXT(PSPOINTS[[#This Row],[PayScalePointCode]],10),0,1)</f>
        <v>0</v>
      </c>
      <c r="M369" s="57">
        <f ca="1">SUM(PSPOINTS[[#This Row],[Scale Point Issue]:[Space in Code]])</f>
        <v>0</v>
      </c>
      <c r="N369" s="57" t="s">
        <v>1412</v>
      </c>
      <c r="P369" s="12" t="s">
        <v>1415</v>
      </c>
      <c r="Q369" s="57" t="str">
        <f>_xlfn.XLOOKUP(PSPOINTS[[#This Row],[PayScaleCode]],'19_PayScales'!N:N,'19_PayScales'!O:O)</f>
        <v>Lead Practitioner Outer</v>
      </c>
      <c r="R369" s="12" t="s">
        <v>1527</v>
      </c>
      <c r="S369" s="12" t="s">
        <v>1527</v>
      </c>
      <c r="T369" s="12">
        <v>5</v>
      </c>
      <c r="U369" s="12" t="b">
        <v>0</v>
      </c>
      <c r="V369" s="15" t="b">
        <v>1</v>
      </c>
      <c r="W369" s="164">
        <v>45901</v>
      </c>
      <c r="X369" s="140"/>
      <c r="Y369" s="162">
        <v>61551</v>
      </c>
    </row>
    <row r="370" spans="1:25" x14ac:dyDescent="0.25">
      <c r="A370" s="158" t="str">
        <f>PSPOINTS[[#This Row],[PayScaleCode]]&amp;PSPOINTS[[#This Row],[RateDateFrom]]</f>
        <v>LP_OUT45901</v>
      </c>
      <c r="B370" s="57">
        <f t="shared" si="5"/>
        <v>0</v>
      </c>
      <c r="C370" s="57" t="str">
        <f>PSPOINTS[[#This Row],[PayScaleCode]]&amp;PSPOINTS[[#This Row],[PayScalePointCode]]&amp;PSPOINTS[[#This Row],[RateDateFrom]]</f>
        <v>LP_OUTLP0645901</v>
      </c>
      <c r="D370" s="57">
        <f>COUNTIF(PSPOINTS[Pay Scale String Duplicates],PSPOINTS[[#This Row],[Pay Scale String Duplicates]])-1</f>
        <v>0</v>
      </c>
      <c r="E370" s="57">
        <f>IF((MONTH(_xlfn.XLOOKUP(PSPOINTS[[#This Row],[PayScaleCode]],'19_PayScales'!N:N,'19_PayScales'!R:R)))=MONTH(PSPOINTS[[#This Row],[RateDateFrom]]),0,1)</f>
        <v>0</v>
      </c>
      <c r="F370" s="57">
        <f>IF(ISBLANK(PSPOINTS[[#This Row],[RateDateTo]]),0,IF(PSPOINTS[[#This Row],[RateDateFrom]]&lt;PSPOINTS[[#This Row],[RateDateTo]],0,1))</f>
        <v>0</v>
      </c>
      <c r="G370" s="57" cm="1">
        <f t="array" aca="1" ref="G370" ca="1">IF(CELL("format",PSPOINTS[[#This Row],[RateDateFrom]])="D1",0,1)+IF(CELL("format",PSPOINTS[[#This Row],[RateDateTo]])="D1",0,1)</f>
        <v>0</v>
      </c>
      <c r="H370" s="57">
        <f>IF(OR(PSPOINTS[[#This Row],[Hourly]]=TRUE,PSPOINTS[[#This Row],[Hourly]]=FALSE),IF(OR(PSPOINTS[[#This Row],[PayScalePointEnabled]]=TRUE,PSPOINTS[[#This Row],[PayScalePointEnabled]]=FALSE),0,1),1)</f>
        <v>0</v>
      </c>
      <c r="I370" s="57">
        <f>IF(LEN(PSPOINTS[[#This Row],[PayScalePointCode]])&lt;100,0,1)</f>
        <v>0</v>
      </c>
      <c r="J370" s="57">
        <f>IF(LEN(PSPOINTS[[#This Row],[PayScalePointTitle]])&lt;100,0,1)</f>
        <v>0</v>
      </c>
      <c r="K370" s="57">
        <f>(COUNTBLANK(PSPOINTS[[#This Row],[PayScalePointCode]:[RateDateFrom]])+COUNTBLANK(PSPOINTS[[#This Row],[PayScaleRate]]))</f>
        <v>0</v>
      </c>
      <c r="L370" s="120">
        <f>IF(SUBSTITUTE(TEXT(PSPOINTS[[#This Row],[PayScaleCode]],10)," ","")=TEXT(PSPOINTS[[#This Row],[PayScaleCode]],10),0,1)+IF(SUBSTITUTE(TEXT(PSPOINTS[[#This Row],[PayScalePointCode]],10)," ","")=TEXT(PSPOINTS[[#This Row],[PayScalePointCode]],10),0,1)</f>
        <v>0</v>
      </c>
      <c r="M370" s="57">
        <f ca="1">SUM(PSPOINTS[[#This Row],[Scale Point Issue]:[Space in Code]])</f>
        <v>0</v>
      </c>
      <c r="N370" s="57" t="s">
        <v>1412</v>
      </c>
      <c r="P370" s="12" t="s">
        <v>1415</v>
      </c>
      <c r="Q370" s="57" t="str">
        <f>_xlfn.XLOOKUP(PSPOINTS[[#This Row],[PayScaleCode]],'19_PayScales'!N:N,'19_PayScales'!O:O)</f>
        <v>Lead Practitioner Outer</v>
      </c>
      <c r="R370" s="12" t="s">
        <v>1528</v>
      </c>
      <c r="S370" s="12" t="s">
        <v>1528</v>
      </c>
      <c r="T370" s="12">
        <v>6</v>
      </c>
      <c r="U370" s="12" t="b">
        <v>0</v>
      </c>
      <c r="V370" s="15" t="b">
        <v>1</v>
      </c>
      <c r="W370" s="164">
        <v>45901</v>
      </c>
      <c r="X370" s="140"/>
      <c r="Y370" s="162">
        <v>62985</v>
      </c>
    </row>
    <row r="371" spans="1:25" x14ac:dyDescent="0.25">
      <c r="A371" s="158" t="str">
        <f>PSPOINTS[[#This Row],[PayScaleCode]]&amp;PSPOINTS[[#This Row],[RateDateFrom]]</f>
        <v>LP_OUT45901</v>
      </c>
      <c r="B371" s="57">
        <f t="shared" si="5"/>
        <v>0</v>
      </c>
      <c r="C371" s="57" t="str">
        <f>PSPOINTS[[#This Row],[PayScaleCode]]&amp;PSPOINTS[[#This Row],[PayScalePointCode]]&amp;PSPOINTS[[#This Row],[RateDateFrom]]</f>
        <v>LP_OUTLP0745901</v>
      </c>
      <c r="D371" s="57">
        <f>COUNTIF(PSPOINTS[Pay Scale String Duplicates],PSPOINTS[[#This Row],[Pay Scale String Duplicates]])-1</f>
        <v>0</v>
      </c>
      <c r="E371" s="57">
        <f>IF((MONTH(_xlfn.XLOOKUP(PSPOINTS[[#This Row],[PayScaleCode]],'19_PayScales'!N:N,'19_PayScales'!R:R)))=MONTH(PSPOINTS[[#This Row],[RateDateFrom]]),0,1)</f>
        <v>0</v>
      </c>
      <c r="F371" s="57">
        <f>IF(ISBLANK(PSPOINTS[[#This Row],[RateDateTo]]),0,IF(PSPOINTS[[#This Row],[RateDateFrom]]&lt;PSPOINTS[[#This Row],[RateDateTo]],0,1))</f>
        <v>0</v>
      </c>
      <c r="G371" s="57" cm="1">
        <f t="array" aca="1" ref="G371" ca="1">IF(CELL("format",PSPOINTS[[#This Row],[RateDateFrom]])="D1",0,1)+IF(CELL("format",PSPOINTS[[#This Row],[RateDateTo]])="D1",0,1)</f>
        <v>0</v>
      </c>
      <c r="H371" s="57">
        <f>IF(OR(PSPOINTS[[#This Row],[Hourly]]=TRUE,PSPOINTS[[#This Row],[Hourly]]=FALSE),IF(OR(PSPOINTS[[#This Row],[PayScalePointEnabled]]=TRUE,PSPOINTS[[#This Row],[PayScalePointEnabled]]=FALSE),0,1),1)</f>
        <v>0</v>
      </c>
      <c r="I371" s="57">
        <f>IF(LEN(PSPOINTS[[#This Row],[PayScalePointCode]])&lt;100,0,1)</f>
        <v>0</v>
      </c>
      <c r="J371" s="57">
        <f>IF(LEN(PSPOINTS[[#This Row],[PayScalePointTitle]])&lt;100,0,1)</f>
        <v>0</v>
      </c>
      <c r="K371" s="57">
        <f>(COUNTBLANK(PSPOINTS[[#This Row],[PayScalePointCode]:[RateDateFrom]])+COUNTBLANK(PSPOINTS[[#This Row],[PayScaleRate]]))</f>
        <v>0</v>
      </c>
      <c r="L371" s="120">
        <f>IF(SUBSTITUTE(TEXT(PSPOINTS[[#This Row],[PayScaleCode]],10)," ","")=TEXT(PSPOINTS[[#This Row],[PayScaleCode]],10),0,1)+IF(SUBSTITUTE(TEXT(PSPOINTS[[#This Row],[PayScalePointCode]],10)," ","")=TEXT(PSPOINTS[[#This Row],[PayScalePointCode]],10),0,1)</f>
        <v>0</v>
      </c>
      <c r="M371" s="57">
        <f ca="1">SUM(PSPOINTS[[#This Row],[Scale Point Issue]:[Space in Code]])</f>
        <v>0</v>
      </c>
      <c r="N371" s="57" t="s">
        <v>1412</v>
      </c>
      <c r="P371" s="12" t="s">
        <v>1415</v>
      </c>
      <c r="Q371" s="57" t="str">
        <f>_xlfn.XLOOKUP(PSPOINTS[[#This Row],[PayScaleCode]],'19_PayScales'!N:N,'19_PayScales'!O:O)</f>
        <v>Lead Practitioner Outer</v>
      </c>
      <c r="R371" s="12" t="s">
        <v>1529</v>
      </c>
      <c r="S371" s="12" t="s">
        <v>1529</v>
      </c>
      <c r="T371" s="12">
        <v>7</v>
      </c>
      <c r="U371" s="12" t="b">
        <v>0</v>
      </c>
      <c r="V371" s="15" t="b">
        <v>1</v>
      </c>
      <c r="W371" s="164">
        <v>45901</v>
      </c>
      <c r="X371" s="140"/>
      <c r="Y371" s="162">
        <v>64573</v>
      </c>
    </row>
    <row r="372" spans="1:25" x14ac:dyDescent="0.25">
      <c r="A372" s="158" t="str">
        <f>PSPOINTS[[#This Row],[PayScaleCode]]&amp;PSPOINTS[[#This Row],[RateDateFrom]]</f>
        <v>LP_OUT45901</v>
      </c>
      <c r="B372" s="57">
        <f t="shared" si="5"/>
        <v>0</v>
      </c>
      <c r="C372" s="57" t="str">
        <f>PSPOINTS[[#This Row],[PayScaleCode]]&amp;PSPOINTS[[#This Row],[PayScalePointCode]]&amp;PSPOINTS[[#This Row],[RateDateFrom]]</f>
        <v>LP_OUTLP0845901</v>
      </c>
      <c r="D372" s="57">
        <f>COUNTIF(PSPOINTS[Pay Scale String Duplicates],PSPOINTS[[#This Row],[Pay Scale String Duplicates]])-1</f>
        <v>0</v>
      </c>
      <c r="E372" s="57">
        <f>IF((MONTH(_xlfn.XLOOKUP(PSPOINTS[[#This Row],[PayScaleCode]],'19_PayScales'!N:N,'19_PayScales'!R:R)))=MONTH(PSPOINTS[[#This Row],[RateDateFrom]]),0,1)</f>
        <v>0</v>
      </c>
      <c r="F372" s="57">
        <f>IF(ISBLANK(PSPOINTS[[#This Row],[RateDateTo]]),0,IF(PSPOINTS[[#This Row],[RateDateFrom]]&lt;PSPOINTS[[#This Row],[RateDateTo]],0,1))</f>
        <v>0</v>
      </c>
      <c r="G372" s="57" cm="1">
        <f t="array" aca="1" ref="G372" ca="1">IF(CELL("format",PSPOINTS[[#This Row],[RateDateFrom]])="D1",0,1)+IF(CELL("format",PSPOINTS[[#This Row],[RateDateTo]])="D1",0,1)</f>
        <v>0</v>
      </c>
      <c r="H372" s="57">
        <f>IF(OR(PSPOINTS[[#This Row],[Hourly]]=TRUE,PSPOINTS[[#This Row],[Hourly]]=FALSE),IF(OR(PSPOINTS[[#This Row],[PayScalePointEnabled]]=TRUE,PSPOINTS[[#This Row],[PayScalePointEnabled]]=FALSE),0,1),1)</f>
        <v>0</v>
      </c>
      <c r="I372" s="57">
        <f>IF(LEN(PSPOINTS[[#This Row],[PayScalePointCode]])&lt;100,0,1)</f>
        <v>0</v>
      </c>
      <c r="J372" s="57">
        <f>IF(LEN(PSPOINTS[[#This Row],[PayScalePointTitle]])&lt;100,0,1)</f>
        <v>0</v>
      </c>
      <c r="K372" s="57">
        <f>(COUNTBLANK(PSPOINTS[[#This Row],[PayScalePointCode]:[RateDateFrom]])+COUNTBLANK(PSPOINTS[[#This Row],[PayScaleRate]]))</f>
        <v>0</v>
      </c>
      <c r="L372" s="120">
        <f>IF(SUBSTITUTE(TEXT(PSPOINTS[[#This Row],[PayScaleCode]],10)," ","")=TEXT(PSPOINTS[[#This Row],[PayScaleCode]],10),0,1)+IF(SUBSTITUTE(TEXT(PSPOINTS[[#This Row],[PayScalePointCode]],10)," ","")=TEXT(PSPOINTS[[#This Row],[PayScalePointCode]],10),0,1)</f>
        <v>0</v>
      </c>
      <c r="M372" s="57">
        <f ca="1">SUM(PSPOINTS[[#This Row],[Scale Point Issue]:[Space in Code]])</f>
        <v>0</v>
      </c>
      <c r="N372" s="57" t="s">
        <v>1412</v>
      </c>
      <c r="P372" s="12" t="s">
        <v>1415</v>
      </c>
      <c r="Q372" s="57" t="str">
        <f>_xlfn.XLOOKUP(PSPOINTS[[#This Row],[PayScaleCode]],'19_PayScales'!N:N,'19_PayScales'!O:O)</f>
        <v>Lead Practitioner Outer</v>
      </c>
      <c r="R372" s="12" t="s">
        <v>1530</v>
      </c>
      <c r="S372" s="12" t="s">
        <v>1530</v>
      </c>
      <c r="T372" s="12">
        <v>8</v>
      </c>
      <c r="U372" s="12" t="b">
        <v>0</v>
      </c>
      <c r="V372" s="15" t="b">
        <v>1</v>
      </c>
      <c r="W372" s="164">
        <v>45901</v>
      </c>
      <c r="X372" s="140"/>
      <c r="Y372" s="162">
        <v>65967</v>
      </c>
    </row>
    <row r="373" spans="1:25" x14ac:dyDescent="0.25">
      <c r="A373" s="158" t="str">
        <f>PSPOINTS[[#This Row],[PayScaleCode]]&amp;PSPOINTS[[#This Row],[RateDateFrom]]</f>
        <v>LP_OUT45901</v>
      </c>
      <c r="B373" s="57">
        <f t="shared" si="5"/>
        <v>0</v>
      </c>
      <c r="C373" s="57" t="str">
        <f>PSPOINTS[[#This Row],[PayScaleCode]]&amp;PSPOINTS[[#This Row],[PayScalePointCode]]&amp;PSPOINTS[[#This Row],[RateDateFrom]]</f>
        <v>LP_OUTLP0945901</v>
      </c>
      <c r="D373" s="57">
        <f>COUNTIF(PSPOINTS[Pay Scale String Duplicates],PSPOINTS[[#This Row],[Pay Scale String Duplicates]])-1</f>
        <v>0</v>
      </c>
      <c r="E373" s="57">
        <f>IF((MONTH(_xlfn.XLOOKUP(PSPOINTS[[#This Row],[PayScaleCode]],'19_PayScales'!N:N,'19_PayScales'!R:R)))=MONTH(PSPOINTS[[#This Row],[RateDateFrom]]),0,1)</f>
        <v>0</v>
      </c>
      <c r="F373" s="57">
        <f>IF(ISBLANK(PSPOINTS[[#This Row],[RateDateTo]]),0,IF(PSPOINTS[[#This Row],[RateDateFrom]]&lt;PSPOINTS[[#This Row],[RateDateTo]],0,1))</f>
        <v>0</v>
      </c>
      <c r="G373" s="57" cm="1">
        <f t="array" aca="1" ref="G373" ca="1">IF(CELL("format",PSPOINTS[[#This Row],[RateDateFrom]])="D1",0,1)+IF(CELL("format",PSPOINTS[[#This Row],[RateDateTo]])="D1",0,1)</f>
        <v>0</v>
      </c>
      <c r="H373" s="57">
        <f>IF(OR(PSPOINTS[[#This Row],[Hourly]]=TRUE,PSPOINTS[[#This Row],[Hourly]]=FALSE),IF(OR(PSPOINTS[[#This Row],[PayScalePointEnabled]]=TRUE,PSPOINTS[[#This Row],[PayScalePointEnabled]]=FALSE),0,1),1)</f>
        <v>0</v>
      </c>
      <c r="I373" s="57">
        <f>IF(LEN(PSPOINTS[[#This Row],[PayScalePointCode]])&lt;100,0,1)</f>
        <v>0</v>
      </c>
      <c r="J373" s="57">
        <f>IF(LEN(PSPOINTS[[#This Row],[PayScalePointTitle]])&lt;100,0,1)</f>
        <v>0</v>
      </c>
      <c r="K373" s="57">
        <f>(COUNTBLANK(PSPOINTS[[#This Row],[PayScalePointCode]:[RateDateFrom]])+COUNTBLANK(PSPOINTS[[#This Row],[PayScaleRate]]))</f>
        <v>0</v>
      </c>
      <c r="L373" s="120">
        <f>IF(SUBSTITUTE(TEXT(PSPOINTS[[#This Row],[PayScaleCode]],10)," ","")=TEXT(PSPOINTS[[#This Row],[PayScaleCode]],10),0,1)+IF(SUBSTITUTE(TEXT(PSPOINTS[[#This Row],[PayScalePointCode]],10)," ","")=TEXT(PSPOINTS[[#This Row],[PayScalePointCode]],10),0,1)</f>
        <v>0</v>
      </c>
      <c r="M373" s="57">
        <f ca="1">SUM(PSPOINTS[[#This Row],[Scale Point Issue]:[Space in Code]])</f>
        <v>0</v>
      </c>
      <c r="N373" s="57" t="s">
        <v>1412</v>
      </c>
      <c r="P373" s="12" t="s">
        <v>1415</v>
      </c>
      <c r="Q373" s="57" t="str">
        <f>_xlfn.XLOOKUP(PSPOINTS[[#This Row],[PayScaleCode]],'19_PayScales'!N:N,'19_PayScales'!O:O)</f>
        <v>Lead Practitioner Outer</v>
      </c>
      <c r="R373" s="12" t="s">
        <v>1531</v>
      </c>
      <c r="S373" s="12" t="s">
        <v>1531</v>
      </c>
      <c r="T373" s="12">
        <v>9</v>
      </c>
      <c r="U373" s="12" t="b">
        <v>0</v>
      </c>
      <c r="V373" s="15" t="b">
        <v>1</v>
      </c>
      <c r="W373" s="164">
        <v>45901</v>
      </c>
      <c r="X373" s="140"/>
      <c r="Y373" s="162">
        <v>67507</v>
      </c>
    </row>
    <row r="374" spans="1:25" x14ac:dyDescent="0.25">
      <c r="A374" s="158" t="str">
        <f>PSPOINTS[[#This Row],[PayScaleCode]]&amp;PSPOINTS[[#This Row],[RateDateFrom]]</f>
        <v>LP_OUT45901</v>
      </c>
      <c r="B374" s="57">
        <f t="shared" si="5"/>
        <v>0</v>
      </c>
      <c r="C374" s="57" t="str">
        <f>PSPOINTS[[#This Row],[PayScaleCode]]&amp;PSPOINTS[[#This Row],[PayScalePointCode]]&amp;PSPOINTS[[#This Row],[RateDateFrom]]</f>
        <v>LP_OUTLP1045901</v>
      </c>
      <c r="D374" s="57">
        <f>COUNTIF(PSPOINTS[Pay Scale String Duplicates],PSPOINTS[[#This Row],[Pay Scale String Duplicates]])-1</f>
        <v>0</v>
      </c>
      <c r="E374" s="57">
        <f>IF((MONTH(_xlfn.XLOOKUP(PSPOINTS[[#This Row],[PayScaleCode]],'19_PayScales'!N:N,'19_PayScales'!R:R)))=MONTH(PSPOINTS[[#This Row],[RateDateFrom]]),0,1)</f>
        <v>0</v>
      </c>
      <c r="F374" s="57">
        <f>IF(ISBLANK(PSPOINTS[[#This Row],[RateDateTo]]),0,IF(PSPOINTS[[#This Row],[RateDateFrom]]&lt;PSPOINTS[[#This Row],[RateDateTo]],0,1))</f>
        <v>0</v>
      </c>
      <c r="G374" s="57" cm="1">
        <f t="array" aca="1" ref="G374" ca="1">IF(CELL("format",PSPOINTS[[#This Row],[RateDateFrom]])="D1",0,1)+IF(CELL("format",PSPOINTS[[#This Row],[RateDateTo]])="D1",0,1)</f>
        <v>0</v>
      </c>
      <c r="H374" s="57">
        <f>IF(OR(PSPOINTS[[#This Row],[Hourly]]=TRUE,PSPOINTS[[#This Row],[Hourly]]=FALSE),IF(OR(PSPOINTS[[#This Row],[PayScalePointEnabled]]=TRUE,PSPOINTS[[#This Row],[PayScalePointEnabled]]=FALSE),0,1),1)</f>
        <v>0</v>
      </c>
      <c r="I374" s="57">
        <f>IF(LEN(PSPOINTS[[#This Row],[PayScalePointCode]])&lt;100,0,1)</f>
        <v>0</v>
      </c>
      <c r="J374" s="57">
        <f>IF(LEN(PSPOINTS[[#This Row],[PayScalePointTitle]])&lt;100,0,1)</f>
        <v>0</v>
      </c>
      <c r="K374" s="57">
        <f>(COUNTBLANK(PSPOINTS[[#This Row],[PayScalePointCode]:[RateDateFrom]])+COUNTBLANK(PSPOINTS[[#This Row],[PayScaleRate]]))</f>
        <v>0</v>
      </c>
      <c r="L374" s="120">
        <f>IF(SUBSTITUTE(TEXT(PSPOINTS[[#This Row],[PayScaleCode]],10)," ","")=TEXT(PSPOINTS[[#This Row],[PayScaleCode]],10),0,1)+IF(SUBSTITUTE(TEXT(PSPOINTS[[#This Row],[PayScalePointCode]],10)," ","")=TEXT(PSPOINTS[[#This Row],[PayScalePointCode]],10),0,1)</f>
        <v>0</v>
      </c>
      <c r="M374" s="57">
        <f ca="1">SUM(PSPOINTS[[#This Row],[Scale Point Issue]:[Space in Code]])</f>
        <v>0</v>
      </c>
      <c r="N374" s="57" t="s">
        <v>1412</v>
      </c>
      <c r="P374" s="12" t="s">
        <v>1415</v>
      </c>
      <c r="Q374" s="57" t="str">
        <f>_xlfn.XLOOKUP(PSPOINTS[[#This Row],[PayScaleCode]],'19_PayScales'!N:N,'19_PayScales'!O:O)</f>
        <v>Lead Practitioner Outer</v>
      </c>
      <c r="R374" s="12" t="s">
        <v>1532</v>
      </c>
      <c r="S374" s="12" t="s">
        <v>1532</v>
      </c>
      <c r="T374" s="12">
        <v>10</v>
      </c>
      <c r="U374" s="12" t="b">
        <v>0</v>
      </c>
      <c r="V374" s="15" t="b">
        <v>1</v>
      </c>
      <c r="W374" s="164">
        <v>45901</v>
      </c>
      <c r="X374" s="140"/>
      <c r="Y374" s="162">
        <v>69139</v>
      </c>
    </row>
    <row r="375" spans="1:25" x14ac:dyDescent="0.25">
      <c r="A375" s="158" t="str">
        <f>PSPOINTS[[#This Row],[PayScaleCode]]&amp;PSPOINTS[[#This Row],[RateDateFrom]]</f>
        <v>LP_OUT45901</v>
      </c>
      <c r="B375" s="57">
        <f t="shared" si="5"/>
        <v>0</v>
      </c>
      <c r="C375" s="57" t="str">
        <f>PSPOINTS[[#This Row],[PayScaleCode]]&amp;PSPOINTS[[#This Row],[PayScalePointCode]]&amp;PSPOINTS[[#This Row],[RateDateFrom]]</f>
        <v>LP_OUTLP1145901</v>
      </c>
      <c r="D375" s="57">
        <f>COUNTIF(PSPOINTS[Pay Scale String Duplicates],PSPOINTS[[#This Row],[Pay Scale String Duplicates]])-1</f>
        <v>0</v>
      </c>
      <c r="E375" s="57">
        <f>IF((MONTH(_xlfn.XLOOKUP(PSPOINTS[[#This Row],[PayScaleCode]],'19_PayScales'!N:N,'19_PayScales'!R:R)))=MONTH(PSPOINTS[[#This Row],[RateDateFrom]]),0,1)</f>
        <v>0</v>
      </c>
      <c r="F375" s="57">
        <f>IF(ISBLANK(PSPOINTS[[#This Row],[RateDateTo]]),0,IF(PSPOINTS[[#This Row],[RateDateFrom]]&lt;PSPOINTS[[#This Row],[RateDateTo]],0,1))</f>
        <v>0</v>
      </c>
      <c r="G375" s="57" cm="1">
        <f t="array" aca="1" ref="G375" ca="1">IF(CELL("format",PSPOINTS[[#This Row],[RateDateFrom]])="D1",0,1)+IF(CELL("format",PSPOINTS[[#This Row],[RateDateTo]])="D1",0,1)</f>
        <v>0</v>
      </c>
      <c r="H375" s="57">
        <f>IF(OR(PSPOINTS[[#This Row],[Hourly]]=TRUE,PSPOINTS[[#This Row],[Hourly]]=FALSE),IF(OR(PSPOINTS[[#This Row],[PayScalePointEnabled]]=TRUE,PSPOINTS[[#This Row],[PayScalePointEnabled]]=FALSE),0,1),1)</f>
        <v>0</v>
      </c>
      <c r="I375" s="57">
        <f>IF(LEN(PSPOINTS[[#This Row],[PayScalePointCode]])&lt;100,0,1)</f>
        <v>0</v>
      </c>
      <c r="J375" s="57">
        <f>IF(LEN(PSPOINTS[[#This Row],[PayScalePointTitle]])&lt;100,0,1)</f>
        <v>0</v>
      </c>
      <c r="K375" s="57">
        <f>(COUNTBLANK(PSPOINTS[[#This Row],[PayScalePointCode]:[RateDateFrom]])+COUNTBLANK(PSPOINTS[[#This Row],[PayScaleRate]]))</f>
        <v>0</v>
      </c>
      <c r="L375" s="120">
        <f>IF(SUBSTITUTE(TEXT(PSPOINTS[[#This Row],[PayScaleCode]],10)," ","")=TEXT(PSPOINTS[[#This Row],[PayScaleCode]],10),0,1)+IF(SUBSTITUTE(TEXT(PSPOINTS[[#This Row],[PayScalePointCode]],10)," ","")=TEXT(PSPOINTS[[#This Row],[PayScalePointCode]],10),0,1)</f>
        <v>0</v>
      </c>
      <c r="M375" s="57">
        <f ca="1">SUM(PSPOINTS[[#This Row],[Scale Point Issue]:[Space in Code]])</f>
        <v>0</v>
      </c>
      <c r="N375" s="57" t="s">
        <v>1412</v>
      </c>
      <c r="P375" s="12" t="s">
        <v>1415</v>
      </c>
      <c r="Q375" s="57" t="str">
        <f>_xlfn.XLOOKUP(PSPOINTS[[#This Row],[PayScaleCode]],'19_PayScales'!N:N,'19_PayScales'!O:O)</f>
        <v>Lead Practitioner Outer</v>
      </c>
      <c r="R375" s="12" t="s">
        <v>1533</v>
      </c>
      <c r="S375" s="12" t="s">
        <v>1533</v>
      </c>
      <c r="T375" s="12">
        <v>11</v>
      </c>
      <c r="U375" s="12" t="b">
        <v>0</v>
      </c>
      <c r="V375" s="15" t="b">
        <v>1</v>
      </c>
      <c r="W375" s="164">
        <v>45901</v>
      </c>
      <c r="X375" s="140"/>
      <c r="Y375" s="162">
        <v>70818</v>
      </c>
    </row>
    <row r="376" spans="1:25" x14ac:dyDescent="0.25">
      <c r="A376" s="158" t="str">
        <f>PSPOINTS[[#This Row],[PayScaleCode]]&amp;PSPOINTS[[#This Row],[RateDateFrom]]</f>
        <v>LP_OUT45901</v>
      </c>
      <c r="B376" s="57">
        <f t="shared" si="5"/>
        <v>0</v>
      </c>
      <c r="C376" s="57" t="str">
        <f>PSPOINTS[[#This Row],[PayScaleCode]]&amp;PSPOINTS[[#This Row],[PayScalePointCode]]&amp;PSPOINTS[[#This Row],[RateDateFrom]]</f>
        <v>LP_OUTLP1245901</v>
      </c>
      <c r="D376" s="57">
        <f>COUNTIF(PSPOINTS[Pay Scale String Duplicates],PSPOINTS[[#This Row],[Pay Scale String Duplicates]])-1</f>
        <v>0</v>
      </c>
      <c r="E376" s="57">
        <f>IF((MONTH(_xlfn.XLOOKUP(PSPOINTS[[#This Row],[PayScaleCode]],'19_PayScales'!N:N,'19_PayScales'!R:R)))=MONTH(PSPOINTS[[#This Row],[RateDateFrom]]),0,1)</f>
        <v>0</v>
      </c>
      <c r="F376" s="57">
        <f>IF(ISBLANK(PSPOINTS[[#This Row],[RateDateTo]]),0,IF(PSPOINTS[[#This Row],[RateDateFrom]]&lt;PSPOINTS[[#This Row],[RateDateTo]],0,1))</f>
        <v>0</v>
      </c>
      <c r="G376" s="57" cm="1">
        <f t="array" aca="1" ref="G376" ca="1">IF(CELL("format",PSPOINTS[[#This Row],[RateDateFrom]])="D1",0,1)+IF(CELL("format",PSPOINTS[[#This Row],[RateDateTo]])="D1",0,1)</f>
        <v>0</v>
      </c>
      <c r="H376" s="57">
        <f>IF(OR(PSPOINTS[[#This Row],[Hourly]]=TRUE,PSPOINTS[[#This Row],[Hourly]]=FALSE),IF(OR(PSPOINTS[[#This Row],[PayScalePointEnabled]]=TRUE,PSPOINTS[[#This Row],[PayScalePointEnabled]]=FALSE),0,1),1)</f>
        <v>0</v>
      </c>
      <c r="I376" s="57">
        <f>IF(LEN(PSPOINTS[[#This Row],[PayScalePointCode]])&lt;100,0,1)</f>
        <v>0</v>
      </c>
      <c r="J376" s="57">
        <f>IF(LEN(PSPOINTS[[#This Row],[PayScalePointTitle]])&lt;100,0,1)</f>
        <v>0</v>
      </c>
      <c r="K376" s="57">
        <f>(COUNTBLANK(PSPOINTS[[#This Row],[PayScalePointCode]:[RateDateFrom]])+COUNTBLANK(PSPOINTS[[#This Row],[PayScaleRate]]))</f>
        <v>0</v>
      </c>
      <c r="L376" s="120">
        <f>IF(SUBSTITUTE(TEXT(PSPOINTS[[#This Row],[PayScaleCode]],10)," ","")=TEXT(PSPOINTS[[#This Row],[PayScaleCode]],10),0,1)+IF(SUBSTITUTE(TEXT(PSPOINTS[[#This Row],[PayScalePointCode]],10)," ","")=TEXT(PSPOINTS[[#This Row],[PayScalePointCode]],10),0,1)</f>
        <v>0</v>
      </c>
      <c r="M376" s="57">
        <f ca="1">SUM(PSPOINTS[[#This Row],[Scale Point Issue]:[Space in Code]])</f>
        <v>0</v>
      </c>
      <c r="N376" s="57" t="s">
        <v>1412</v>
      </c>
      <c r="P376" s="12" t="s">
        <v>1415</v>
      </c>
      <c r="Q376" s="57" t="str">
        <f>_xlfn.XLOOKUP(PSPOINTS[[#This Row],[PayScaleCode]],'19_PayScales'!N:N,'19_PayScales'!O:O)</f>
        <v>Lead Practitioner Outer</v>
      </c>
      <c r="R376" s="12" t="s">
        <v>1534</v>
      </c>
      <c r="S376" s="12" t="s">
        <v>1534</v>
      </c>
      <c r="T376" s="12">
        <v>12</v>
      </c>
      <c r="U376" s="12" t="b">
        <v>0</v>
      </c>
      <c r="V376" s="15" t="b">
        <v>1</v>
      </c>
      <c r="W376" s="164">
        <v>45901</v>
      </c>
      <c r="X376" s="140"/>
      <c r="Y376" s="162">
        <v>72365</v>
      </c>
    </row>
    <row r="377" spans="1:25" x14ac:dyDescent="0.25">
      <c r="A377" s="158" t="str">
        <f>PSPOINTS[[#This Row],[PayScaleCode]]&amp;PSPOINTS[[#This Row],[RateDateFrom]]</f>
        <v>LP_OUT45901</v>
      </c>
      <c r="B377" s="57">
        <f t="shared" si="5"/>
        <v>0</v>
      </c>
      <c r="C377" s="57" t="str">
        <f>PSPOINTS[[#This Row],[PayScaleCode]]&amp;PSPOINTS[[#This Row],[PayScalePointCode]]&amp;PSPOINTS[[#This Row],[RateDateFrom]]</f>
        <v>LP_OUTLP1345901</v>
      </c>
      <c r="D377" s="57">
        <f>COUNTIF(PSPOINTS[Pay Scale String Duplicates],PSPOINTS[[#This Row],[Pay Scale String Duplicates]])-1</f>
        <v>0</v>
      </c>
      <c r="E377" s="57">
        <f>IF((MONTH(_xlfn.XLOOKUP(PSPOINTS[[#This Row],[PayScaleCode]],'19_PayScales'!N:N,'19_PayScales'!R:R)))=MONTH(PSPOINTS[[#This Row],[RateDateFrom]]),0,1)</f>
        <v>0</v>
      </c>
      <c r="F377" s="57">
        <f>IF(ISBLANK(PSPOINTS[[#This Row],[RateDateTo]]),0,IF(PSPOINTS[[#This Row],[RateDateFrom]]&lt;PSPOINTS[[#This Row],[RateDateTo]],0,1))</f>
        <v>0</v>
      </c>
      <c r="G377" s="57" cm="1">
        <f t="array" aca="1" ref="G377" ca="1">IF(CELL("format",PSPOINTS[[#This Row],[RateDateFrom]])="D1",0,1)+IF(CELL("format",PSPOINTS[[#This Row],[RateDateTo]])="D1",0,1)</f>
        <v>0</v>
      </c>
      <c r="H377" s="57">
        <f>IF(OR(PSPOINTS[[#This Row],[Hourly]]=TRUE,PSPOINTS[[#This Row],[Hourly]]=FALSE),IF(OR(PSPOINTS[[#This Row],[PayScalePointEnabled]]=TRUE,PSPOINTS[[#This Row],[PayScalePointEnabled]]=FALSE),0,1),1)</f>
        <v>0</v>
      </c>
      <c r="I377" s="57">
        <f>IF(LEN(PSPOINTS[[#This Row],[PayScalePointCode]])&lt;100,0,1)</f>
        <v>0</v>
      </c>
      <c r="J377" s="57">
        <f>IF(LEN(PSPOINTS[[#This Row],[PayScalePointTitle]])&lt;100,0,1)</f>
        <v>0</v>
      </c>
      <c r="K377" s="57">
        <f>(COUNTBLANK(PSPOINTS[[#This Row],[PayScalePointCode]:[RateDateFrom]])+COUNTBLANK(PSPOINTS[[#This Row],[PayScaleRate]]))</f>
        <v>0</v>
      </c>
      <c r="L377" s="120">
        <f>IF(SUBSTITUTE(TEXT(PSPOINTS[[#This Row],[PayScaleCode]],10)," ","")=TEXT(PSPOINTS[[#This Row],[PayScaleCode]],10),0,1)+IF(SUBSTITUTE(TEXT(PSPOINTS[[#This Row],[PayScalePointCode]],10)," ","")=TEXT(PSPOINTS[[#This Row],[PayScalePointCode]],10),0,1)</f>
        <v>0</v>
      </c>
      <c r="M377" s="57">
        <f ca="1">SUM(PSPOINTS[[#This Row],[Scale Point Issue]:[Space in Code]])</f>
        <v>0</v>
      </c>
      <c r="N377" s="57" t="s">
        <v>1412</v>
      </c>
      <c r="P377" s="12" t="s">
        <v>1415</v>
      </c>
      <c r="Q377" s="57" t="str">
        <f>_xlfn.XLOOKUP(PSPOINTS[[#This Row],[PayScaleCode]],'19_PayScales'!N:N,'19_PayScales'!O:O)</f>
        <v>Lead Practitioner Outer</v>
      </c>
      <c r="R377" s="12" t="s">
        <v>1535</v>
      </c>
      <c r="S377" s="12" t="s">
        <v>1535</v>
      </c>
      <c r="T377" s="12">
        <v>13</v>
      </c>
      <c r="U377" s="12" t="b">
        <v>0</v>
      </c>
      <c r="V377" s="15" t="b">
        <v>1</v>
      </c>
      <c r="W377" s="164">
        <v>45901</v>
      </c>
      <c r="X377" s="140"/>
      <c r="Y377" s="162">
        <v>74073</v>
      </c>
    </row>
    <row r="378" spans="1:25" x14ac:dyDescent="0.25">
      <c r="A378" s="158" t="str">
        <f>PSPOINTS[[#This Row],[PayScaleCode]]&amp;PSPOINTS[[#This Row],[RateDateFrom]]</f>
        <v>LP_OUT45901</v>
      </c>
      <c r="B378" s="57">
        <f t="shared" si="5"/>
        <v>0</v>
      </c>
      <c r="C378" s="57" t="str">
        <f>PSPOINTS[[#This Row],[PayScaleCode]]&amp;PSPOINTS[[#This Row],[PayScalePointCode]]&amp;PSPOINTS[[#This Row],[RateDateFrom]]</f>
        <v>LP_OUTLP1445901</v>
      </c>
      <c r="D378" s="57">
        <f>COUNTIF(PSPOINTS[Pay Scale String Duplicates],PSPOINTS[[#This Row],[Pay Scale String Duplicates]])-1</f>
        <v>0</v>
      </c>
      <c r="E378" s="57">
        <f>IF((MONTH(_xlfn.XLOOKUP(PSPOINTS[[#This Row],[PayScaleCode]],'19_PayScales'!N:N,'19_PayScales'!R:R)))=MONTH(PSPOINTS[[#This Row],[RateDateFrom]]),0,1)</f>
        <v>0</v>
      </c>
      <c r="F378" s="57">
        <f>IF(ISBLANK(PSPOINTS[[#This Row],[RateDateTo]]),0,IF(PSPOINTS[[#This Row],[RateDateFrom]]&lt;PSPOINTS[[#This Row],[RateDateTo]],0,1))</f>
        <v>0</v>
      </c>
      <c r="G378" s="57" cm="1">
        <f t="array" aca="1" ref="G378" ca="1">IF(CELL("format",PSPOINTS[[#This Row],[RateDateFrom]])="D1",0,1)+IF(CELL("format",PSPOINTS[[#This Row],[RateDateTo]])="D1",0,1)</f>
        <v>0</v>
      </c>
      <c r="H378" s="57">
        <f>IF(OR(PSPOINTS[[#This Row],[Hourly]]=TRUE,PSPOINTS[[#This Row],[Hourly]]=FALSE),IF(OR(PSPOINTS[[#This Row],[PayScalePointEnabled]]=TRUE,PSPOINTS[[#This Row],[PayScalePointEnabled]]=FALSE),0,1),1)</f>
        <v>0</v>
      </c>
      <c r="I378" s="57">
        <f>IF(LEN(PSPOINTS[[#This Row],[PayScalePointCode]])&lt;100,0,1)</f>
        <v>0</v>
      </c>
      <c r="J378" s="57">
        <f>IF(LEN(PSPOINTS[[#This Row],[PayScalePointTitle]])&lt;100,0,1)</f>
        <v>0</v>
      </c>
      <c r="K378" s="57">
        <f>(COUNTBLANK(PSPOINTS[[#This Row],[PayScalePointCode]:[RateDateFrom]])+COUNTBLANK(PSPOINTS[[#This Row],[PayScaleRate]]))</f>
        <v>0</v>
      </c>
      <c r="L378" s="120">
        <f>IF(SUBSTITUTE(TEXT(PSPOINTS[[#This Row],[PayScaleCode]],10)," ","")=TEXT(PSPOINTS[[#This Row],[PayScaleCode]],10),0,1)+IF(SUBSTITUTE(TEXT(PSPOINTS[[#This Row],[PayScalePointCode]],10)," ","")=TEXT(PSPOINTS[[#This Row],[PayScalePointCode]],10),0,1)</f>
        <v>0</v>
      </c>
      <c r="M378" s="57">
        <f ca="1">SUM(PSPOINTS[[#This Row],[Scale Point Issue]:[Space in Code]])</f>
        <v>0</v>
      </c>
      <c r="N378" s="57" t="s">
        <v>1412</v>
      </c>
      <c r="P378" s="12" t="s">
        <v>1415</v>
      </c>
      <c r="Q378" s="57" t="str">
        <f>_xlfn.XLOOKUP(PSPOINTS[[#This Row],[PayScaleCode]],'19_PayScales'!N:N,'19_PayScales'!O:O)</f>
        <v>Lead Practitioner Outer</v>
      </c>
      <c r="R378" s="12" t="s">
        <v>1536</v>
      </c>
      <c r="S378" s="12" t="s">
        <v>1536</v>
      </c>
      <c r="T378" s="12">
        <v>14</v>
      </c>
      <c r="U378" s="12" t="b">
        <v>0</v>
      </c>
      <c r="V378" s="15" t="b">
        <v>1</v>
      </c>
      <c r="W378" s="164">
        <v>45901</v>
      </c>
      <c r="X378" s="140"/>
      <c r="Y378" s="162">
        <v>75805</v>
      </c>
    </row>
    <row r="379" spans="1:25" x14ac:dyDescent="0.25">
      <c r="A379" s="158" t="str">
        <f>PSPOINTS[[#This Row],[PayScaleCode]]&amp;PSPOINTS[[#This Row],[RateDateFrom]]</f>
        <v>LP_OUT45901</v>
      </c>
      <c r="B379" s="57">
        <f t="shared" si="5"/>
        <v>0</v>
      </c>
      <c r="C379" s="57" t="str">
        <f>PSPOINTS[[#This Row],[PayScaleCode]]&amp;PSPOINTS[[#This Row],[PayScalePointCode]]&amp;PSPOINTS[[#This Row],[RateDateFrom]]</f>
        <v>LP_OUTLP1545901</v>
      </c>
      <c r="D379" s="57">
        <f>COUNTIF(PSPOINTS[Pay Scale String Duplicates],PSPOINTS[[#This Row],[Pay Scale String Duplicates]])-1</f>
        <v>0</v>
      </c>
      <c r="E379" s="57">
        <f>IF((MONTH(_xlfn.XLOOKUP(PSPOINTS[[#This Row],[PayScaleCode]],'19_PayScales'!N:N,'19_PayScales'!R:R)))=MONTH(PSPOINTS[[#This Row],[RateDateFrom]]),0,1)</f>
        <v>0</v>
      </c>
      <c r="F379" s="57">
        <f>IF(ISBLANK(PSPOINTS[[#This Row],[RateDateTo]]),0,IF(PSPOINTS[[#This Row],[RateDateFrom]]&lt;PSPOINTS[[#This Row],[RateDateTo]],0,1))</f>
        <v>0</v>
      </c>
      <c r="G379" s="57" cm="1">
        <f t="array" aca="1" ref="G379" ca="1">IF(CELL("format",PSPOINTS[[#This Row],[RateDateFrom]])="D1",0,1)+IF(CELL("format",PSPOINTS[[#This Row],[RateDateTo]])="D1",0,1)</f>
        <v>0</v>
      </c>
      <c r="H379" s="57">
        <f>IF(OR(PSPOINTS[[#This Row],[Hourly]]=TRUE,PSPOINTS[[#This Row],[Hourly]]=FALSE),IF(OR(PSPOINTS[[#This Row],[PayScalePointEnabled]]=TRUE,PSPOINTS[[#This Row],[PayScalePointEnabled]]=FALSE),0,1),1)</f>
        <v>0</v>
      </c>
      <c r="I379" s="57">
        <f>IF(LEN(PSPOINTS[[#This Row],[PayScalePointCode]])&lt;100,0,1)</f>
        <v>0</v>
      </c>
      <c r="J379" s="57">
        <f>IF(LEN(PSPOINTS[[#This Row],[PayScalePointTitle]])&lt;100,0,1)</f>
        <v>0</v>
      </c>
      <c r="K379" s="57">
        <f>(COUNTBLANK(PSPOINTS[[#This Row],[PayScalePointCode]:[RateDateFrom]])+COUNTBLANK(PSPOINTS[[#This Row],[PayScaleRate]]))</f>
        <v>0</v>
      </c>
      <c r="L379" s="120">
        <f>IF(SUBSTITUTE(TEXT(PSPOINTS[[#This Row],[PayScaleCode]],10)," ","")=TEXT(PSPOINTS[[#This Row],[PayScaleCode]],10),0,1)+IF(SUBSTITUTE(TEXT(PSPOINTS[[#This Row],[PayScalePointCode]],10)," ","")=TEXT(PSPOINTS[[#This Row],[PayScalePointCode]],10),0,1)</f>
        <v>0</v>
      </c>
      <c r="M379" s="57">
        <f ca="1">SUM(PSPOINTS[[#This Row],[Scale Point Issue]:[Space in Code]])</f>
        <v>0</v>
      </c>
      <c r="N379" s="57" t="s">
        <v>1412</v>
      </c>
      <c r="P379" s="12" t="s">
        <v>1415</v>
      </c>
      <c r="Q379" s="57" t="str">
        <f>_xlfn.XLOOKUP(PSPOINTS[[#This Row],[PayScaleCode]],'19_PayScales'!N:N,'19_PayScales'!O:O)</f>
        <v>Lead Practitioner Outer</v>
      </c>
      <c r="R379" s="12" t="s">
        <v>1537</v>
      </c>
      <c r="S379" s="12" t="s">
        <v>1537</v>
      </c>
      <c r="T379" s="12">
        <v>15</v>
      </c>
      <c r="U379" s="12" t="b">
        <v>0</v>
      </c>
      <c r="V379" s="15" t="b">
        <v>1</v>
      </c>
      <c r="W379" s="164">
        <v>45901</v>
      </c>
      <c r="X379" s="140"/>
      <c r="Y379" s="162">
        <v>77589</v>
      </c>
    </row>
    <row r="380" spans="1:25" x14ac:dyDescent="0.25">
      <c r="A380" s="158" t="str">
        <f>PSPOINTS[[#This Row],[PayScaleCode]]&amp;PSPOINTS[[#This Row],[RateDateFrom]]</f>
        <v>LP_OUT45901</v>
      </c>
      <c r="B380" s="57">
        <f t="shared" si="5"/>
        <v>0</v>
      </c>
      <c r="C380" s="57" t="str">
        <f>PSPOINTS[[#This Row],[PayScaleCode]]&amp;PSPOINTS[[#This Row],[PayScalePointCode]]&amp;PSPOINTS[[#This Row],[RateDateFrom]]</f>
        <v>LP_OUTLP1645901</v>
      </c>
      <c r="D380" s="57">
        <f>COUNTIF(PSPOINTS[Pay Scale String Duplicates],PSPOINTS[[#This Row],[Pay Scale String Duplicates]])-1</f>
        <v>0</v>
      </c>
      <c r="E380" s="57">
        <f>IF((MONTH(_xlfn.XLOOKUP(PSPOINTS[[#This Row],[PayScaleCode]],'19_PayScales'!N:N,'19_PayScales'!R:R)))=MONTH(PSPOINTS[[#This Row],[RateDateFrom]]),0,1)</f>
        <v>0</v>
      </c>
      <c r="F380" s="57">
        <f>IF(ISBLANK(PSPOINTS[[#This Row],[RateDateTo]]),0,IF(PSPOINTS[[#This Row],[RateDateFrom]]&lt;PSPOINTS[[#This Row],[RateDateTo]],0,1))</f>
        <v>0</v>
      </c>
      <c r="G380" s="57" cm="1">
        <f t="array" aca="1" ref="G380" ca="1">IF(CELL("format",PSPOINTS[[#This Row],[RateDateFrom]])="D1",0,1)+IF(CELL("format",PSPOINTS[[#This Row],[RateDateTo]])="D1",0,1)</f>
        <v>0</v>
      </c>
      <c r="H380" s="57">
        <f>IF(OR(PSPOINTS[[#This Row],[Hourly]]=TRUE,PSPOINTS[[#This Row],[Hourly]]=FALSE),IF(OR(PSPOINTS[[#This Row],[PayScalePointEnabled]]=TRUE,PSPOINTS[[#This Row],[PayScalePointEnabled]]=FALSE),0,1),1)</f>
        <v>0</v>
      </c>
      <c r="I380" s="57">
        <f>IF(LEN(PSPOINTS[[#This Row],[PayScalePointCode]])&lt;100,0,1)</f>
        <v>0</v>
      </c>
      <c r="J380" s="57">
        <f>IF(LEN(PSPOINTS[[#This Row],[PayScalePointTitle]])&lt;100,0,1)</f>
        <v>0</v>
      </c>
      <c r="K380" s="57">
        <f>(COUNTBLANK(PSPOINTS[[#This Row],[PayScalePointCode]:[RateDateFrom]])+COUNTBLANK(PSPOINTS[[#This Row],[PayScaleRate]]))</f>
        <v>0</v>
      </c>
      <c r="L380" s="120">
        <f>IF(SUBSTITUTE(TEXT(PSPOINTS[[#This Row],[PayScaleCode]],10)," ","")=TEXT(PSPOINTS[[#This Row],[PayScaleCode]],10),0,1)+IF(SUBSTITUTE(TEXT(PSPOINTS[[#This Row],[PayScalePointCode]],10)," ","")=TEXT(PSPOINTS[[#This Row],[PayScalePointCode]],10),0,1)</f>
        <v>0</v>
      </c>
      <c r="M380" s="57">
        <f ca="1">SUM(PSPOINTS[[#This Row],[Scale Point Issue]:[Space in Code]])</f>
        <v>0</v>
      </c>
      <c r="N380" s="57" t="s">
        <v>1412</v>
      </c>
      <c r="P380" s="12" t="s">
        <v>1415</v>
      </c>
      <c r="Q380" s="57" t="str">
        <f>_xlfn.XLOOKUP(PSPOINTS[[#This Row],[PayScaleCode]],'19_PayScales'!N:N,'19_PayScales'!O:O)</f>
        <v>Lead Practitioner Outer</v>
      </c>
      <c r="R380" s="12" t="s">
        <v>1538</v>
      </c>
      <c r="S380" s="12" t="s">
        <v>1538</v>
      </c>
      <c r="T380" s="12">
        <v>16</v>
      </c>
      <c r="U380" s="12" t="b">
        <v>0</v>
      </c>
      <c r="V380" s="15" t="b">
        <v>1</v>
      </c>
      <c r="W380" s="164">
        <v>45901</v>
      </c>
      <c r="X380" s="140"/>
      <c r="Y380" s="162">
        <v>79547</v>
      </c>
    </row>
    <row r="381" spans="1:25" x14ac:dyDescent="0.25">
      <c r="A381" s="158" t="str">
        <f>PSPOINTS[[#This Row],[PayScaleCode]]&amp;PSPOINTS[[#This Row],[RateDateFrom]]</f>
        <v>LP_OUT45901</v>
      </c>
      <c r="B381" s="57">
        <f t="shared" si="5"/>
        <v>0</v>
      </c>
      <c r="C381" s="57" t="str">
        <f>PSPOINTS[[#This Row],[PayScaleCode]]&amp;PSPOINTS[[#This Row],[PayScalePointCode]]&amp;PSPOINTS[[#This Row],[RateDateFrom]]</f>
        <v>LP_OUTLP1745901</v>
      </c>
      <c r="D381" s="57">
        <f>COUNTIF(PSPOINTS[Pay Scale String Duplicates],PSPOINTS[[#This Row],[Pay Scale String Duplicates]])-1</f>
        <v>0</v>
      </c>
      <c r="E381" s="57">
        <f>IF((MONTH(_xlfn.XLOOKUP(PSPOINTS[[#This Row],[PayScaleCode]],'19_PayScales'!N:N,'19_PayScales'!R:R)))=MONTH(PSPOINTS[[#This Row],[RateDateFrom]]),0,1)</f>
        <v>0</v>
      </c>
      <c r="F381" s="57">
        <f>IF(ISBLANK(PSPOINTS[[#This Row],[RateDateTo]]),0,IF(PSPOINTS[[#This Row],[RateDateFrom]]&lt;PSPOINTS[[#This Row],[RateDateTo]],0,1))</f>
        <v>0</v>
      </c>
      <c r="G381" s="57" cm="1">
        <f t="array" aca="1" ref="G381" ca="1">IF(CELL("format",PSPOINTS[[#This Row],[RateDateFrom]])="D1",0,1)+IF(CELL("format",PSPOINTS[[#This Row],[RateDateTo]])="D1",0,1)</f>
        <v>0</v>
      </c>
      <c r="H381" s="57">
        <f>IF(OR(PSPOINTS[[#This Row],[Hourly]]=TRUE,PSPOINTS[[#This Row],[Hourly]]=FALSE),IF(OR(PSPOINTS[[#This Row],[PayScalePointEnabled]]=TRUE,PSPOINTS[[#This Row],[PayScalePointEnabled]]=FALSE),0,1),1)</f>
        <v>0</v>
      </c>
      <c r="I381" s="57">
        <f>IF(LEN(PSPOINTS[[#This Row],[PayScalePointCode]])&lt;100,0,1)</f>
        <v>0</v>
      </c>
      <c r="J381" s="57">
        <f>IF(LEN(PSPOINTS[[#This Row],[PayScalePointTitle]])&lt;100,0,1)</f>
        <v>0</v>
      </c>
      <c r="K381" s="57">
        <f>(COUNTBLANK(PSPOINTS[[#This Row],[PayScalePointCode]:[RateDateFrom]])+COUNTBLANK(PSPOINTS[[#This Row],[PayScaleRate]]))</f>
        <v>0</v>
      </c>
      <c r="L381" s="120">
        <f>IF(SUBSTITUTE(TEXT(PSPOINTS[[#This Row],[PayScaleCode]],10)," ","")=TEXT(PSPOINTS[[#This Row],[PayScaleCode]],10),0,1)+IF(SUBSTITUTE(TEXT(PSPOINTS[[#This Row],[PayScalePointCode]],10)," ","")=TEXT(PSPOINTS[[#This Row],[PayScalePointCode]],10),0,1)</f>
        <v>0</v>
      </c>
      <c r="M381" s="57">
        <f ca="1">SUM(PSPOINTS[[#This Row],[Scale Point Issue]:[Space in Code]])</f>
        <v>0</v>
      </c>
      <c r="N381" s="57" t="s">
        <v>1412</v>
      </c>
      <c r="P381" s="12" t="s">
        <v>1415</v>
      </c>
      <c r="Q381" s="57" t="str">
        <f>_xlfn.XLOOKUP(PSPOINTS[[#This Row],[PayScaleCode]],'19_PayScales'!N:N,'19_PayScales'!O:O)</f>
        <v>Lead Practitioner Outer</v>
      </c>
      <c r="R381" s="12" t="s">
        <v>1539</v>
      </c>
      <c r="S381" s="12" t="s">
        <v>1539</v>
      </c>
      <c r="T381" s="12">
        <v>17</v>
      </c>
      <c r="U381" s="12" t="b">
        <v>0</v>
      </c>
      <c r="V381" s="15" t="b">
        <v>1</v>
      </c>
      <c r="W381" s="164">
        <v>45901</v>
      </c>
      <c r="X381" s="140"/>
      <c r="Y381" s="162">
        <v>81282</v>
      </c>
    </row>
    <row r="382" spans="1:25" x14ac:dyDescent="0.25">
      <c r="A382" s="158" t="str">
        <f>PSPOINTS[[#This Row],[PayScaleCode]]&amp;PSPOINTS[[#This Row],[RateDateFrom]]</f>
        <v>LP_OUT45901</v>
      </c>
      <c r="B382" s="57">
        <f t="shared" si="5"/>
        <v>0</v>
      </c>
      <c r="C382" s="57" t="str">
        <f>PSPOINTS[[#This Row],[PayScaleCode]]&amp;PSPOINTS[[#This Row],[PayScalePointCode]]&amp;PSPOINTS[[#This Row],[RateDateFrom]]</f>
        <v>LP_OUTLP1845901</v>
      </c>
      <c r="D382" s="57">
        <f>COUNTIF(PSPOINTS[Pay Scale String Duplicates],PSPOINTS[[#This Row],[Pay Scale String Duplicates]])-1</f>
        <v>0</v>
      </c>
      <c r="E382" s="57">
        <f>IF((MONTH(_xlfn.XLOOKUP(PSPOINTS[[#This Row],[PayScaleCode]],'19_PayScales'!N:N,'19_PayScales'!R:R)))=MONTH(PSPOINTS[[#This Row],[RateDateFrom]]),0,1)</f>
        <v>0</v>
      </c>
      <c r="F382" s="57">
        <f>IF(ISBLANK(PSPOINTS[[#This Row],[RateDateTo]]),0,IF(PSPOINTS[[#This Row],[RateDateFrom]]&lt;PSPOINTS[[#This Row],[RateDateTo]],0,1))</f>
        <v>0</v>
      </c>
      <c r="G382" s="57" cm="1">
        <f t="array" aca="1" ref="G382" ca="1">IF(CELL("format",PSPOINTS[[#This Row],[RateDateFrom]])="D1",0,1)+IF(CELL("format",PSPOINTS[[#This Row],[RateDateTo]])="D1",0,1)</f>
        <v>0</v>
      </c>
      <c r="H382" s="57">
        <f>IF(OR(PSPOINTS[[#This Row],[Hourly]]=TRUE,PSPOINTS[[#This Row],[Hourly]]=FALSE),IF(OR(PSPOINTS[[#This Row],[PayScalePointEnabled]]=TRUE,PSPOINTS[[#This Row],[PayScalePointEnabled]]=FALSE),0,1),1)</f>
        <v>0</v>
      </c>
      <c r="I382" s="57">
        <f>IF(LEN(PSPOINTS[[#This Row],[PayScalePointCode]])&lt;100,0,1)</f>
        <v>0</v>
      </c>
      <c r="J382" s="57">
        <f>IF(LEN(PSPOINTS[[#This Row],[PayScalePointTitle]])&lt;100,0,1)</f>
        <v>0</v>
      </c>
      <c r="K382" s="57">
        <f>(COUNTBLANK(PSPOINTS[[#This Row],[PayScalePointCode]:[RateDateFrom]])+COUNTBLANK(PSPOINTS[[#This Row],[PayScaleRate]]))</f>
        <v>0</v>
      </c>
      <c r="L382" s="120">
        <f>IF(SUBSTITUTE(TEXT(PSPOINTS[[#This Row],[PayScaleCode]],10)," ","")=TEXT(PSPOINTS[[#This Row],[PayScaleCode]],10),0,1)+IF(SUBSTITUTE(TEXT(PSPOINTS[[#This Row],[PayScalePointCode]],10)," ","")=TEXT(PSPOINTS[[#This Row],[PayScalePointCode]],10),0,1)</f>
        <v>0</v>
      </c>
      <c r="M382" s="57">
        <f ca="1">SUM(PSPOINTS[[#This Row],[Scale Point Issue]:[Space in Code]])</f>
        <v>0</v>
      </c>
      <c r="N382" s="57" t="s">
        <v>1412</v>
      </c>
      <c r="P382" s="12" t="s">
        <v>1415</v>
      </c>
      <c r="Q382" s="57" t="str">
        <f>_xlfn.XLOOKUP(PSPOINTS[[#This Row],[PayScaleCode]],'19_PayScales'!N:N,'19_PayScales'!O:O)</f>
        <v>Lead Practitioner Outer</v>
      </c>
      <c r="R382" s="12" t="s">
        <v>1460</v>
      </c>
      <c r="S382" s="12" t="s">
        <v>1460</v>
      </c>
      <c r="T382" s="12">
        <v>18</v>
      </c>
      <c r="U382" s="12" t="b">
        <v>0</v>
      </c>
      <c r="V382" s="15" t="b">
        <v>1</v>
      </c>
      <c r="W382" s="164">
        <v>45901</v>
      </c>
      <c r="X382" s="140"/>
      <c r="Y382" s="162">
        <v>83223</v>
      </c>
    </row>
    <row r="383" spans="1:25" hidden="1" x14ac:dyDescent="0.25">
      <c r="A383" s="158" t="str">
        <f>PSPOINTS[[#This Row],[PayScaleCode]]&amp;PSPOINTS[[#This Row],[RateDateFrom]]</f>
        <v>UQ_OUT45901</v>
      </c>
      <c r="B383" s="57">
        <f t="shared" si="5"/>
        <v>0</v>
      </c>
      <c r="C383" s="57" t="str">
        <f>PSPOINTS[[#This Row],[PayScaleCode]]&amp;PSPOINTS[[#This Row],[PayScalePointCode]]&amp;PSPOINTS[[#This Row],[RateDateFrom]]</f>
        <v>UQ_OUTUQ145901</v>
      </c>
      <c r="D383" s="57">
        <f>COUNTIF(PSPOINTS[Pay Scale String Duplicates],PSPOINTS[[#This Row],[Pay Scale String Duplicates]])-1</f>
        <v>0</v>
      </c>
      <c r="E383" s="57">
        <f>IF((MONTH(_xlfn.XLOOKUP(PSPOINTS[[#This Row],[PayScaleCode]],'19_PayScales'!N:N,'19_PayScales'!R:R)))=MONTH(PSPOINTS[[#This Row],[RateDateFrom]]),0,1)</f>
        <v>0</v>
      </c>
      <c r="F383" s="57">
        <f>IF(ISBLANK(PSPOINTS[[#This Row],[RateDateTo]]),0,IF(PSPOINTS[[#This Row],[RateDateFrom]]&lt;PSPOINTS[[#This Row],[RateDateTo]],0,1))</f>
        <v>0</v>
      </c>
      <c r="G383" s="57" cm="1">
        <f t="array" aca="1" ref="G383" ca="1">IF(CELL("format",PSPOINTS[[#This Row],[RateDateFrom]])="D1",0,1)+IF(CELL("format",PSPOINTS[[#This Row],[RateDateTo]])="D1",0,1)</f>
        <v>0</v>
      </c>
      <c r="H383" s="57">
        <f>IF(OR(PSPOINTS[[#This Row],[Hourly]]=TRUE,PSPOINTS[[#This Row],[Hourly]]=FALSE),IF(OR(PSPOINTS[[#This Row],[PayScalePointEnabled]]=TRUE,PSPOINTS[[#This Row],[PayScalePointEnabled]]=FALSE),0,1),1)</f>
        <v>0</v>
      </c>
      <c r="I383" s="57">
        <f>IF(LEN(PSPOINTS[[#This Row],[PayScalePointCode]])&lt;100,0,1)</f>
        <v>0</v>
      </c>
      <c r="J383" s="57">
        <f>IF(LEN(PSPOINTS[[#This Row],[PayScalePointTitle]])&lt;100,0,1)</f>
        <v>0</v>
      </c>
      <c r="K383" s="57">
        <f>(COUNTBLANK(PSPOINTS[[#This Row],[PayScalePointCode]:[RateDateFrom]])+COUNTBLANK(PSPOINTS[[#This Row],[PayScaleRate]]))</f>
        <v>0</v>
      </c>
      <c r="L383" s="120">
        <f>IF(SUBSTITUTE(TEXT(PSPOINTS[[#This Row],[PayScaleCode]],10)," ","")=TEXT(PSPOINTS[[#This Row],[PayScaleCode]],10),0,1)+IF(SUBSTITUTE(TEXT(PSPOINTS[[#This Row],[PayScalePointCode]],10)," ","")=TEXT(PSPOINTS[[#This Row],[PayScalePointCode]],10),0,1)</f>
        <v>0</v>
      </c>
      <c r="M383" s="57">
        <f ca="1">SUM(PSPOINTS[[#This Row],[Scale Point Issue]:[Space in Code]])</f>
        <v>0</v>
      </c>
      <c r="N383" s="57" t="s">
        <v>1412</v>
      </c>
      <c r="P383" s="12" t="s">
        <v>1417</v>
      </c>
      <c r="Q383" s="57" t="str">
        <f>_xlfn.XLOOKUP(PSPOINTS[[#This Row],[PayScaleCode]],'19_PayScales'!N:N,'19_PayScales'!O:O)</f>
        <v>Teachers Unqualified Outer</v>
      </c>
      <c r="R383" s="12" t="s">
        <v>1451</v>
      </c>
      <c r="S383" s="12" t="s">
        <v>1451</v>
      </c>
      <c r="T383" s="12">
        <v>1</v>
      </c>
      <c r="U383" s="12" t="b">
        <v>0</v>
      </c>
      <c r="V383" s="15" t="b">
        <v>1</v>
      </c>
      <c r="W383" s="164">
        <v>45901</v>
      </c>
      <c r="X383" s="140"/>
      <c r="Y383" s="162">
        <v>26789</v>
      </c>
    </row>
    <row r="384" spans="1:25" hidden="1" x14ac:dyDescent="0.25">
      <c r="A384" s="158" t="str">
        <f>PSPOINTS[[#This Row],[PayScaleCode]]&amp;PSPOINTS[[#This Row],[RateDateFrom]]</f>
        <v>UQ_OUT45901</v>
      </c>
      <c r="B384" s="57">
        <f t="shared" si="5"/>
        <v>0</v>
      </c>
      <c r="C384" s="57" t="str">
        <f>PSPOINTS[[#This Row],[PayScaleCode]]&amp;PSPOINTS[[#This Row],[PayScalePointCode]]&amp;PSPOINTS[[#This Row],[RateDateFrom]]</f>
        <v>UQ_OUTUQ245901</v>
      </c>
      <c r="D384" s="57">
        <f>COUNTIF(PSPOINTS[Pay Scale String Duplicates],PSPOINTS[[#This Row],[Pay Scale String Duplicates]])-1</f>
        <v>0</v>
      </c>
      <c r="E384" s="57">
        <f>IF((MONTH(_xlfn.XLOOKUP(PSPOINTS[[#This Row],[PayScaleCode]],'19_PayScales'!N:N,'19_PayScales'!R:R)))=MONTH(PSPOINTS[[#This Row],[RateDateFrom]]),0,1)</f>
        <v>0</v>
      </c>
      <c r="F384" s="57">
        <f>IF(ISBLANK(PSPOINTS[[#This Row],[RateDateTo]]),0,IF(PSPOINTS[[#This Row],[RateDateFrom]]&lt;PSPOINTS[[#This Row],[RateDateTo]],0,1))</f>
        <v>0</v>
      </c>
      <c r="G384" s="57" cm="1">
        <f t="array" aca="1" ref="G384" ca="1">IF(CELL("format",PSPOINTS[[#This Row],[RateDateFrom]])="D1",0,1)+IF(CELL("format",PSPOINTS[[#This Row],[RateDateTo]])="D1",0,1)</f>
        <v>0</v>
      </c>
      <c r="H384" s="57">
        <f>IF(OR(PSPOINTS[[#This Row],[Hourly]]=TRUE,PSPOINTS[[#This Row],[Hourly]]=FALSE),IF(OR(PSPOINTS[[#This Row],[PayScalePointEnabled]]=TRUE,PSPOINTS[[#This Row],[PayScalePointEnabled]]=FALSE),0,1),1)</f>
        <v>0</v>
      </c>
      <c r="I384" s="57">
        <f>IF(LEN(PSPOINTS[[#This Row],[PayScalePointCode]])&lt;100,0,1)</f>
        <v>0</v>
      </c>
      <c r="J384" s="57">
        <f>IF(LEN(PSPOINTS[[#This Row],[PayScalePointTitle]])&lt;100,0,1)</f>
        <v>0</v>
      </c>
      <c r="K384" s="57">
        <f>(COUNTBLANK(PSPOINTS[[#This Row],[PayScalePointCode]:[RateDateFrom]])+COUNTBLANK(PSPOINTS[[#This Row],[PayScaleRate]]))</f>
        <v>0</v>
      </c>
      <c r="L384" s="120">
        <f>IF(SUBSTITUTE(TEXT(PSPOINTS[[#This Row],[PayScaleCode]],10)," ","")=TEXT(PSPOINTS[[#This Row],[PayScaleCode]],10),0,1)+IF(SUBSTITUTE(TEXT(PSPOINTS[[#This Row],[PayScalePointCode]],10)," ","")=TEXT(PSPOINTS[[#This Row],[PayScalePointCode]],10),0,1)</f>
        <v>0</v>
      </c>
      <c r="M384" s="57">
        <f ca="1">SUM(PSPOINTS[[#This Row],[Scale Point Issue]:[Space in Code]])</f>
        <v>0</v>
      </c>
      <c r="N384" s="57" t="s">
        <v>1412</v>
      </c>
      <c r="P384" s="12" t="s">
        <v>1417</v>
      </c>
      <c r="Q384" s="57" t="str">
        <f>_xlfn.XLOOKUP(PSPOINTS[[#This Row],[PayScaleCode]],'19_PayScales'!N:N,'19_PayScales'!O:O)</f>
        <v>Teachers Unqualified Outer</v>
      </c>
      <c r="R384" s="12" t="s">
        <v>1540</v>
      </c>
      <c r="S384" s="12" t="s">
        <v>1540</v>
      </c>
      <c r="T384" s="12">
        <v>2</v>
      </c>
      <c r="U384" s="12" t="b">
        <v>0</v>
      </c>
      <c r="V384" s="15" t="b">
        <v>1</v>
      </c>
      <c r="W384" s="164">
        <v>45901</v>
      </c>
      <c r="X384" s="140"/>
      <c r="Y384" s="162">
        <v>29383</v>
      </c>
    </row>
    <row r="385" spans="1:25" hidden="1" x14ac:dyDescent="0.25">
      <c r="A385" s="158" t="str">
        <f>PSPOINTS[[#This Row],[PayScaleCode]]&amp;PSPOINTS[[#This Row],[RateDateFrom]]</f>
        <v>UQ_OUT45901</v>
      </c>
      <c r="B385" s="57">
        <f t="shared" si="5"/>
        <v>0</v>
      </c>
      <c r="C385" s="57" t="str">
        <f>PSPOINTS[[#This Row],[PayScaleCode]]&amp;PSPOINTS[[#This Row],[PayScalePointCode]]&amp;PSPOINTS[[#This Row],[RateDateFrom]]</f>
        <v>UQ_OUTUQ345901</v>
      </c>
      <c r="D385" s="57">
        <f>COUNTIF(PSPOINTS[Pay Scale String Duplicates],PSPOINTS[[#This Row],[Pay Scale String Duplicates]])-1</f>
        <v>0</v>
      </c>
      <c r="E385" s="57">
        <f>IF((MONTH(_xlfn.XLOOKUP(PSPOINTS[[#This Row],[PayScaleCode]],'19_PayScales'!N:N,'19_PayScales'!R:R)))=MONTH(PSPOINTS[[#This Row],[RateDateFrom]]),0,1)</f>
        <v>0</v>
      </c>
      <c r="F385" s="57">
        <f>IF(ISBLANK(PSPOINTS[[#This Row],[RateDateTo]]),0,IF(PSPOINTS[[#This Row],[RateDateFrom]]&lt;PSPOINTS[[#This Row],[RateDateTo]],0,1))</f>
        <v>0</v>
      </c>
      <c r="G385" s="57" cm="1">
        <f t="array" aca="1" ref="G385" ca="1">IF(CELL("format",PSPOINTS[[#This Row],[RateDateFrom]])="D1",0,1)+IF(CELL("format",PSPOINTS[[#This Row],[RateDateTo]])="D1",0,1)</f>
        <v>0</v>
      </c>
      <c r="H385" s="57">
        <f>IF(OR(PSPOINTS[[#This Row],[Hourly]]=TRUE,PSPOINTS[[#This Row],[Hourly]]=FALSE),IF(OR(PSPOINTS[[#This Row],[PayScalePointEnabled]]=TRUE,PSPOINTS[[#This Row],[PayScalePointEnabled]]=FALSE),0,1),1)</f>
        <v>0</v>
      </c>
      <c r="I385" s="57">
        <f>IF(LEN(PSPOINTS[[#This Row],[PayScalePointCode]])&lt;100,0,1)</f>
        <v>0</v>
      </c>
      <c r="J385" s="57">
        <f>IF(LEN(PSPOINTS[[#This Row],[PayScalePointTitle]])&lt;100,0,1)</f>
        <v>0</v>
      </c>
      <c r="K385" s="57">
        <f>(COUNTBLANK(PSPOINTS[[#This Row],[PayScalePointCode]:[RateDateFrom]])+COUNTBLANK(PSPOINTS[[#This Row],[PayScaleRate]]))</f>
        <v>0</v>
      </c>
      <c r="L385" s="120">
        <f>IF(SUBSTITUTE(TEXT(PSPOINTS[[#This Row],[PayScaleCode]],10)," ","")=TEXT(PSPOINTS[[#This Row],[PayScaleCode]],10),0,1)+IF(SUBSTITUTE(TEXT(PSPOINTS[[#This Row],[PayScalePointCode]],10)," ","")=TEXT(PSPOINTS[[#This Row],[PayScalePointCode]],10),0,1)</f>
        <v>0</v>
      </c>
      <c r="M385" s="57">
        <f ca="1">SUM(PSPOINTS[[#This Row],[Scale Point Issue]:[Space in Code]])</f>
        <v>0</v>
      </c>
      <c r="N385" s="57" t="s">
        <v>1412</v>
      </c>
      <c r="P385" s="12" t="s">
        <v>1417</v>
      </c>
      <c r="Q385" s="57" t="str">
        <f>_xlfn.XLOOKUP(PSPOINTS[[#This Row],[PayScaleCode]],'19_PayScales'!N:N,'19_PayScales'!O:O)</f>
        <v>Teachers Unqualified Outer</v>
      </c>
      <c r="R385" s="12" t="s">
        <v>1541</v>
      </c>
      <c r="S385" s="12" t="s">
        <v>1541</v>
      </c>
      <c r="T385" s="12">
        <v>3</v>
      </c>
      <c r="U385" s="12" t="b">
        <v>0</v>
      </c>
      <c r="V385" s="15" t="b">
        <v>1</v>
      </c>
      <c r="W385" s="164">
        <v>45901</v>
      </c>
      <c r="X385" s="140"/>
      <c r="Y385" s="162">
        <v>31974</v>
      </c>
    </row>
    <row r="386" spans="1:25" hidden="1" x14ac:dyDescent="0.25">
      <c r="A386" s="158" t="str">
        <f>PSPOINTS[[#This Row],[PayScaleCode]]&amp;PSPOINTS[[#This Row],[RateDateFrom]]</f>
        <v>UQ_OUT45901</v>
      </c>
      <c r="B386" s="57">
        <f t="shared" si="5"/>
        <v>0</v>
      </c>
      <c r="C386" s="57" t="str">
        <f>PSPOINTS[[#This Row],[PayScaleCode]]&amp;PSPOINTS[[#This Row],[PayScalePointCode]]&amp;PSPOINTS[[#This Row],[RateDateFrom]]</f>
        <v>UQ_OUTUQ445901</v>
      </c>
      <c r="D386" s="57">
        <f>COUNTIF(PSPOINTS[Pay Scale String Duplicates],PSPOINTS[[#This Row],[Pay Scale String Duplicates]])-1</f>
        <v>0</v>
      </c>
      <c r="E386" s="57">
        <f>IF((MONTH(_xlfn.XLOOKUP(PSPOINTS[[#This Row],[PayScaleCode]],'19_PayScales'!N:N,'19_PayScales'!R:R)))=MONTH(PSPOINTS[[#This Row],[RateDateFrom]]),0,1)</f>
        <v>0</v>
      </c>
      <c r="F386" s="57">
        <f>IF(ISBLANK(PSPOINTS[[#This Row],[RateDateTo]]),0,IF(PSPOINTS[[#This Row],[RateDateFrom]]&lt;PSPOINTS[[#This Row],[RateDateTo]],0,1))</f>
        <v>0</v>
      </c>
      <c r="G386" s="57" cm="1">
        <f t="array" aca="1" ref="G386" ca="1">IF(CELL("format",PSPOINTS[[#This Row],[RateDateFrom]])="D1",0,1)+IF(CELL("format",PSPOINTS[[#This Row],[RateDateTo]])="D1",0,1)</f>
        <v>0</v>
      </c>
      <c r="H386" s="57">
        <f>IF(OR(PSPOINTS[[#This Row],[Hourly]]=TRUE,PSPOINTS[[#This Row],[Hourly]]=FALSE),IF(OR(PSPOINTS[[#This Row],[PayScalePointEnabled]]=TRUE,PSPOINTS[[#This Row],[PayScalePointEnabled]]=FALSE),0,1),1)</f>
        <v>0</v>
      </c>
      <c r="I386" s="57">
        <f>IF(LEN(PSPOINTS[[#This Row],[PayScalePointCode]])&lt;100,0,1)</f>
        <v>0</v>
      </c>
      <c r="J386" s="57">
        <f>IF(LEN(PSPOINTS[[#This Row],[PayScalePointTitle]])&lt;100,0,1)</f>
        <v>0</v>
      </c>
      <c r="K386" s="57">
        <f>(COUNTBLANK(PSPOINTS[[#This Row],[PayScalePointCode]:[RateDateFrom]])+COUNTBLANK(PSPOINTS[[#This Row],[PayScaleRate]]))</f>
        <v>0</v>
      </c>
      <c r="L386" s="120">
        <f>IF(SUBSTITUTE(TEXT(PSPOINTS[[#This Row],[PayScaleCode]],10)," ","")=TEXT(PSPOINTS[[#This Row],[PayScaleCode]],10),0,1)+IF(SUBSTITUTE(TEXT(PSPOINTS[[#This Row],[PayScalePointCode]],10)," ","")=TEXT(PSPOINTS[[#This Row],[PayScalePointCode]],10),0,1)</f>
        <v>0</v>
      </c>
      <c r="M386" s="57">
        <f ca="1">SUM(PSPOINTS[[#This Row],[Scale Point Issue]:[Space in Code]])</f>
        <v>0</v>
      </c>
      <c r="N386" s="57" t="s">
        <v>1412</v>
      </c>
      <c r="P386" s="12" t="s">
        <v>1417</v>
      </c>
      <c r="Q386" s="57" t="str">
        <f>_xlfn.XLOOKUP(PSPOINTS[[#This Row],[PayScaleCode]],'19_PayScales'!N:N,'19_PayScales'!O:O)</f>
        <v>Teachers Unqualified Outer</v>
      </c>
      <c r="R386" s="12" t="s">
        <v>1542</v>
      </c>
      <c r="S386" s="12" t="s">
        <v>1542</v>
      </c>
      <c r="T386" s="12">
        <v>4</v>
      </c>
      <c r="U386" s="12" t="b">
        <v>0</v>
      </c>
      <c r="V386" s="15" t="b">
        <v>1</v>
      </c>
      <c r="W386" s="164">
        <v>45901</v>
      </c>
      <c r="X386" s="140"/>
      <c r="Y386" s="162">
        <v>34265</v>
      </c>
    </row>
    <row r="387" spans="1:25" hidden="1" x14ac:dyDescent="0.25">
      <c r="A387" s="158" t="str">
        <f>PSPOINTS[[#This Row],[PayScaleCode]]&amp;PSPOINTS[[#This Row],[RateDateFrom]]</f>
        <v>UQ_OUT45901</v>
      </c>
      <c r="B387" s="57">
        <f t="shared" si="5"/>
        <v>0</v>
      </c>
      <c r="C387" s="57" t="str">
        <f>PSPOINTS[[#This Row],[PayScaleCode]]&amp;PSPOINTS[[#This Row],[PayScalePointCode]]&amp;PSPOINTS[[#This Row],[RateDateFrom]]</f>
        <v>UQ_OUTUQ545901</v>
      </c>
      <c r="D387" s="57">
        <f>COUNTIF(PSPOINTS[Pay Scale String Duplicates],PSPOINTS[[#This Row],[Pay Scale String Duplicates]])-1</f>
        <v>0</v>
      </c>
      <c r="E387" s="57">
        <f>IF((MONTH(_xlfn.XLOOKUP(PSPOINTS[[#This Row],[PayScaleCode]],'19_PayScales'!N:N,'19_PayScales'!R:R)))=MONTH(PSPOINTS[[#This Row],[RateDateFrom]]),0,1)</f>
        <v>0</v>
      </c>
      <c r="F387" s="57">
        <f>IF(ISBLANK(PSPOINTS[[#This Row],[RateDateTo]]),0,IF(PSPOINTS[[#This Row],[RateDateFrom]]&lt;PSPOINTS[[#This Row],[RateDateTo]],0,1))</f>
        <v>0</v>
      </c>
      <c r="G387" s="57" cm="1">
        <f t="array" aca="1" ref="G387" ca="1">IF(CELL("format",PSPOINTS[[#This Row],[RateDateFrom]])="D1",0,1)+IF(CELL("format",PSPOINTS[[#This Row],[RateDateTo]])="D1",0,1)</f>
        <v>0</v>
      </c>
      <c r="H387" s="57">
        <f>IF(OR(PSPOINTS[[#This Row],[Hourly]]=TRUE,PSPOINTS[[#This Row],[Hourly]]=FALSE),IF(OR(PSPOINTS[[#This Row],[PayScalePointEnabled]]=TRUE,PSPOINTS[[#This Row],[PayScalePointEnabled]]=FALSE),0,1),1)</f>
        <v>0</v>
      </c>
      <c r="I387" s="57">
        <f>IF(LEN(PSPOINTS[[#This Row],[PayScalePointCode]])&lt;100,0,1)</f>
        <v>0</v>
      </c>
      <c r="J387" s="57">
        <f>IF(LEN(PSPOINTS[[#This Row],[PayScalePointTitle]])&lt;100,0,1)</f>
        <v>0</v>
      </c>
      <c r="K387" s="57">
        <f>(COUNTBLANK(PSPOINTS[[#This Row],[PayScalePointCode]:[RateDateFrom]])+COUNTBLANK(PSPOINTS[[#This Row],[PayScaleRate]]))</f>
        <v>0</v>
      </c>
      <c r="L387" s="120">
        <f>IF(SUBSTITUTE(TEXT(PSPOINTS[[#This Row],[PayScaleCode]],10)," ","")=TEXT(PSPOINTS[[#This Row],[PayScaleCode]],10),0,1)+IF(SUBSTITUTE(TEXT(PSPOINTS[[#This Row],[PayScalePointCode]],10)," ","")=TEXT(PSPOINTS[[#This Row],[PayScalePointCode]],10),0,1)</f>
        <v>0</v>
      </c>
      <c r="M387" s="57">
        <f ca="1">SUM(PSPOINTS[[#This Row],[Scale Point Issue]:[Space in Code]])</f>
        <v>0</v>
      </c>
      <c r="N387" s="57" t="s">
        <v>1412</v>
      </c>
      <c r="P387" s="12" t="s">
        <v>1417</v>
      </c>
      <c r="Q387" s="57" t="str">
        <f>_xlfn.XLOOKUP(PSPOINTS[[#This Row],[PayScaleCode]],'19_PayScales'!N:N,'19_PayScales'!O:O)</f>
        <v>Teachers Unqualified Outer</v>
      </c>
      <c r="R387" s="12" t="s">
        <v>1543</v>
      </c>
      <c r="S387" s="12" t="s">
        <v>1543</v>
      </c>
      <c r="T387" s="12">
        <v>5</v>
      </c>
      <c r="U387" s="12" t="b">
        <v>0</v>
      </c>
      <c r="V387" s="15" t="b">
        <v>1</v>
      </c>
      <c r="W387" s="164">
        <v>45901</v>
      </c>
      <c r="X387" s="140"/>
      <c r="Y387" s="162">
        <v>36856</v>
      </c>
    </row>
    <row r="388" spans="1:25" hidden="1" x14ac:dyDescent="0.25">
      <c r="A388" s="158" t="str">
        <f>PSPOINTS[[#This Row],[PayScaleCode]]&amp;PSPOINTS[[#This Row],[RateDateFrom]]</f>
        <v>UQ_OUT45901</v>
      </c>
      <c r="B388" s="57">
        <f t="shared" si="5"/>
        <v>0</v>
      </c>
      <c r="C388" s="57" t="str">
        <f>PSPOINTS[[#This Row],[PayScaleCode]]&amp;PSPOINTS[[#This Row],[PayScalePointCode]]&amp;PSPOINTS[[#This Row],[RateDateFrom]]</f>
        <v>UQ_OUTUQ645901</v>
      </c>
      <c r="D388" s="57">
        <f>COUNTIF(PSPOINTS[Pay Scale String Duplicates],PSPOINTS[[#This Row],[Pay Scale String Duplicates]])-1</f>
        <v>0</v>
      </c>
      <c r="E388" s="57">
        <f>IF((MONTH(_xlfn.XLOOKUP(PSPOINTS[[#This Row],[PayScaleCode]],'19_PayScales'!N:N,'19_PayScales'!R:R)))=MONTH(PSPOINTS[[#This Row],[RateDateFrom]]),0,1)</f>
        <v>0</v>
      </c>
      <c r="F388" s="57">
        <f>IF(ISBLANK(PSPOINTS[[#This Row],[RateDateTo]]),0,IF(PSPOINTS[[#This Row],[RateDateFrom]]&lt;PSPOINTS[[#This Row],[RateDateTo]],0,1))</f>
        <v>0</v>
      </c>
      <c r="G388" s="57" cm="1">
        <f t="array" aca="1" ref="G388" ca="1">IF(CELL("format",PSPOINTS[[#This Row],[RateDateFrom]])="D1",0,1)+IF(CELL("format",PSPOINTS[[#This Row],[RateDateTo]])="D1",0,1)</f>
        <v>0</v>
      </c>
      <c r="H388" s="57">
        <f>IF(OR(PSPOINTS[[#This Row],[Hourly]]=TRUE,PSPOINTS[[#This Row],[Hourly]]=FALSE),IF(OR(PSPOINTS[[#This Row],[PayScalePointEnabled]]=TRUE,PSPOINTS[[#This Row],[PayScalePointEnabled]]=FALSE),0,1),1)</f>
        <v>0</v>
      </c>
      <c r="I388" s="57">
        <f>IF(LEN(PSPOINTS[[#This Row],[PayScalePointCode]])&lt;100,0,1)</f>
        <v>0</v>
      </c>
      <c r="J388" s="57">
        <f>IF(LEN(PSPOINTS[[#This Row],[PayScalePointTitle]])&lt;100,0,1)</f>
        <v>0</v>
      </c>
      <c r="K388" s="57">
        <f>(COUNTBLANK(PSPOINTS[[#This Row],[PayScalePointCode]:[RateDateFrom]])+COUNTBLANK(PSPOINTS[[#This Row],[PayScaleRate]]))</f>
        <v>0</v>
      </c>
      <c r="L388" s="120">
        <f>IF(SUBSTITUTE(TEXT(PSPOINTS[[#This Row],[PayScaleCode]],10)," ","")=TEXT(PSPOINTS[[#This Row],[PayScaleCode]],10),0,1)+IF(SUBSTITUTE(TEXT(PSPOINTS[[#This Row],[PayScalePointCode]],10)," ","")=TEXT(PSPOINTS[[#This Row],[PayScalePointCode]],10),0,1)</f>
        <v>0</v>
      </c>
      <c r="M388" s="57">
        <f ca="1">SUM(PSPOINTS[[#This Row],[Scale Point Issue]:[Space in Code]])</f>
        <v>0</v>
      </c>
      <c r="N388" s="57" t="s">
        <v>1412</v>
      </c>
      <c r="P388" s="12" t="s">
        <v>1417</v>
      </c>
      <c r="Q388" s="57" t="str">
        <f>_xlfn.XLOOKUP(PSPOINTS[[#This Row],[PayScaleCode]],'19_PayScales'!N:N,'19_PayScales'!O:O)</f>
        <v>Teachers Unqualified Outer</v>
      </c>
      <c r="R388" s="12" t="s">
        <v>1452</v>
      </c>
      <c r="S388" s="12" t="s">
        <v>1452</v>
      </c>
      <c r="T388" s="12">
        <v>6</v>
      </c>
      <c r="U388" s="12" t="b">
        <v>0</v>
      </c>
      <c r="V388" s="15" t="b">
        <v>1</v>
      </c>
      <c r="W388" s="164">
        <v>45901</v>
      </c>
      <c r="X388" s="140"/>
      <c r="Y388" s="162">
        <v>39450</v>
      </c>
    </row>
    <row r="389" spans="1:25" hidden="1" x14ac:dyDescent="0.25">
      <c r="A389" s="158" t="str">
        <f>PSPOINTS[[#This Row],[PayScaleCode]]&amp;PSPOINTS[[#This Row],[RateDateFrom]]</f>
        <v>LS_OUT45901</v>
      </c>
      <c r="B389" s="57">
        <f t="shared" si="5"/>
        <v>0</v>
      </c>
      <c r="C389" s="57" t="str">
        <f>PSPOINTS[[#This Row],[PayScaleCode]]&amp;PSPOINTS[[#This Row],[PayScalePointCode]]&amp;PSPOINTS[[#This Row],[RateDateFrom]]</f>
        <v>LS_OUTL0145901</v>
      </c>
      <c r="D389" s="57">
        <f>COUNTIF(PSPOINTS[Pay Scale String Duplicates],PSPOINTS[[#This Row],[Pay Scale String Duplicates]])-1</f>
        <v>0</v>
      </c>
      <c r="E389" s="57">
        <f>IF((MONTH(_xlfn.XLOOKUP(PSPOINTS[[#This Row],[PayScaleCode]],'19_PayScales'!N:N,'19_PayScales'!R:R)))=MONTH(PSPOINTS[[#This Row],[RateDateFrom]]),0,1)</f>
        <v>0</v>
      </c>
      <c r="F389" s="57">
        <f>IF(ISBLANK(PSPOINTS[[#This Row],[RateDateTo]]),0,IF(PSPOINTS[[#This Row],[RateDateFrom]]&lt;PSPOINTS[[#This Row],[RateDateTo]],0,1))</f>
        <v>0</v>
      </c>
      <c r="G389" s="57" cm="1">
        <f t="array" aca="1" ref="G389" ca="1">IF(CELL("format",PSPOINTS[[#This Row],[RateDateFrom]])="D1",0,1)+IF(CELL("format",PSPOINTS[[#This Row],[RateDateTo]])="D1",0,1)</f>
        <v>0</v>
      </c>
      <c r="H389" s="57">
        <f>IF(OR(PSPOINTS[[#This Row],[Hourly]]=TRUE,PSPOINTS[[#This Row],[Hourly]]=FALSE),IF(OR(PSPOINTS[[#This Row],[PayScalePointEnabled]]=TRUE,PSPOINTS[[#This Row],[PayScalePointEnabled]]=FALSE),0,1),1)</f>
        <v>0</v>
      </c>
      <c r="I389" s="57">
        <f>IF(LEN(PSPOINTS[[#This Row],[PayScalePointCode]])&lt;100,0,1)</f>
        <v>0</v>
      </c>
      <c r="J389" s="57">
        <f>IF(LEN(PSPOINTS[[#This Row],[PayScalePointTitle]])&lt;100,0,1)</f>
        <v>0</v>
      </c>
      <c r="K389" s="57">
        <f>(COUNTBLANK(PSPOINTS[[#This Row],[PayScalePointCode]:[RateDateFrom]])+COUNTBLANK(PSPOINTS[[#This Row],[PayScaleRate]]))</f>
        <v>0</v>
      </c>
      <c r="L389" s="120">
        <f>IF(SUBSTITUTE(TEXT(PSPOINTS[[#This Row],[PayScaleCode]],10)," ","")=TEXT(PSPOINTS[[#This Row],[PayScaleCode]],10),0,1)+IF(SUBSTITUTE(TEXT(PSPOINTS[[#This Row],[PayScalePointCode]],10)," ","")=TEXT(PSPOINTS[[#This Row],[PayScalePointCode]],10),0,1)</f>
        <v>0</v>
      </c>
      <c r="M389" s="57">
        <f ca="1">SUM(PSPOINTS[[#This Row],[Scale Point Issue]:[Space in Code]])</f>
        <v>0</v>
      </c>
      <c r="N389" s="57" t="s">
        <v>1412</v>
      </c>
      <c r="P389" s="12" t="s">
        <v>1419</v>
      </c>
      <c r="Q389" s="57" t="str">
        <f>_xlfn.XLOOKUP(PSPOINTS[[#This Row],[PayScaleCode]],'19_PayScales'!N:N,'19_PayScales'!O:O)</f>
        <v>Leadership Group Outer</v>
      </c>
      <c r="R389" s="12" t="s">
        <v>1455</v>
      </c>
      <c r="S389" s="12" t="s">
        <v>1455</v>
      </c>
      <c r="T389" s="12">
        <v>1</v>
      </c>
      <c r="U389" s="12" t="b">
        <v>0</v>
      </c>
      <c r="V389" s="15" t="b">
        <v>1</v>
      </c>
      <c r="W389" s="164">
        <v>45901</v>
      </c>
      <c r="X389" s="140"/>
      <c r="Y389" s="162">
        <v>55881</v>
      </c>
    </row>
    <row r="390" spans="1:25" hidden="1" x14ac:dyDescent="0.25">
      <c r="A390" s="158" t="str">
        <f>PSPOINTS[[#This Row],[PayScaleCode]]&amp;PSPOINTS[[#This Row],[RateDateFrom]]</f>
        <v>LS_OUT45901</v>
      </c>
      <c r="B390" s="57">
        <f t="shared" ref="B390:B453" si="6">IF(A390=A389,SUM(T390-T389)-1,T390-1)</f>
        <v>0</v>
      </c>
      <c r="C390" s="57" t="str">
        <f>PSPOINTS[[#This Row],[PayScaleCode]]&amp;PSPOINTS[[#This Row],[PayScalePointCode]]&amp;PSPOINTS[[#This Row],[RateDateFrom]]</f>
        <v>LS_OUTL0245901</v>
      </c>
      <c r="D390" s="57">
        <f>COUNTIF(PSPOINTS[Pay Scale String Duplicates],PSPOINTS[[#This Row],[Pay Scale String Duplicates]])-1</f>
        <v>0</v>
      </c>
      <c r="E390" s="57">
        <f>IF((MONTH(_xlfn.XLOOKUP(PSPOINTS[[#This Row],[PayScaleCode]],'19_PayScales'!N:N,'19_PayScales'!R:R)))=MONTH(PSPOINTS[[#This Row],[RateDateFrom]]),0,1)</f>
        <v>0</v>
      </c>
      <c r="F390" s="57">
        <f>IF(ISBLANK(PSPOINTS[[#This Row],[RateDateTo]]),0,IF(PSPOINTS[[#This Row],[RateDateFrom]]&lt;PSPOINTS[[#This Row],[RateDateTo]],0,1))</f>
        <v>0</v>
      </c>
      <c r="G390" s="57" cm="1">
        <f t="array" aca="1" ref="G390" ca="1">IF(CELL("format",PSPOINTS[[#This Row],[RateDateFrom]])="D1",0,1)+IF(CELL("format",PSPOINTS[[#This Row],[RateDateTo]])="D1",0,1)</f>
        <v>0</v>
      </c>
      <c r="H390" s="57">
        <f>IF(OR(PSPOINTS[[#This Row],[Hourly]]=TRUE,PSPOINTS[[#This Row],[Hourly]]=FALSE),IF(OR(PSPOINTS[[#This Row],[PayScalePointEnabled]]=TRUE,PSPOINTS[[#This Row],[PayScalePointEnabled]]=FALSE),0,1),1)</f>
        <v>0</v>
      </c>
      <c r="I390" s="57">
        <f>IF(LEN(PSPOINTS[[#This Row],[PayScalePointCode]])&lt;100,0,1)</f>
        <v>0</v>
      </c>
      <c r="J390" s="57">
        <f>IF(LEN(PSPOINTS[[#This Row],[PayScalePointTitle]])&lt;100,0,1)</f>
        <v>0</v>
      </c>
      <c r="K390" s="57">
        <f>(COUNTBLANK(PSPOINTS[[#This Row],[PayScalePointCode]:[RateDateFrom]])+COUNTBLANK(PSPOINTS[[#This Row],[PayScaleRate]]))</f>
        <v>0</v>
      </c>
      <c r="L390" s="120">
        <f>IF(SUBSTITUTE(TEXT(PSPOINTS[[#This Row],[PayScaleCode]],10)," ","")=TEXT(PSPOINTS[[#This Row],[PayScaleCode]],10),0,1)+IF(SUBSTITUTE(TEXT(PSPOINTS[[#This Row],[PayScalePointCode]],10)," ","")=TEXT(PSPOINTS[[#This Row],[PayScalePointCode]],10),0,1)</f>
        <v>0</v>
      </c>
      <c r="M390" s="57">
        <f ca="1">SUM(PSPOINTS[[#This Row],[Scale Point Issue]:[Space in Code]])</f>
        <v>0</v>
      </c>
      <c r="N390" s="57" t="s">
        <v>1412</v>
      </c>
      <c r="P390" s="12" t="s">
        <v>1419</v>
      </c>
      <c r="Q390" s="57" t="str">
        <f>_xlfn.XLOOKUP(PSPOINTS[[#This Row],[PayScaleCode]],'19_PayScales'!N:N,'19_PayScales'!O:O)</f>
        <v>Leadership Group Outer</v>
      </c>
      <c r="R390" s="12" t="s">
        <v>1544</v>
      </c>
      <c r="S390" s="12" t="s">
        <v>1544</v>
      </c>
      <c r="T390" s="12">
        <v>2</v>
      </c>
      <c r="U390" s="12" t="b">
        <v>0</v>
      </c>
      <c r="V390" s="15" t="b">
        <v>1</v>
      </c>
      <c r="W390" s="164">
        <v>45901</v>
      </c>
      <c r="X390" s="140"/>
      <c r="Y390" s="162">
        <v>57180</v>
      </c>
    </row>
    <row r="391" spans="1:25" hidden="1" x14ac:dyDescent="0.25">
      <c r="A391" s="158" t="str">
        <f>PSPOINTS[[#This Row],[PayScaleCode]]&amp;PSPOINTS[[#This Row],[RateDateFrom]]</f>
        <v>LS_OUT45901</v>
      </c>
      <c r="B391" s="57">
        <f t="shared" si="6"/>
        <v>0</v>
      </c>
      <c r="C391" s="57" t="str">
        <f>PSPOINTS[[#This Row],[PayScaleCode]]&amp;PSPOINTS[[#This Row],[PayScalePointCode]]&amp;PSPOINTS[[#This Row],[RateDateFrom]]</f>
        <v>LS_OUTL0345901</v>
      </c>
      <c r="D391" s="57">
        <f>COUNTIF(PSPOINTS[Pay Scale String Duplicates],PSPOINTS[[#This Row],[Pay Scale String Duplicates]])-1</f>
        <v>0</v>
      </c>
      <c r="E391" s="57">
        <f>IF((MONTH(_xlfn.XLOOKUP(PSPOINTS[[#This Row],[PayScaleCode]],'19_PayScales'!N:N,'19_PayScales'!R:R)))=MONTH(PSPOINTS[[#This Row],[RateDateFrom]]),0,1)</f>
        <v>0</v>
      </c>
      <c r="F391" s="57">
        <f>IF(ISBLANK(PSPOINTS[[#This Row],[RateDateTo]]),0,IF(PSPOINTS[[#This Row],[RateDateFrom]]&lt;PSPOINTS[[#This Row],[RateDateTo]],0,1))</f>
        <v>0</v>
      </c>
      <c r="G391" s="57" cm="1">
        <f t="array" aca="1" ref="G391" ca="1">IF(CELL("format",PSPOINTS[[#This Row],[RateDateFrom]])="D1",0,1)+IF(CELL("format",PSPOINTS[[#This Row],[RateDateTo]])="D1",0,1)</f>
        <v>0</v>
      </c>
      <c r="H391" s="57">
        <f>IF(OR(PSPOINTS[[#This Row],[Hourly]]=TRUE,PSPOINTS[[#This Row],[Hourly]]=FALSE),IF(OR(PSPOINTS[[#This Row],[PayScalePointEnabled]]=TRUE,PSPOINTS[[#This Row],[PayScalePointEnabled]]=FALSE),0,1),1)</f>
        <v>0</v>
      </c>
      <c r="I391" s="57">
        <f>IF(LEN(PSPOINTS[[#This Row],[PayScalePointCode]])&lt;100,0,1)</f>
        <v>0</v>
      </c>
      <c r="J391" s="57">
        <f>IF(LEN(PSPOINTS[[#This Row],[PayScalePointTitle]])&lt;100,0,1)</f>
        <v>0</v>
      </c>
      <c r="K391" s="57">
        <f>(COUNTBLANK(PSPOINTS[[#This Row],[PayScalePointCode]:[RateDateFrom]])+COUNTBLANK(PSPOINTS[[#This Row],[PayScaleRate]]))</f>
        <v>0</v>
      </c>
      <c r="L391" s="120">
        <f>IF(SUBSTITUTE(TEXT(PSPOINTS[[#This Row],[PayScaleCode]],10)," ","")=TEXT(PSPOINTS[[#This Row],[PayScaleCode]],10),0,1)+IF(SUBSTITUTE(TEXT(PSPOINTS[[#This Row],[PayScalePointCode]],10)," ","")=TEXT(PSPOINTS[[#This Row],[PayScalePointCode]],10),0,1)</f>
        <v>0</v>
      </c>
      <c r="M391" s="57">
        <f ca="1">SUM(PSPOINTS[[#This Row],[Scale Point Issue]:[Space in Code]])</f>
        <v>0</v>
      </c>
      <c r="N391" s="57" t="s">
        <v>1412</v>
      </c>
      <c r="P391" s="12" t="s">
        <v>1419</v>
      </c>
      <c r="Q391" s="57" t="str">
        <f>_xlfn.XLOOKUP(PSPOINTS[[#This Row],[PayScaleCode]],'19_PayScales'!N:N,'19_PayScales'!O:O)</f>
        <v>Leadership Group Outer</v>
      </c>
      <c r="R391" s="12" t="s">
        <v>1545</v>
      </c>
      <c r="S391" s="12" t="s">
        <v>1545</v>
      </c>
      <c r="T391" s="12">
        <v>3</v>
      </c>
      <c r="U391" s="12" t="b">
        <v>0</v>
      </c>
      <c r="V391" s="15" t="b">
        <v>1</v>
      </c>
      <c r="W391" s="164">
        <v>45901</v>
      </c>
      <c r="X391" s="140"/>
      <c r="Y391" s="162">
        <v>58497</v>
      </c>
    </row>
    <row r="392" spans="1:25" hidden="1" x14ac:dyDescent="0.25">
      <c r="A392" s="158" t="str">
        <f>PSPOINTS[[#This Row],[PayScaleCode]]&amp;PSPOINTS[[#This Row],[RateDateFrom]]</f>
        <v>LS_OUT45901</v>
      </c>
      <c r="B392" s="57">
        <f t="shared" si="6"/>
        <v>0</v>
      </c>
      <c r="C392" s="57" t="str">
        <f>PSPOINTS[[#This Row],[PayScaleCode]]&amp;PSPOINTS[[#This Row],[PayScalePointCode]]&amp;PSPOINTS[[#This Row],[RateDateFrom]]</f>
        <v>LS_OUTL0445901</v>
      </c>
      <c r="D392" s="57">
        <f>COUNTIF(PSPOINTS[Pay Scale String Duplicates],PSPOINTS[[#This Row],[Pay Scale String Duplicates]])-1</f>
        <v>0</v>
      </c>
      <c r="E392" s="57">
        <f>IF((MONTH(_xlfn.XLOOKUP(PSPOINTS[[#This Row],[PayScaleCode]],'19_PayScales'!N:N,'19_PayScales'!R:R)))=MONTH(PSPOINTS[[#This Row],[RateDateFrom]]),0,1)</f>
        <v>0</v>
      </c>
      <c r="F392" s="57">
        <f>IF(ISBLANK(PSPOINTS[[#This Row],[RateDateTo]]),0,IF(PSPOINTS[[#This Row],[RateDateFrom]]&lt;PSPOINTS[[#This Row],[RateDateTo]],0,1))</f>
        <v>0</v>
      </c>
      <c r="G392" s="57" cm="1">
        <f t="array" aca="1" ref="G392" ca="1">IF(CELL("format",PSPOINTS[[#This Row],[RateDateFrom]])="D1",0,1)+IF(CELL("format",PSPOINTS[[#This Row],[RateDateTo]])="D1",0,1)</f>
        <v>0</v>
      </c>
      <c r="H392" s="57">
        <f>IF(OR(PSPOINTS[[#This Row],[Hourly]]=TRUE,PSPOINTS[[#This Row],[Hourly]]=FALSE),IF(OR(PSPOINTS[[#This Row],[PayScalePointEnabled]]=TRUE,PSPOINTS[[#This Row],[PayScalePointEnabled]]=FALSE),0,1),1)</f>
        <v>0</v>
      </c>
      <c r="I392" s="57">
        <f>IF(LEN(PSPOINTS[[#This Row],[PayScalePointCode]])&lt;100,0,1)</f>
        <v>0</v>
      </c>
      <c r="J392" s="57">
        <f>IF(LEN(PSPOINTS[[#This Row],[PayScalePointTitle]])&lt;100,0,1)</f>
        <v>0</v>
      </c>
      <c r="K392" s="57">
        <f>(COUNTBLANK(PSPOINTS[[#This Row],[PayScalePointCode]:[RateDateFrom]])+COUNTBLANK(PSPOINTS[[#This Row],[PayScaleRate]]))</f>
        <v>0</v>
      </c>
      <c r="L392" s="120">
        <f>IF(SUBSTITUTE(TEXT(PSPOINTS[[#This Row],[PayScaleCode]],10)," ","")=TEXT(PSPOINTS[[#This Row],[PayScaleCode]],10),0,1)+IF(SUBSTITUTE(TEXT(PSPOINTS[[#This Row],[PayScalePointCode]],10)," ","")=TEXT(PSPOINTS[[#This Row],[PayScalePointCode]],10),0,1)</f>
        <v>0</v>
      </c>
      <c r="M392" s="57">
        <f ca="1">SUM(PSPOINTS[[#This Row],[Scale Point Issue]:[Space in Code]])</f>
        <v>0</v>
      </c>
      <c r="N392" s="57" t="s">
        <v>1412</v>
      </c>
      <c r="P392" s="12" t="s">
        <v>1419</v>
      </c>
      <c r="Q392" s="57" t="str">
        <f>_xlfn.XLOOKUP(PSPOINTS[[#This Row],[PayScaleCode]],'19_PayScales'!N:N,'19_PayScales'!O:O)</f>
        <v>Leadership Group Outer</v>
      </c>
      <c r="R392" s="12" t="s">
        <v>1546</v>
      </c>
      <c r="S392" s="12" t="s">
        <v>1546</v>
      </c>
      <c r="T392" s="12">
        <v>4</v>
      </c>
      <c r="U392" s="12" t="b">
        <v>0</v>
      </c>
      <c r="V392" s="15" t="b">
        <v>1</v>
      </c>
      <c r="W392" s="164">
        <v>45901</v>
      </c>
      <c r="X392" s="140"/>
      <c r="Y392" s="162">
        <v>59859</v>
      </c>
    </row>
    <row r="393" spans="1:25" hidden="1" x14ac:dyDescent="0.25">
      <c r="A393" s="158" t="str">
        <f>PSPOINTS[[#This Row],[PayScaleCode]]&amp;PSPOINTS[[#This Row],[RateDateFrom]]</f>
        <v>LS_OUT45901</v>
      </c>
      <c r="B393" s="57">
        <f t="shared" si="6"/>
        <v>0</v>
      </c>
      <c r="C393" s="57" t="str">
        <f>PSPOINTS[[#This Row],[PayScaleCode]]&amp;PSPOINTS[[#This Row],[PayScalePointCode]]&amp;PSPOINTS[[#This Row],[RateDateFrom]]</f>
        <v>LS_OUTL0545901</v>
      </c>
      <c r="D393" s="57">
        <f>COUNTIF(PSPOINTS[Pay Scale String Duplicates],PSPOINTS[[#This Row],[Pay Scale String Duplicates]])-1</f>
        <v>0</v>
      </c>
      <c r="E393" s="57">
        <f>IF((MONTH(_xlfn.XLOOKUP(PSPOINTS[[#This Row],[PayScaleCode]],'19_PayScales'!N:N,'19_PayScales'!R:R)))=MONTH(PSPOINTS[[#This Row],[RateDateFrom]]),0,1)</f>
        <v>0</v>
      </c>
      <c r="F393" s="57">
        <f>IF(ISBLANK(PSPOINTS[[#This Row],[RateDateTo]]),0,IF(PSPOINTS[[#This Row],[RateDateFrom]]&lt;PSPOINTS[[#This Row],[RateDateTo]],0,1))</f>
        <v>0</v>
      </c>
      <c r="G393" s="57" cm="1">
        <f t="array" aca="1" ref="G393" ca="1">IF(CELL("format",PSPOINTS[[#This Row],[RateDateFrom]])="D1",0,1)+IF(CELL("format",PSPOINTS[[#This Row],[RateDateTo]])="D1",0,1)</f>
        <v>0</v>
      </c>
      <c r="H393" s="57">
        <f>IF(OR(PSPOINTS[[#This Row],[Hourly]]=TRUE,PSPOINTS[[#This Row],[Hourly]]=FALSE),IF(OR(PSPOINTS[[#This Row],[PayScalePointEnabled]]=TRUE,PSPOINTS[[#This Row],[PayScalePointEnabled]]=FALSE),0,1),1)</f>
        <v>0</v>
      </c>
      <c r="I393" s="57">
        <f>IF(LEN(PSPOINTS[[#This Row],[PayScalePointCode]])&lt;100,0,1)</f>
        <v>0</v>
      </c>
      <c r="J393" s="57">
        <f>IF(LEN(PSPOINTS[[#This Row],[PayScalePointTitle]])&lt;100,0,1)</f>
        <v>0</v>
      </c>
      <c r="K393" s="57">
        <f>(COUNTBLANK(PSPOINTS[[#This Row],[PayScalePointCode]:[RateDateFrom]])+COUNTBLANK(PSPOINTS[[#This Row],[PayScaleRate]]))</f>
        <v>0</v>
      </c>
      <c r="L393" s="120">
        <f>IF(SUBSTITUTE(TEXT(PSPOINTS[[#This Row],[PayScaleCode]],10)," ","")=TEXT(PSPOINTS[[#This Row],[PayScaleCode]],10),0,1)+IF(SUBSTITUTE(TEXT(PSPOINTS[[#This Row],[PayScalePointCode]],10)," ","")=TEXT(PSPOINTS[[#This Row],[PayScalePointCode]],10),0,1)</f>
        <v>0</v>
      </c>
      <c r="M393" s="57">
        <f ca="1">SUM(PSPOINTS[[#This Row],[Scale Point Issue]:[Space in Code]])</f>
        <v>0</v>
      </c>
      <c r="N393" s="57" t="s">
        <v>1412</v>
      </c>
      <c r="P393" s="12" t="s">
        <v>1419</v>
      </c>
      <c r="Q393" s="57" t="str">
        <f>_xlfn.XLOOKUP(PSPOINTS[[#This Row],[PayScaleCode]],'19_PayScales'!N:N,'19_PayScales'!O:O)</f>
        <v>Leadership Group Outer</v>
      </c>
      <c r="R393" s="12" t="s">
        <v>1547</v>
      </c>
      <c r="S393" s="12" t="s">
        <v>1547</v>
      </c>
      <c r="T393" s="12">
        <v>5</v>
      </c>
      <c r="U393" s="12" t="b">
        <v>0</v>
      </c>
      <c r="V393" s="15" t="b">
        <v>1</v>
      </c>
      <c r="W393" s="164">
        <v>45901</v>
      </c>
      <c r="X393" s="140"/>
      <c r="Y393" s="162">
        <v>61249</v>
      </c>
    </row>
    <row r="394" spans="1:25" hidden="1" x14ac:dyDescent="0.25">
      <c r="A394" s="158" t="str">
        <f>PSPOINTS[[#This Row],[PayScaleCode]]&amp;PSPOINTS[[#This Row],[RateDateFrom]]</f>
        <v>LS_OUT45901</v>
      </c>
      <c r="B394" s="57">
        <f t="shared" si="6"/>
        <v>0</v>
      </c>
      <c r="C394" s="57" t="str">
        <f>PSPOINTS[[#This Row],[PayScaleCode]]&amp;PSPOINTS[[#This Row],[PayScalePointCode]]&amp;PSPOINTS[[#This Row],[RateDateFrom]]</f>
        <v>LS_OUTL0645901</v>
      </c>
      <c r="D394" s="57">
        <f>COUNTIF(PSPOINTS[Pay Scale String Duplicates],PSPOINTS[[#This Row],[Pay Scale String Duplicates]])-1</f>
        <v>0</v>
      </c>
      <c r="E394" s="57">
        <f>IF((MONTH(_xlfn.XLOOKUP(PSPOINTS[[#This Row],[PayScaleCode]],'19_PayScales'!N:N,'19_PayScales'!R:R)))=MONTH(PSPOINTS[[#This Row],[RateDateFrom]]),0,1)</f>
        <v>0</v>
      </c>
      <c r="F394" s="57">
        <f>IF(ISBLANK(PSPOINTS[[#This Row],[RateDateTo]]),0,IF(PSPOINTS[[#This Row],[RateDateFrom]]&lt;PSPOINTS[[#This Row],[RateDateTo]],0,1))</f>
        <v>0</v>
      </c>
      <c r="G394" s="57" cm="1">
        <f t="array" aca="1" ref="G394" ca="1">IF(CELL("format",PSPOINTS[[#This Row],[RateDateFrom]])="D1",0,1)+IF(CELL("format",PSPOINTS[[#This Row],[RateDateTo]])="D1",0,1)</f>
        <v>0</v>
      </c>
      <c r="H394" s="57">
        <f>IF(OR(PSPOINTS[[#This Row],[Hourly]]=TRUE,PSPOINTS[[#This Row],[Hourly]]=FALSE),IF(OR(PSPOINTS[[#This Row],[PayScalePointEnabled]]=TRUE,PSPOINTS[[#This Row],[PayScalePointEnabled]]=FALSE),0,1),1)</f>
        <v>0</v>
      </c>
      <c r="I394" s="57">
        <f>IF(LEN(PSPOINTS[[#This Row],[PayScalePointCode]])&lt;100,0,1)</f>
        <v>0</v>
      </c>
      <c r="J394" s="57">
        <f>IF(LEN(PSPOINTS[[#This Row],[PayScalePointTitle]])&lt;100,0,1)</f>
        <v>0</v>
      </c>
      <c r="K394" s="57">
        <f>(COUNTBLANK(PSPOINTS[[#This Row],[PayScalePointCode]:[RateDateFrom]])+COUNTBLANK(PSPOINTS[[#This Row],[PayScaleRate]]))</f>
        <v>0</v>
      </c>
      <c r="L394" s="120">
        <f>IF(SUBSTITUTE(TEXT(PSPOINTS[[#This Row],[PayScaleCode]],10)," ","")=TEXT(PSPOINTS[[#This Row],[PayScaleCode]],10),0,1)+IF(SUBSTITUTE(TEXT(PSPOINTS[[#This Row],[PayScalePointCode]],10)," ","")=TEXT(PSPOINTS[[#This Row],[PayScalePointCode]],10),0,1)</f>
        <v>0</v>
      </c>
      <c r="M394" s="57">
        <f ca="1">SUM(PSPOINTS[[#This Row],[Scale Point Issue]:[Space in Code]])</f>
        <v>0</v>
      </c>
      <c r="N394" s="57" t="s">
        <v>1412</v>
      </c>
      <c r="P394" s="12" t="s">
        <v>1419</v>
      </c>
      <c r="Q394" s="57" t="str">
        <f>_xlfn.XLOOKUP(PSPOINTS[[#This Row],[PayScaleCode]],'19_PayScales'!N:N,'19_PayScales'!O:O)</f>
        <v>Leadership Group Outer</v>
      </c>
      <c r="R394" s="12" t="s">
        <v>1548</v>
      </c>
      <c r="S394" s="12" t="s">
        <v>1548</v>
      </c>
      <c r="T394" s="12">
        <v>6</v>
      </c>
      <c r="U394" s="12" t="b">
        <v>0</v>
      </c>
      <c r="V394" s="15" t="b">
        <v>1</v>
      </c>
      <c r="W394" s="164">
        <v>45901</v>
      </c>
      <c r="X394" s="140"/>
      <c r="Y394" s="162">
        <v>62677</v>
      </c>
    </row>
    <row r="395" spans="1:25" hidden="1" x14ac:dyDescent="0.25">
      <c r="A395" s="158" t="str">
        <f>PSPOINTS[[#This Row],[PayScaleCode]]&amp;PSPOINTS[[#This Row],[RateDateFrom]]</f>
        <v>LS_OUT45901</v>
      </c>
      <c r="B395" s="57">
        <f t="shared" si="6"/>
        <v>0</v>
      </c>
      <c r="C395" s="57" t="str">
        <f>PSPOINTS[[#This Row],[PayScaleCode]]&amp;PSPOINTS[[#This Row],[PayScalePointCode]]&amp;PSPOINTS[[#This Row],[RateDateFrom]]</f>
        <v>LS_OUTL0745901</v>
      </c>
      <c r="D395" s="57">
        <f>COUNTIF(PSPOINTS[Pay Scale String Duplicates],PSPOINTS[[#This Row],[Pay Scale String Duplicates]])-1</f>
        <v>0</v>
      </c>
      <c r="E395" s="57">
        <f>IF((MONTH(_xlfn.XLOOKUP(PSPOINTS[[#This Row],[PayScaleCode]],'19_PayScales'!N:N,'19_PayScales'!R:R)))=MONTH(PSPOINTS[[#This Row],[RateDateFrom]]),0,1)</f>
        <v>0</v>
      </c>
      <c r="F395" s="57">
        <f>IF(ISBLANK(PSPOINTS[[#This Row],[RateDateTo]]),0,IF(PSPOINTS[[#This Row],[RateDateFrom]]&lt;PSPOINTS[[#This Row],[RateDateTo]],0,1))</f>
        <v>0</v>
      </c>
      <c r="G395" s="57" cm="1">
        <f t="array" aca="1" ref="G395" ca="1">IF(CELL("format",PSPOINTS[[#This Row],[RateDateFrom]])="D1",0,1)+IF(CELL("format",PSPOINTS[[#This Row],[RateDateTo]])="D1",0,1)</f>
        <v>0</v>
      </c>
      <c r="H395" s="57">
        <f>IF(OR(PSPOINTS[[#This Row],[Hourly]]=TRUE,PSPOINTS[[#This Row],[Hourly]]=FALSE),IF(OR(PSPOINTS[[#This Row],[PayScalePointEnabled]]=TRUE,PSPOINTS[[#This Row],[PayScalePointEnabled]]=FALSE),0,1),1)</f>
        <v>0</v>
      </c>
      <c r="I395" s="57">
        <f>IF(LEN(PSPOINTS[[#This Row],[PayScalePointCode]])&lt;100,0,1)</f>
        <v>0</v>
      </c>
      <c r="J395" s="57">
        <f>IF(LEN(PSPOINTS[[#This Row],[PayScalePointTitle]])&lt;100,0,1)</f>
        <v>0</v>
      </c>
      <c r="K395" s="57">
        <f>(COUNTBLANK(PSPOINTS[[#This Row],[PayScalePointCode]:[RateDateFrom]])+COUNTBLANK(PSPOINTS[[#This Row],[PayScaleRate]]))</f>
        <v>0</v>
      </c>
      <c r="L395" s="120">
        <f>IF(SUBSTITUTE(TEXT(PSPOINTS[[#This Row],[PayScaleCode]],10)," ","")=TEXT(PSPOINTS[[#This Row],[PayScaleCode]],10),0,1)+IF(SUBSTITUTE(TEXT(PSPOINTS[[#This Row],[PayScalePointCode]],10)," ","")=TEXT(PSPOINTS[[#This Row],[PayScalePointCode]],10),0,1)</f>
        <v>0</v>
      </c>
      <c r="M395" s="57">
        <f ca="1">SUM(PSPOINTS[[#This Row],[Scale Point Issue]:[Space in Code]])</f>
        <v>0</v>
      </c>
      <c r="N395" s="57" t="s">
        <v>1412</v>
      </c>
      <c r="P395" s="12" t="s">
        <v>1419</v>
      </c>
      <c r="Q395" s="57" t="str">
        <f>_xlfn.XLOOKUP(PSPOINTS[[#This Row],[PayScaleCode]],'19_PayScales'!N:N,'19_PayScales'!O:O)</f>
        <v>Leadership Group Outer</v>
      </c>
      <c r="R395" s="12" t="s">
        <v>1549</v>
      </c>
      <c r="S395" s="12" t="s">
        <v>1549</v>
      </c>
      <c r="T395" s="12">
        <v>7</v>
      </c>
      <c r="U395" s="12" t="b">
        <v>0</v>
      </c>
      <c r="V395" s="15" t="b">
        <v>1</v>
      </c>
      <c r="W395" s="164">
        <v>45901</v>
      </c>
      <c r="X395" s="140"/>
      <c r="Y395" s="162">
        <v>64259</v>
      </c>
    </row>
    <row r="396" spans="1:25" hidden="1" x14ac:dyDescent="0.25">
      <c r="A396" s="158" t="str">
        <f>PSPOINTS[[#This Row],[PayScaleCode]]&amp;PSPOINTS[[#This Row],[RateDateFrom]]</f>
        <v>LS_OUT45901</v>
      </c>
      <c r="B396" s="57">
        <f t="shared" si="6"/>
        <v>0</v>
      </c>
      <c r="C396" s="57" t="str">
        <f>PSPOINTS[[#This Row],[PayScaleCode]]&amp;PSPOINTS[[#This Row],[PayScalePointCode]]&amp;PSPOINTS[[#This Row],[RateDateFrom]]</f>
        <v>LS_OUTL0845901</v>
      </c>
      <c r="D396" s="57">
        <f>COUNTIF(PSPOINTS[Pay Scale String Duplicates],PSPOINTS[[#This Row],[Pay Scale String Duplicates]])-1</f>
        <v>0</v>
      </c>
      <c r="E396" s="57">
        <f>IF((MONTH(_xlfn.XLOOKUP(PSPOINTS[[#This Row],[PayScaleCode]],'19_PayScales'!N:N,'19_PayScales'!R:R)))=MONTH(PSPOINTS[[#This Row],[RateDateFrom]]),0,1)</f>
        <v>0</v>
      </c>
      <c r="F396" s="57">
        <f>IF(ISBLANK(PSPOINTS[[#This Row],[RateDateTo]]),0,IF(PSPOINTS[[#This Row],[RateDateFrom]]&lt;PSPOINTS[[#This Row],[RateDateTo]],0,1))</f>
        <v>0</v>
      </c>
      <c r="G396" s="57" cm="1">
        <f t="array" aca="1" ref="G396" ca="1">IF(CELL("format",PSPOINTS[[#This Row],[RateDateFrom]])="D1",0,1)+IF(CELL("format",PSPOINTS[[#This Row],[RateDateTo]])="D1",0,1)</f>
        <v>0</v>
      </c>
      <c r="H396" s="57">
        <f>IF(OR(PSPOINTS[[#This Row],[Hourly]]=TRUE,PSPOINTS[[#This Row],[Hourly]]=FALSE),IF(OR(PSPOINTS[[#This Row],[PayScalePointEnabled]]=TRUE,PSPOINTS[[#This Row],[PayScalePointEnabled]]=FALSE),0,1),1)</f>
        <v>0</v>
      </c>
      <c r="I396" s="57">
        <f>IF(LEN(PSPOINTS[[#This Row],[PayScalePointCode]])&lt;100,0,1)</f>
        <v>0</v>
      </c>
      <c r="J396" s="57">
        <f>IF(LEN(PSPOINTS[[#This Row],[PayScalePointTitle]])&lt;100,0,1)</f>
        <v>0</v>
      </c>
      <c r="K396" s="57">
        <f>(COUNTBLANK(PSPOINTS[[#This Row],[PayScalePointCode]:[RateDateFrom]])+COUNTBLANK(PSPOINTS[[#This Row],[PayScaleRate]]))</f>
        <v>0</v>
      </c>
      <c r="L396" s="120">
        <f>IF(SUBSTITUTE(TEXT(PSPOINTS[[#This Row],[PayScaleCode]],10)," ","")=TEXT(PSPOINTS[[#This Row],[PayScaleCode]],10),0,1)+IF(SUBSTITUTE(TEXT(PSPOINTS[[#This Row],[PayScalePointCode]],10)," ","")=TEXT(PSPOINTS[[#This Row],[PayScalePointCode]],10),0,1)</f>
        <v>0</v>
      </c>
      <c r="M396" s="57">
        <f ca="1">SUM(PSPOINTS[[#This Row],[Scale Point Issue]:[Space in Code]])</f>
        <v>0</v>
      </c>
      <c r="N396" s="57" t="s">
        <v>1412</v>
      </c>
      <c r="P396" s="12" t="s">
        <v>1419</v>
      </c>
      <c r="Q396" s="57" t="str">
        <f>_xlfn.XLOOKUP(PSPOINTS[[#This Row],[PayScaleCode]],'19_PayScales'!N:N,'19_PayScales'!O:O)</f>
        <v>Leadership Group Outer</v>
      </c>
      <c r="R396" s="12" t="s">
        <v>1550</v>
      </c>
      <c r="S396" s="12" t="s">
        <v>1550</v>
      </c>
      <c r="T396" s="12">
        <v>8</v>
      </c>
      <c r="U396" s="12" t="b">
        <v>0</v>
      </c>
      <c r="V396" s="15" t="b">
        <v>1</v>
      </c>
      <c r="W396" s="164">
        <v>45901</v>
      </c>
      <c r="X396" s="140"/>
      <c r="Y396" s="162">
        <v>65642</v>
      </c>
    </row>
    <row r="397" spans="1:25" hidden="1" x14ac:dyDescent="0.25">
      <c r="A397" s="158" t="str">
        <f>PSPOINTS[[#This Row],[PayScaleCode]]&amp;PSPOINTS[[#This Row],[RateDateFrom]]</f>
        <v>LS_OUT45901</v>
      </c>
      <c r="B397" s="57">
        <f t="shared" si="6"/>
        <v>0</v>
      </c>
      <c r="C397" s="57" t="str">
        <f>PSPOINTS[[#This Row],[PayScaleCode]]&amp;PSPOINTS[[#This Row],[PayScalePointCode]]&amp;PSPOINTS[[#This Row],[RateDateFrom]]</f>
        <v>LS_OUTL0945901</v>
      </c>
      <c r="D397" s="57">
        <f>COUNTIF(PSPOINTS[Pay Scale String Duplicates],PSPOINTS[[#This Row],[Pay Scale String Duplicates]])-1</f>
        <v>0</v>
      </c>
      <c r="E397" s="57">
        <f>IF((MONTH(_xlfn.XLOOKUP(PSPOINTS[[#This Row],[PayScaleCode]],'19_PayScales'!N:N,'19_PayScales'!R:R)))=MONTH(PSPOINTS[[#This Row],[RateDateFrom]]),0,1)</f>
        <v>0</v>
      </c>
      <c r="F397" s="57">
        <f>IF(ISBLANK(PSPOINTS[[#This Row],[RateDateTo]]),0,IF(PSPOINTS[[#This Row],[RateDateFrom]]&lt;PSPOINTS[[#This Row],[RateDateTo]],0,1))</f>
        <v>0</v>
      </c>
      <c r="G397" s="57" cm="1">
        <f t="array" aca="1" ref="G397" ca="1">IF(CELL("format",PSPOINTS[[#This Row],[RateDateFrom]])="D1",0,1)+IF(CELL("format",PSPOINTS[[#This Row],[RateDateTo]])="D1",0,1)</f>
        <v>0</v>
      </c>
      <c r="H397" s="57">
        <f>IF(OR(PSPOINTS[[#This Row],[Hourly]]=TRUE,PSPOINTS[[#This Row],[Hourly]]=FALSE),IF(OR(PSPOINTS[[#This Row],[PayScalePointEnabled]]=TRUE,PSPOINTS[[#This Row],[PayScalePointEnabled]]=FALSE),0,1),1)</f>
        <v>0</v>
      </c>
      <c r="I397" s="57">
        <f>IF(LEN(PSPOINTS[[#This Row],[PayScalePointCode]])&lt;100,0,1)</f>
        <v>0</v>
      </c>
      <c r="J397" s="57">
        <f>IF(LEN(PSPOINTS[[#This Row],[PayScalePointTitle]])&lt;100,0,1)</f>
        <v>0</v>
      </c>
      <c r="K397" s="57">
        <f>(COUNTBLANK(PSPOINTS[[#This Row],[PayScalePointCode]:[RateDateFrom]])+COUNTBLANK(PSPOINTS[[#This Row],[PayScaleRate]]))</f>
        <v>0</v>
      </c>
      <c r="L397" s="120">
        <f>IF(SUBSTITUTE(TEXT(PSPOINTS[[#This Row],[PayScaleCode]],10)," ","")=TEXT(PSPOINTS[[#This Row],[PayScaleCode]],10),0,1)+IF(SUBSTITUTE(TEXT(PSPOINTS[[#This Row],[PayScalePointCode]],10)," ","")=TEXT(PSPOINTS[[#This Row],[PayScalePointCode]],10),0,1)</f>
        <v>0</v>
      </c>
      <c r="M397" s="57">
        <f ca="1">SUM(PSPOINTS[[#This Row],[Scale Point Issue]:[Space in Code]])</f>
        <v>0</v>
      </c>
      <c r="N397" s="57" t="s">
        <v>1412</v>
      </c>
      <c r="P397" s="12" t="s">
        <v>1419</v>
      </c>
      <c r="Q397" s="57" t="str">
        <f>_xlfn.XLOOKUP(PSPOINTS[[#This Row],[PayScaleCode]],'19_PayScales'!N:N,'19_PayScales'!O:O)</f>
        <v>Leadership Group Outer</v>
      </c>
      <c r="R397" s="12" t="s">
        <v>1551</v>
      </c>
      <c r="S397" s="12" t="s">
        <v>1551</v>
      </c>
      <c r="T397" s="12">
        <v>9</v>
      </c>
      <c r="U397" s="12" t="b">
        <v>0</v>
      </c>
      <c r="V397" s="15" t="b">
        <v>1</v>
      </c>
      <c r="W397" s="164">
        <v>45901</v>
      </c>
      <c r="X397" s="140"/>
      <c r="Y397" s="162">
        <v>67177</v>
      </c>
    </row>
    <row r="398" spans="1:25" hidden="1" x14ac:dyDescent="0.25">
      <c r="A398" s="158" t="str">
        <f>PSPOINTS[[#This Row],[PayScaleCode]]&amp;PSPOINTS[[#This Row],[RateDateFrom]]</f>
        <v>LS_OUT45901</v>
      </c>
      <c r="B398" s="57">
        <f t="shared" si="6"/>
        <v>0</v>
      </c>
      <c r="C398" s="57" t="str">
        <f>PSPOINTS[[#This Row],[PayScaleCode]]&amp;PSPOINTS[[#This Row],[PayScalePointCode]]&amp;PSPOINTS[[#This Row],[RateDateFrom]]</f>
        <v>LS_OUTL1045901</v>
      </c>
      <c r="D398" s="57">
        <f>COUNTIF(PSPOINTS[Pay Scale String Duplicates],PSPOINTS[[#This Row],[Pay Scale String Duplicates]])-1</f>
        <v>0</v>
      </c>
      <c r="E398" s="57">
        <f>IF((MONTH(_xlfn.XLOOKUP(PSPOINTS[[#This Row],[PayScaleCode]],'19_PayScales'!N:N,'19_PayScales'!R:R)))=MONTH(PSPOINTS[[#This Row],[RateDateFrom]]),0,1)</f>
        <v>0</v>
      </c>
      <c r="F398" s="57">
        <f>IF(ISBLANK(PSPOINTS[[#This Row],[RateDateTo]]),0,IF(PSPOINTS[[#This Row],[RateDateFrom]]&lt;PSPOINTS[[#This Row],[RateDateTo]],0,1))</f>
        <v>0</v>
      </c>
      <c r="G398" s="57" cm="1">
        <f t="array" aca="1" ref="G398" ca="1">IF(CELL("format",PSPOINTS[[#This Row],[RateDateFrom]])="D1",0,1)+IF(CELL("format",PSPOINTS[[#This Row],[RateDateTo]])="D1",0,1)</f>
        <v>0</v>
      </c>
      <c r="H398" s="57">
        <f>IF(OR(PSPOINTS[[#This Row],[Hourly]]=TRUE,PSPOINTS[[#This Row],[Hourly]]=FALSE),IF(OR(PSPOINTS[[#This Row],[PayScalePointEnabled]]=TRUE,PSPOINTS[[#This Row],[PayScalePointEnabled]]=FALSE),0,1),1)</f>
        <v>0</v>
      </c>
      <c r="I398" s="57">
        <f>IF(LEN(PSPOINTS[[#This Row],[PayScalePointCode]])&lt;100,0,1)</f>
        <v>0</v>
      </c>
      <c r="J398" s="57">
        <f>IF(LEN(PSPOINTS[[#This Row],[PayScalePointTitle]])&lt;100,0,1)</f>
        <v>0</v>
      </c>
      <c r="K398" s="57">
        <f>(COUNTBLANK(PSPOINTS[[#This Row],[PayScalePointCode]:[RateDateFrom]])+COUNTBLANK(PSPOINTS[[#This Row],[PayScaleRate]]))</f>
        <v>0</v>
      </c>
      <c r="L398" s="120">
        <f>IF(SUBSTITUTE(TEXT(PSPOINTS[[#This Row],[PayScaleCode]],10)," ","")=TEXT(PSPOINTS[[#This Row],[PayScaleCode]],10),0,1)+IF(SUBSTITUTE(TEXT(PSPOINTS[[#This Row],[PayScalePointCode]],10)," ","")=TEXT(PSPOINTS[[#This Row],[PayScalePointCode]],10),0,1)</f>
        <v>0</v>
      </c>
      <c r="M398" s="57">
        <f ca="1">SUM(PSPOINTS[[#This Row],[Scale Point Issue]:[Space in Code]])</f>
        <v>0</v>
      </c>
      <c r="N398" s="57" t="s">
        <v>1412</v>
      </c>
      <c r="P398" s="12" t="s">
        <v>1419</v>
      </c>
      <c r="Q398" s="57" t="str">
        <f>_xlfn.XLOOKUP(PSPOINTS[[#This Row],[PayScaleCode]],'19_PayScales'!N:N,'19_PayScales'!O:O)</f>
        <v>Leadership Group Outer</v>
      </c>
      <c r="R398" s="12" t="s">
        <v>1552</v>
      </c>
      <c r="S398" s="12" t="s">
        <v>1552</v>
      </c>
      <c r="T398" s="12">
        <v>10</v>
      </c>
      <c r="U398" s="12" t="b">
        <v>0</v>
      </c>
      <c r="V398" s="15" t="b">
        <v>1</v>
      </c>
      <c r="W398" s="164">
        <v>45901</v>
      </c>
      <c r="X398" s="140"/>
      <c r="Y398" s="162">
        <v>68799</v>
      </c>
    </row>
    <row r="399" spans="1:25" hidden="1" x14ac:dyDescent="0.25">
      <c r="A399" s="158" t="str">
        <f>PSPOINTS[[#This Row],[PayScaleCode]]&amp;PSPOINTS[[#This Row],[RateDateFrom]]</f>
        <v>LS_OUT45901</v>
      </c>
      <c r="B399" s="57">
        <f t="shared" si="6"/>
        <v>0</v>
      </c>
      <c r="C399" s="57" t="str">
        <f>PSPOINTS[[#This Row],[PayScaleCode]]&amp;PSPOINTS[[#This Row],[PayScalePointCode]]&amp;PSPOINTS[[#This Row],[RateDateFrom]]</f>
        <v>LS_OUTL1145901</v>
      </c>
      <c r="D399" s="57">
        <f>COUNTIF(PSPOINTS[Pay Scale String Duplicates],PSPOINTS[[#This Row],[Pay Scale String Duplicates]])-1</f>
        <v>0</v>
      </c>
      <c r="E399" s="57">
        <f>IF((MONTH(_xlfn.XLOOKUP(PSPOINTS[[#This Row],[PayScaleCode]],'19_PayScales'!N:N,'19_PayScales'!R:R)))=MONTH(PSPOINTS[[#This Row],[RateDateFrom]]),0,1)</f>
        <v>0</v>
      </c>
      <c r="F399" s="57">
        <f>IF(ISBLANK(PSPOINTS[[#This Row],[RateDateTo]]),0,IF(PSPOINTS[[#This Row],[RateDateFrom]]&lt;PSPOINTS[[#This Row],[RateDateTo]],0,1))</f>
        <v>0</v>
      </c>
      <c r="G399" s="57" cm="1">
        <f t="array" aca="1" ref="G399" ca="1">IF(CELL("format",PSPOINTS[[#This Row],[RateDateFrom]])="D1",0,1)+IF(CELL("format",PSPOINTS[[#This Row],[RateDateTo]])="D1",0,1)</f>
        <v>0</v>
      </c>
      <c r="H399" s="57">
        <f>IF(OR(PSPOINTS[[#This Row],[Hourly]]=TRUE,PSPOINTS[[#This Row],[Hourly]]=FALSE),IF(OR(PSPOINTS[[#This Row],[PayScalePointEnabled]]=TRUE,PSPOINTS[[#This Row],[PayScalePointEnabled]]=FALSE),0,1),1)</f>
        <v>0</v>
      </c>
      <c r="I399" s="57">
        <f>IF(LEN(PSPOINTS[[#This Row],[PayScalePointCode]])&lt;100,0,1)</f>
        <v>0</v>
      </c>
      <c r="J399" s="57">
        <f>IF(LEN(PSPOINTS[[#This Row],[PayScalePointTitle]])&lt;100,0,1)</f>
        <v>0</v>
      </c>
      <c r="K399" s="57">
        <f>(COUNTBLANK(PSPOINTS[[#This Row],[PayScalePointCode]:[RateDateFrom]])+COUNTBLANK(PSPOINTS[[#This Row],[PayScaleRate]]))</f>
        <v>0</v>
      </c>
      <c r="L399" s="120">
        <f>IF(SUBSTITUTE(TEXT(PSPOINTS[[#This Row],[PayScaleCode]],10)," ","")=TEXT(PSPOINTS[[#This Row],[PayScaleCode]],10),0,1)+IF(SUBSTITUTE(TEXT(PSPOINTS[[#This Row],[PayScalePointCode]],10)," ","")=TEXT(PSPOINTS[[#This Row],[PayScalePointCode]],10),0,1)</f>
        <v>0</v>
      </c>
      <c r="M399" s="57">
        <f ca="1">SUM(PSPOINTS[[#This Row],[Scale Point Issue]:[Space in Code]])</f>
        <v>0</v>
      </c>
      <c r="N399" s="57" t="s">
        <v>1412</v>
      </c>
      <c r="P399" s="12" t="s">
        <v>1419</v>
      </c>
      <c r="Q399" s="57" t="str">
        <f>_xlfn.XLOOKUP(PSPOINTS[[#This Row],[PayScaleCode]],'19_PayScales'!N:N,'19_PayScales'!O:O)</f>
        <v>Leadership Group Outer</v>
      </c>
      <c r="R399" s="12" t="s">
        <v>1553</v>
      </c>
      <c r="S399" s="12" t="s">
        <v>1553</v>
      </c>
      <c r="T399" s="12">
        <v>11</v>
      </c>
      <c r="U399" s="12" t="b">
        <v>0</v>
      </c>
      <c r="V399" s="15" t="b">
        <v>1</v>
      </c>
      <c r="W399" s="164">
        <v>45901</v>
      </c>
      <c r="X399" s="140"/>
      <c r="Y399" s="162">
        <v>70473</v>
      </c>
    </row>
    <row r="400" spans="1:25" hidden="1" x14ac:dyDescent="0.25">
      <c r="A400" s="158" t="str">
        <f>PSPOINTS[[#This Row],[PayScaleCode]]&amp;PSPOINTS[[#This Row],[RateDateFrom]]</f>
        <v>LS_OUT45901</v>
      </c>
      <c r="B400" s="57">
        <f t="shared" si="6"/>
        <v>0</v>
      </c>
      <c r="C400" s="57" t="str">
        <f>PSPOINTS[[#This Row],[PayScaleCode]]&amp;PSPOINTS[[#This Row],[PayScalePointCode]]&amp;PSPOINTS[[#This Row],[RateDateFrom]]</f>
        <v>LS_OUTL1245901</v>
      </c>
      <c r="D400" s="57">
        <f>COUNTIF(PSPOINTS[Pay Scale String Duplicates],PSPOINTS[[#This Row],[Pay Scale String Duplicates]])-1</f>
        <v>0</v>
      </c>
      <c r="E400" s="57">
        <f>IF((MONTH(_xlfn.XLOOKUP(PSPOINTS[[#This Row],[PayScaleCode]],'19_PayScales'!N:N,'19_PayScales'!R:R)))=MONTH(PSPOINTS[[#This Row],[RateDateFrom]]),0,1)</f>
        <v>0</v>
      </c>
      <c r="F400" s="57">
        <f>IF(ISBLANK(PSPOINTS[[#This Row],[RateDateTo]]),0,IF(PSPOINTS[[#This Row],[RateDateFrom]]&lt;PSPOINTS[[#This Row],[RateDateTo]],0,1))</f>
        <v>0</v>
      </c>
      <c r="G400" s="57" cm="1">
        <f t="array" aca="1" ref="G400" ca="1">IF(CELL("format",PSPOINTS[[#This Row],[RateDateFrom]])="D1",0,1)+IF(CELL("format",PSPOINTS[[#This Row],[RateDateTo]])="D1",0,1)</f>
        <v>0</v>
      </c>
      <c r="H400" s="57">
        <f>IF(OR(PSPOINTS[[#This Row],[Hourly]]=TRUE,PSPOINTS[[#This Row],[Hourly]]=FALSE),IF(OR(PSPOINTS[[#This Row],[PayScalePointEnabled]]=TRUE,PSPOINTS[[#This Row],[PayScalePointEnabled]]=FALSE),0,1),1)</f>
        <v>0</v>
      </c>
      <c r="I400" s="57">
        <f>IF(LEN(PSPOINTS[[#This Row],[PayScalePointCode]])&lt;100,0,1)</f>
        <v>0</v>
      </c>
      <c r="J400" s="57">
        <f>IF(LEN(PSPOINTS[[#This Row],[PayScalePointTitle]])&lt;100,0,1)</f>
        <v>0</v>
      </c>
      <c r="K400" s="57">
        <f>(COUNTBLANK(PSPOINTS[[#This Row],[PayScalePointCode]:[RateDateFrom]])+COUNTBLANK(PSPOINTS[[#This Row],[PayScaleRate]]))</f>
        <v>0</v>
      </c>
      <c r="L400" s="120">
        <f>IF(SUBSTITUTE(TEXT(PSPOINTS[[#This Row],[PayScaleCode]],10)," ","")=TEXT(PSPOINTS[[#This Row],[PayScaleCode]],10),0,1)+IF(SUBSTITUTE(TEXT(PSPOINTS[[#This Row],[PayScalePointCode]],10)," ","")=TEXT(PSPOINTS[[#This Row],[PayScalePointCode]],10),0,1)</f>
        <v>0</v>
      </c>
      <c r="M400" s="57">
        <f ca="1">SUM(PSPOINTS[[#This Row],[Scale Point Issue]:[Space in Code]])</f>
        <v>0</v>
      </c>
      <c r="N400" s="57" t="s">
        <v>1412</v>
      </c>
      <c r="P400" s="12" t="s">
        <v>1419</v>
      </c>
      <c r="Q400" s="57" t="str">
        <f>_xlfn.XLOOKUP(PSPOINTS[[#This Row],[PayScaleCode]],'19_PayScales'!N:N,'19_PayScales'!O:O)</f>
        <v>Leadership Group Outer</v>
      </c>
      <c r="R400" s="12" t="s">
        <v>1554</v>
      </c>
      <c r="S400" s="12" t="s">
        <v>1554</v>
      </c>
      <c r="T400" s="12">
        <v>12</v>
      </c>
      <c r="U400" s="12" t="b">
        <v>0</v>
      </c>
      <c r="V400" s="15" t="b">
        <v>1</v>
      </c>
      <c r="W400" s="164">
        <v>45901</v>
      </c>
      <c r="X400" s="140"/>
      <c r="Y400" s="162">
        <v>72009</v>
      </c>
    </row>
    <row r="401" spans="1:25" hidden="1" x14ac:dyDescent="0.25">
      <c r="A401" s="158" t="str">
        <f>PSPOINTS[[#This Row],[PayScaleCode]]&amp;PSPOINTS[[#This Row],[RateDateFrom]]</f>
        <v>LS_OUT45901</v>
      </c>
      <c r="B401" s="57">
        <f t="shared" si="6"/>
        <v>0</v>
      </c>
      <c r="C401" s="57" t="str">
        <f>PSPOINTS[[#This Row],[PayScaleCode]]&amp;PSPOINTS[[#This Row],[PayScalePointCode]]&amp;PSPOINTS[[#This Row],[RateDateFrom]]</f>
        <v>LS_OUTL1345901</v>
      </c>
      <c r="D401" s="57">
        <f>COUNTIF(PSPOINTS[Pay Scale String Duplicates],PSPOINTS[[#This Row],[Pay Scale String Duplicates]])-1</f>
        <v>0</v>
      </c>
      <c r="E401" s="57">
        <f>IF((MONTH(_xlfn.XLOOKUP(PSPOINTS[[#This Row],[PayScaleCode]],'19_PayScales'!N:N,'19_PayScales'!R:R)))=MONTH(PSPOINTS[[#This Row],[RateDateFrom]]),0,1)</f>
        <v>0</v>
      </c>
      <c r="F401" s="57">
        <f>IF(ISBLANK(PSPOINTS[[#This Row],[RateDateTo]]),0,IF(PSPOINTS[[#This Row],[RateDateFrom]]&lt;PSPOINTS[[#This Row],[RateDateTo]],0,1))</f>
        <v>0</v>
      </c>
      <c r="G401" s="57" cm="1">
        <f t="array" aca="1" ref="G401" ca="1">IF(CELL("format",PSPOINTS[[#This Row],[RateDateFrom]])="D1",0,1)+IF(CELL("format",PSPOINTS[[#This Row],[RateDateTo]])="D1",0,1)</f>
        <v>0</v>
      </c>
      <c r="H401" s="57">
        <f>IF(OR(PSPOINTS[[#This Row],[Hourly]]=TRUE,PSPOINTS[[#This Row],[Hourly]]=FALSE),IF(OR(PSPOINTS[[#This Row],[PayScalePointEnabled]]=TRUE,PSPOINTS[[#This Row],[PayScalePointEnabled]]=FALSE),0,1),1)</f>
        <v>0</v>
      </c>
      <c r="I401" s="57">
        <f>IF(LEN(PSPOINTS[[#This Row],[PayScalePointCode]])&lt;100,0,1)</f>
        <v>0</v>
      </c>
      <c r="J401" s="57">
        <f>IF(LEN(PSPOINTS[[#This Row],[PayScalePointTitle]])&lt;100,0,1)</f>
        <v>0</v>
      </c>
      <c r="K401" s="57">
        <f>(COUNTBLANK(PSPOINTS[[#This Row],[PayScalePointCode]:[RateDateFrom]])+COUNTBLANK(PSPOINTS[[#This Row],[PayScaleRate]]))</f>
        <v>0</v>
      </c>
      <c r="L401" s="120">
        <f>IF(SUBSTITUTE(TEXT(PSPOINTS[[#This Row],[PayScaleCode]],10)," ","")=TEXT(PSPOINTS[[#This Row],[PayScaleCode]],10),0,1)+IF(SUBSTITUTE(TEXT(PSPOINTS[[#This Row],[PayScalePointCode]],10)," ","")=TEXT(PSPOINTS[[#This Row],[PayScalePointCode]],10),0,1)</f>
        <v>0</v>
      </c>
      <c r="M401" s="57">
        <f ca="1">SUM(PSPOINTS[[#This Row],[Scale Point Issue]:[Space in Code]])</f>
        <v>0</v>
      </c>
      <c r="N401" s="57" t="s">
        <v>1412</v>
      </c>
      <c r="P401" s="12" t="s">
        <v>1419</v>
      </c>
      <c r="Q401" s="57" t="str">
        <f>_xlfn.XLOOKUP(PSPOINTS[[#This Row],[PayScaleCode]],'19_PayScales'!N:N,'19_PayScales'!O:O)</f>
        <v>Leadership Group Outer</v>
      </c>
      <c r="R401" s="12" t="s">
        <v>1555</v>
      </c>
      <c r="S401" s="12" t="s">
        <v>1555</v>
      </c>
      <c r="T401" s="12">
        <v>13</v>
      </c>
      <c r="U401" s="12" t="b">
        <v>0</v>
      </c>
      <c r="V401" s="15" t="b">
        <v>1</v>
      </c>
      <c r="W401" s="164">
        <v>45901</v>
      </c>
      <c r="X401" s="140"/>
      <c r="Y401" s="162">
        <v>73708</v>
      </c>
    </row>
    <row r="402" spans="1:25" hidden="1" x14ac:dyDescent="0.25">
      <c r="A402" s="158" t="str">
        <f>PSPOINTS[[#This Row],[PayScaleCode]]&amp;PSPOINTS[[#This Row],[RateDateFrom]]</f>
        <v>LS_OUT45901</v>
      </c>
      <c r="B402" s="57">
        <f t="shared" si="6"/>
        <v>0</v>
      </c>
      <c r="C402" s="57" t="str">
        <f>PSPOINTS[[#This Row],[PayScaleCode]]&amp;PSPOINTS[[#This Row],[PayScalePointCode]]&amp;PSPOINTS[[#This Row],[RateDateFrom]]</f>
        <v>LS_OUTL1445901</v>
      </c>
      <c r="D402" s="57">
        <f>COUNTIF(PSPOINTS[Pay Scale String Duplicates],PSPOINTS[[#This Row],[Pay Scale String Duplicates]])-1</f>
        <v>0</v>
      </c>
      <c r="E402" s="57">
        <f>IF((MONTH(_xlfn.XLOOKUP(PSPOINTS[[#This Row],[PayScaleCode]],'19_PayScales'!N:N,'19_PayScales'!R:R)))=MONTH(PSPOINTS[[#This Row],[RateDateFrom]]),0,1)</f>
        <v>0</v>
      </c>
      <c r="F402" s="57">
        <f>IF(ISBLANK(PSPOINTS[[#This Row],[RateDateTo]]),0,IF(PSPOINTS[[#This Row],[RateDateFrom]]&lt;PSPOINTS[[#This Row],[RateDateTo]],0,1))</f>
        <v>0</v>
      </c>
      <c r="G402" s="57" cm="1">
        <f t="array" aca="1" ref="G402" ca="1">IF(CELL("format",PSPOINTS[[#This Row],[RateDateFrom]])="D1",0,1)+IF(CELL("format",PSPOINTS[[#This Row],[RateDateTo]])="D1",0,1)</f>
        <v>0</v>
      </c>
      <c r="H402" s="57">
        <f>IF(OR(PSPOINTS[[#This Row],[Hourly]]=TRUE,PSPOINTS[[#This Row],[Hourly]]=FALSE),IF(OR(PSPOINTS[[#This Row],[PayScalePointEnabled]]=TRUE,PSPOINTS[[#This Row],[PayScalePointEnabled]]=FALSE),0,1),1)</f>
        <v>0</v>
      </c>
      <c r="I402" s="57">
        <f>IF(LEN(PSPOINTS[[#This Row],[PayScalePointCode]])&lt;100,0,1)</f>
        <v>0</v>
      </c>
      <c r="J402" s="57">
        <f>IF(LEN(PSPOINTS[[#This Row],[PayScalePointTitle]])&lt;100,0,1)</f>
        <v>0</v>
      </c>
      <c r="K402" s="57">
        <f>(COUNTBLANK(PSPOINTS[[#This Row],[PayScalePointCode]:[RateDateFrom]])+COUNTBLANK(PSPOINTS[[#This Row],[PayScaleRate]]))</f>
        <v>0</v>
      </c>
      <c r="L402" s="120">
        <f>IF(SUBSTITUTE(TEXT(PSPOINTS[[#This Row],[PayScaleCode]],10)," ","")=TEXT(PSPOINTS[[#This Row],[PayScaleCode]],10),0,1)+IF(SUBSTITUTE(TEXT(PSPOINTS[[#This Row],[PayScalePointCode]],10)," ","")=TEXT(PSPOINTS[[#This Row],[PayScalePointCode]],10),0,1)</f>
        <v>0</v>
      </c>
      <c r="M402" s="57">
        <f ca="1">SUM(PSPOINTS[[#This Row],[Scale Point Issue]:[Space in Code]])</f>
        <v>0</v>
      </c>
      <c r="N402" s="57" t="s">
        <v>1412</v>
      </c>
      <c r="P402" s="12" t="s">
        <v>1419</v>
      </c>
      <c r="Q402" s="57" t="str">
        <f>_xlfn.XLOOKUP(PSPOINTS[[#This Row],[PayScaleCode]],'19_PayScales'!N:N,'19_PayScales'!O:O)</f>
        <v>Leadership Group Outer</v>
      </c>
      <c r="R402" s="12" t="s">
        <v>1556</v>
      </c>
      <c r="S402" s="12" t="s">
        <v>1556</v>
      </c>
      <c r="T402" s="12">
        <v>14</v>
      </c>
      <c r="U402" s="12" t="b">
        <v>0</v>
      </c>
      <c r="V402" s="15" t="b">
        <v>1</v>
      </c>
      <c r="W402" s="164">
        <v>45901</v>
      </c>
      <c r="X402" s="140"/>
      <c r="Y402" s="162">
        <v>75433</v>
      </c>
    </row>
    <row r="403" spans="1:25" hidden="1" x14ac:dyDescent="0.25">
      <c r="A403" s="158" t="str">
        <f>PSPOINTS[[#This Row],[PayScaleCode]]&amp;PSPOINTS[[#This Row],[RateDateFrom]]</f>
        <v>LS_OUT45901</v>
      </c>
      <c r="B403" s="57">
        <f t="shared" si="6"/>
        <v>0</v>
      </c>
      <c r="C403" s="57" t="str">
        <f>PSPOINTS[[#This Row],[PayScaleCode]]&amp;PSPOINTS[[#This Row],[PayScalePointCode]]&amp;PSPOINTS[[#This Row],[RateDateFrom]]</f>
        <v>LS_OUTL1545901</v>
      </c>
      <c r="D403" s="57">
        <f>COUNTIF(PSPOINTS[Pay Scale String Duplicates],PSPOINTS[[#This Row],[Pay Scale String Duplicates]])-1</f>
        <v>0</v>
      </c>
      <c r="E403" s="57">
        <f>IF((MONTH(_xlfn.XLOOKUP(PSPOINTS[[#This Row],[PayScaleCode]],'19_PayScales'!N:N,'19_PayScales'!R:R)))=MONTH(PSPOINTS[[#This Row],[RateDateFrom]]),0,1)</f>
        <v>0</v>
      </c>
      <c r="F403" s="57">
        <f>IF(ISBLANK(PSPOINTS[[#This Row],[RateDateTo]]),0,IF(PSPOINTS[[#This Row],[RateDateFrom]]&lt;PSPOINTS[[#This Row],[RateDateTo]],0,1))</f>
        <v>0</v>
      </c>
      <c r="G403" s="57" cm="1">
        <f t="array" aca="1" ref="G403" ca="1">IF(CELL("format",PSPOINTS[[#This Row],[RateDateFrom]])="D1",0,1)+IF(CELL("format",PSPOINTS[[#This Row],[RateDateTo]])="D1",0,1)</f>
        <v>0</v>
      </c>
      <c r="H403" s="57">
        <f>IF(OR(PSPOINTS[[#This Row],[Hourly]]=TRUE,PSPOINTS[[#This Row],[Hourly]]=FALSE),IF(OR(PSPOINTS[[#This Row],[PayScalePointEnabled]]=TRUE,PSPOINTS[[#This Row],[PayScalePointEnabled]]=FALSE),0,1),1)</f>
        <v>0</v>
      </c>
      <c r="I403" s="57">
        <f>IF(LEN(PSPOINTS[[#This Row],[PayScalePointCode]])&lt;100,0,1)</f>
        <v>0</v>
      </c>
      <c r="J403" s="57">
        <f>IF(LEN(PSPOINTS[[#This Row],[PayScalePointTitle]])&lt;100,0,1)</f>
        <v>0</v>
      </c>
      <c r="K403" s="57">
        <f>(COUNTBLANK(PSPOINTS[[#This Row],[PayScalePointCode]:[RateDateFrom]])+COUNTBLANK(PSPOINTS[[#This Row],[PayScaleRate]]))</f>
        <v>0</v>
      </c>
      <c r="L403" s="120">
        <f>IF(SUBSTITUTE(TEXT(PSPOINTS[[#This Row],[PayScaleCode]],10)," ","")=TEXT(PSPOINTS[[#This Row],[PayScaleCode]],10),0,1)+IF(SUBSTITUTE(TEXT(PSPOINTS[[#This Row],[PayScalePointCode]],10)," ","")=TEXT(PSPOINTS[[#This Row],[PayScalePointCode]],10),0,1)</f>
        <v>0</v>
      </c>
      <c r="M403" s="57">
        <f ca="1">SUM(PSPOINTS[[#This Row],[Scale Point Issue]:[Space in Code]])</f>
        <v>0</v>
      </c>
      <c r="N403" s="57" t="s">
        <v>1412</v>
      </c>
      <c r="P403" s="12" t="s">
        <v>1419</v>
      </c>
      <c r="Q403" s="57" t="str">
        <f>_xlfn.XLOOKUP(PSPOINTS[[#This Row],[PayScaleCode]],'19_PayScales'!N:N,'19_PayScales'!O:O)</f>
        <v>Leadership Group Outer</v>
      </c>
      <c r="R403" s="12" t="s">
        <v>1557</v>
      </c>
      <c r="S403" s="12" t="s">
        <v>1557</v>
      </c>
      <c r="T403" s="12">
        <v>15</v>
      </c>
      <c r="U403" s="12" t="b">
        <v>0</v>
      </c>
      <c r="V403" s="15" t="b">
        <v>1</v>
      </c>
      <c r="W403" s="164">
        <v>45901</v>
      </c>
      <c r="X403" s="140"/>
      <c r="Y403" s="162">
        <v>77209</v>
      </c>
    </row>
    <row r="404" spans="1:25" hidden="1" x14ac:dyDescent="0.25">
      <c r="A404" s="158" t="str">
        <f>PSPOINTS[[#This Row],[PayScaleCode]]&amp;PSPOINTS[[#This Row],[RateDateFrom]]</f>
        <v>LS_OUT45901</v>
      </c>
      <c r="B404" s="57">
        <f t="shared" si="6"/>
        <v>0</v>
      </c>
      <c r="C404" s="57" t="str">
        <f>PSPOINTS[[#This Row],[PayScaleCode]]&amp;PSPOINTS[[#This Row],[PayScalePointCode]]&amp;PSPOINTS[[#This Row],[RateDateFrom]]</f>
        <v>LS_OUTL1645901</v>
      </c>
      <c r="D404" s="57">
        <f>COUNTIF(PSPOINTS[Pay Scale String Duplicates],PSPOINTS[[#This Row],[Pay Scale String Duplicates]])-1</f>
        <v>0</v>
      </c>
      <c r="E404" s="57">
        <f>IF((MONTH(_xlfn.XLOOKUP(PSPOINTS[[#This Row],[PayScaleCode]],'19_PayScales'!N:N,'19_PayScales'!R:R)))=MONTH(PSPOINTS[[#This Row],[RateDateFrom]]),0,1)</f>
        <v>0</v>
      </c>
      <c r="F404" s="57">
        <f>IF(ISBLANK(PSPOINTS[[#This Row],[RateDateTo]]),0,IF(PSPOINTS[[#This Row],[RateDateFrom]]&lt;PSPOINTS[[#This Row],[RateDateTo]],0,1))</f>
        <v>0</v>
      </c>
      <c r="G404" s="57" cm="1">
        <f t="array" aca="1" ref="G404" ca="1">IF(CELL("format",PSPOINTS[[#This Row],[RateDateFrom]])="D1",0,1)+IF(CELL("format",PSPOINTS[[#This Row],[RateDateTo]])="D1",0,1)</f>
        <v>0</v>
      </c>
      <c r="H404" s="57">
        <f>IF(OR(PSPOINTS[[#This Row],[Hourly]]=TRUE,PSPOINTS[[#This Row],[Hourly]]=FALSE),IF(OR(PSPOINTS[[#This Row],[PayScalePointEnabled]]=TRUE,PSPOINTS[[#This Row],[PayScalePointEnabled]]=FALSE),0,1),1)</f>
        <v>0</v>
      </c>
      <c r="I404" s="57">
        <f>IF(LEN(PSPOINTS[[#This Row],[PayScalePointCode]])&lt;100,0,1)</f>
        <v>0</v>
      </c>
      <c r="J404" s="57">
        <f>IF(LEN(PSPOINTS[[#This Row],[PayScalePointTitle]])&lt;100,0,1)</f>
        <v>0</v>
      </c>
      <c r="K404" s="57">
        <f>(COUNTBLANK(PSPOINTS[[#This Row],[PayScalePointCode]:[RateDateFrom]])+COUNTBLANK(PSPOINTS[[#This Row],[PayScaleRate]]))</f>
        <v>0</v>
      </c>
      <c r="L404" s="120">
        <f>IF(SUBSTITUTE(TEXT(PSPOINTS[[#This Row],[PayScaleCode]],10)," ","")=TEXT(PSPOINTS[[#This Row],[PayScaleCode]],10),0,1)+IF(SUBSTITUTE(TEXT(PSPOINTS[[#This Row],[PayScalePointCode]],10)," ","")=TEXT(PSPOINTS[[#This Row],[PayScalePointCode]],10),0,1)</f>
        <v>0</v>
      </c>
      <c r="M404" s="57">
        <f ca="1">SUM(PSPOINTS[[#This Row],[Scale Point Issue]:[Space in Code]])</f>
        <v>0</v>
      </c>
      <c r="N404" s="57" t="s">
        <v>1412</v>
      </c>
      <c r="P404" s="12" t="s">
        <v>1419</v>
      </c>
      <c r="Q404" s="57" t="str">
        <f>_xlfn.XLOOKUP(PSPOINTS[[#This Row],[PayScaleCode]],'19_PayScales'!N:N,'19_PayScales'!O:O)</f>
        <v>Leadership Group Outer</v>
      </c>
      <c r="R404" s="12" t="s">
        <v>1558</v>
      </c>
      <c r="S404" s="12" t="s">
        <v>1558</v>
      </c>
      <c r="T404" s="12">
        <v>16</v>
      </c>
      <c r="U404" s="12" t="b">
        <v>0</v>
      </c>
      <c r="V404" s="15" t="b">
        <v>1</v>
      </c>
      <c r="W404" s="164">
        <v>45901</v>
      </c>
      <c r="X404" s="140"/>
      <c r="Y404" s="162">
        <v>79157</v>
      </c>
    </row>
    <row r="405" spans="1:25" hidden="1" x14ac:dyDescent="0.25">
      <c r="A405" s="158" t="str">
        <f>PSPOINTS[[#This Row],[PayScaleCode]]&amp;PSPOINTS[[#This Row],[RateDateFrom]]</f>
        <v>LS_OUT45901</v>
      </c>
      <c r="B405" s="57">
        <f t="shared" si="6"/>
        <v>0</v>
      </c>
      <c r="C405" s="57" t="str">
        <f>PSPOINTS[[#This Row],[PayScaleCode]]&amp;PSPOINTS[[#This Row],[PayScalePointCode]]&amp;PSPOINTS[[#This Row],[RateDateFrom]]</f>
        <v>LS_OUTL1745901</v>
      </c>
      <c r="D405" s="57">
        <f>COUNTIF(PSPOINTS[Pay Scale String Duplicates],PSPOINTS[[#This Row],[Pay Scale String Duplicates]])-1</f>
        <v>0</v>
      </c>
      <c r="E405" s="57">
        <f>IF((MONTH(_xlfn.XLOOKUP(PSPOINTS[[#This Row],[PayScaleCode]],'19_PayScales'!N:N,'19_PayScales'!R:R)))=MONTH(PSPOINTS[[#This Row],[RateDateFrom]]),0,1)</f>
        <v>0</v>
      </c>
      <c r="F405" s="57">
        <f>IF(ISBLANK(PSPOINTS[[#This Row],[RateDateTo]]),0,IF(PSPOINTS[[#This Row],[RateDateFrom]]&lt;PSPOINTS[[#This Row],[RateDateTo]],0,1))</f>
        <v>0</v>
      </c>
      <c r="G405" s="57" cm="1">
        <f t="array" aca="1" ref="G405" ca="1">IF(CELL("format",PSPOINTS[[#This Row],[RateDateFrom]])="D1",0,1)+IF(CELL("format",PSPOINTS[[#This Row],[RateDateTo]])="D1",0,1)</f>
        <v>0</v>
      </c>
      <c r="H405" s="57">
        <f>IF(OR(PSPOINTS[[#This Row],[Hourly]]=TRUE,PSPOINTS[[#This Row],[Hourly]]=FALSE),IF(OR(PSPOINTS[[#This Row],[PayScalePointEnabled]]=TRUE,PSPOINTS[[#This Row],[PayScalePointEnabled]]=FALSE),0,1),1)</f>
        <v>0</v>
      </c>
      <c r="I405" s="57">
        <f>IF(LEN(PSPOINTS[[#This Row],[PayScalePointCode]])&lt;100,0,1)</f>
        <v>0</v>
      </c>
      <c r="J405" s="57">
        <f>IF(LEN(PSPOINTS[[#This Row],[PayScalePointTitle]])&lt;100,0,1)</f>
        <v>0</v>
      </c>
      <c r="K405" s="57">
        <f>(COUNTBLANK(PSPOINTS[[#This Row],[PayScalePointCode]:[RateDateFrom]])+COUNTBLANK(PSPOINTS[[#This Row],[PayScaleRate]]))</f>
        <v>0</v>
      </c>
      <c r="L405" s="120">
        <f>IF(SUBSTITUTE(TEXT(PSPOINTS[[#This Row],[PayScaleCode]],10)," ","")=TEXT(PSPOINTS[[#This Row],[PayScaleCode]],10),0,1)+IF(SUBSTITUTE(TEXT(PSPOINTS[[#This Row],[PayScalePointCode]],10)," ","")=TEXT(PSPOINTS[[#This Row],[PayScalePointCode]],10),0,1)</f>
        <v>0</v>
      </c>
      <c r="M405" s="57">
        <f ca="1">SUM(PSPOINTS[[#This Row],[Scale Point Issue]:[Space in Code]])</f>
        <v>0</v>
      </c>
      <c r="N405" s="57" t="s">
        <v>1412</v>
      </c>
      <c r="P405" s="12" t="s">
        <v>1419</v>
      </c>
      <c r="Q405" s="57" t="str">
        <f>_xlfn.XLOOKUP(PSPOINTS[[#This Row],[PayScaleCode]],'19_PayScales'!N:N,'19_PayScales'!O:O)</f>
        <v>Leadership Group Outer</v>
      </c>
      <c r="R405" s="12" t="s">
        <v>1559</v>
      </c>
      <c r="S405" s="12" t="s">
        <v>1559</v>
      </c>
      <c r="T405" s="12">
        <v>17</v>
      </c>
      <c r="U405" s="12" t="b">
        <v>0</v>
      </c>
      <c r="V405" s="15" t="b">
        <v>1</v>
      </c>
      <c r="W405" s="164">
        <v>45901</v>
      </c>
      <c r="X405" s="140"/>
      <c r="Y405" s="162">
        <v>80884</v>
      </c>
    </row>
    <row r="406" spans="1:25" hidden="1" x14ac:dyDescent="0.25">
      <c r="A406" s="158" t="str">
        <f>PSPOINTS[[#This Row],[PayScaleCode]]&amp;PSPOINTS[[#This Row],[RateDateFrom]]</f>
        <v>LS_OUT45901</v>
      </c>
      <c r="B406" s="57">
        <f t="shared" si="6"/>
        <v>0</v>
      </c>
      <c r="C406" s="57" t="str">
        <f>PSPOINTS[[#This Row],[PayScaleCode]]&amp;PSPOINTS[[#This Row],[PayScalePointCode]]&amp;PSPOINTS[[#This Row],[RateDateFrom]]</f>
        <v>LS_OUTL1845901</v>
      </c>
      <c r="D406" s="57">
        <f>COUNTIF(PSPOINTS[Pay Scale String Duplicates],PSPOINTS[[#This Row],[Pay Scale String Duplicates]])-1</f>
        <v>0</v>
      </c>
      <c r="E406" s="57">
        <f>IF((MONTH(_xlfn.XLOOKUP(PSPOINTS[[#This Row],[PayScaleCode]],'19_PayScales'!N:N,'19_PayScales'!R:R)))=MONTH(PSPOINTS[[#This Row],[RateDateFrom]]),0,1)</f>
        <v>0</v>
      </c>
      <c r="F406" s="57">
        <f>IF(ISBLANK(PSPOINTS[[#This Row],[RateDateTo]]),0,IF(PSPOINTS[[#This Row],[RateDateFrom]]&lt;PSPOINTS[[#This Row],[RateDateTo]],0,1))</f>
        <v>0</v>
      </c>
      <c r="G406" s="57" cm="1">
        <f t="array" aca="1" ref="G406" ca="1">IF(CELL("format",PSPOINTS[[#This Row],[RateDateFrom]])="D1",0,1)+IF(CELL("format",PSPOINTS[[#This Row],[RateDateTo]])="D1",0,1)</f>
        <v>0</v>
      </c>
      <c r="H406" s="57">
        <f>IF(OR(PSPOINTS[[#This Row],[Hourly]]=TRUE,PSPOINTS[[#This Row],[Hourly]]=FALSE),IF(OR(PSPOINTS[[#This Row],[PayScalePointEnabled]]=TRUE,PSPOINTS[[#This Row],[PayScalePointEnabled]]=FALSE),0,1),1)</f>
        <v>0</v>
      </c>
      <c r="I406" s="57">
        <f>IF(LEN(PSPOINTS[[#This Row],[PayScalePointCode]])&lt;100,0,1)</f>
        <v>0</v>
      </c>
      <c r="J406" s="57">
        <f>IF(LEN(PSPOINTS[[#This Row],[PayScalePointTitle]])&lt;100,0,1)</f>
        <v>0</v>
      </c>
      <c r="K406" s="57">
        <f>(COUNTBLANK(PSPOINTS[[#This Row],[PayScalePointCode]:[RateDateFrom]])+COUNTBLANK(PSPOINTS[[#This Row],[PayScaleRate]]))</f>
        <v>0</v>
      </c>
      <c r="L406" s="120">
        <f>IF(SUBSTITUTE(TEXT(PSPOINTS[[#This Row],[PayScaleCode]],10)," ","")=TEXT(PSPOINTS[[#This Row],[PayScaleCode]],10),0,1)+IF(SUBSTITUTE(TEXT(PSPOINTS[[#This Row],[PayScalePointCode]],10)," ","")=TEXT(PSPOINTS[[#This Row],[PayScalePointCode]],10),0,1)</f>
        <v>0</v>
      </c>
      <c r="M406" s="57">
        <f ca="1">SUM(PSPOINTS[[#This Row],[Scale Point Issue]:[Space in Code]])</f>
        <v>0</v>
      </c>
      <c r="N406" s="57" t="s">
        <v>1412</v>
      </c>
      <c r="P406" s="12" t="s">
        <v>1419</v>
      </c>
      <c r="Q406" s="57" t="str">
        <f>_xlfn.XLOOKUP(PSPOINTS[[#This Row],[PayScaleCode]],'19_PayScales'!N:N,'19_PayScales'!O:O)</f>
        <v>Leadership Group Outer</v>
      </c>
      <c r="R406" s="12" t="s">
        <v>1560</v>
      </c>
      <c r="S406" s="12" t="s">
        <v>1560</v>
      </c>
      <c r="T406" s="12">
        <v>18</v>
      </c>
      <c r="U406" s="12" t="b">
        <v>0</v>
      </c>
      <c r="V406" s="15" t="b">
        <v>1</v>
      </c>
      <c r="W406" s="164">
        <v>45901</v>
      </c>
      <c r="X406" s="140"/>
      <c r="Y406" s="162">
        <v>82816</v>
      </c>
    </row>
    <row r="407" spans="1:25" hidden="1" x14ac:dyDescent="0.25">
      <c r="A407" s="158" t="str">
        <f>PSPOINTS[[#This Row],[PayScaleCode]]&amp;PSPOINTS[[#This Row],[RateDateFrom]]</f>
        <v>LS_OUT45901</v>
      </c>
      <c r="B407" s="57">
        <f t="shared" si="6"/>
        <v>0</v>
      </c>
      <c r="C407" s="57" t="str">
        <f>PSPOINTS[[#This Row],[PayScaleCode]]&amp;PSPOINTS[[#This Row],[PayScalePointCode]]&amp;PSPOINTS[[#This Row],[RateDateFrom]]</f>
        <v>LS_OUTL1945901</v>
      </c>
      <c r="D407" s="57">
        <f>COUNTIF(PSPOINTS[Pay Scale String Duplicates],PSPOINTS[[#This Row],[Pay Scale String Duplicates]])-1</f>
        <v>0</v>
      </c>
      <c r="E407" s="57">
        <f>IF((MONTH(_xlfn.XLOOKUP(PSPOINTS[[#This Row],[PayScaleCode]],'19_PayScales'!N:N,'19_PayScales'!R:R)))=MONTH(PSPOINTS[[#This Row],[RateDateFrom]]),0,1)</f>
        <v>0</v>
      </c>
      <c r="F407" s="57">
        <f>IF(ISBLANK(PSPOINTS[[#This Row],[RateDateTo]]),0,IF(PSPOINTS[[#This Row],[RateDateFrom]]&lt;PSPOINTS[[#This Row],[RateDateTo]],0,1))</f>
        <v>0</v>
      </c>
      <c r="G407" s="57" cm="1">
        <f t="array" aca="1" ref="G407" ca="1">IF(CELL("format",PSPOINTS[[#This Row],[RateDateFrom]])="D1",0,1)+IF(CELL("format",PSPOINTS[[#This Row],[RateDateTo]])="D1",0,1)</f>
        <v>0</v>
      </c>
      <c r="H407" s="57">
        <f>IF(OR(PSPOINTS[[#This Row],[Hourly]]=TRUE,PSPOINTS[[#This Row],[Hourly]]=FALSE),IF(OR(PSPOINTS[[#This Row],[PayScalePointEnabled]]=TRUE,PSPOINTS[[#This Row],[PayScalePointEnabled]]=FALSE),0,1),1)</f>
        <v>0</v>
      </c>
      <c r="I407" s="57">
        <f>IF(LEN(PSPOINTS[[#This Row],[PayScalePointCode]])&lt;100,0,1)</f>
        <v>0</v>
      </c>
      <c r="J407" s="57">
        <f>IF(LEN(PSPOINTS[[#This Row],[PayScalePointTitle]])&lt;100,0,1)</f>
        <v>0</v>
      </c>
      <c r="K407" s="57">
        <f>(COUNTBLANK(PSPOINTS[[#This Row],[PayScalePointCode]:[RateDateFrom]])+COUNTBLANK(PSPOINTS[[#This Row],[PayScaleRate]]))</f>
        <v>0</v>
      </c>
      <c r="L407" s="120">
        <f>IF(SUBSTITUTE(TEXT(PSPOINTS[[#This Row],[PayScaleCode]],10)," ","")=TEXT(PSPOINTS[[#This Row],[PayScaleCode]],10),0,1)+IF(SUBSTITUTE(TEXT(PSPOINTS[[#This Row],[PayScalePointCode]],10)," ","")=TEXT(PSPOINTS[[#This Row],[PayScalePointCode]],10),0,1)</f>
        <v>0</v>
      </c>
      <c r="M407" s="57">
        <f ca="1">SUM(PSPOINTS[[#This Row],[Scale Point Issue]:[Space in Code]])</f>
        <v>0</v>
      </c>
      <c r="N407" s="57" t="s">
        <v>1412</v>
      </c>
      <c r="P407" s="12" t="s">
        <v>1419</v>
      </c>
      <c r="Q407" s="57" t="str">
        <f>_xlfn.XLOOKUP(PSPOINTS[[#This Row],[PayScaleCode]],'19_PayScales'!N:N,'19_PayScales'!O:O)</f>
        <v>Leadership Group Outer</v>
      </c>
      <c r="R407" s="12" t="s">
        <v>1561</v>
      </c>
      <c r="S407" s="12" t="s">
        <v>1561</v>
      </c>
      <c r="T407" s="12">
        <v>19</v>
      </c>
      <c r="U407" s="12" t="b">
        <v>0</v>
      </c>
      <c r="V407" s="15" t="b">
        <v>1</v>
      </c>
      <c r="W407" s="164">
        <v>45901</v>
      </c>
      <c r="X407" s="140"/>
      <c r="Y407" s="162">
        <v>84769</v>
      </c>
    </row>
    <row r="408" spans="1:25" hidden="1" x14ac:dyDescent="0.25">
      <c r="A408" s="158" t="str">
        <f>PSPOINTS[[#This Row],[PayScaleCode]]&amp;PSPOINTS[[#This Row],[RateDateFrom]]</f>
        <v>LS_OUT45901</v>
      </c>
      <c r="B408" s="57">
        <f t="shared" si="6"/>
        <v>0</v>
      </c>
      <c r="C408" s="57" t="str">
        <f>PSPOINTS[[#This Row],[PayScaleCode]]&amp;PSPOINTS[[#This Row],[PayScalePointCode]]&amp;PSPOINTS[[#This Row],[RateDateFrom]]</f>
        <v>LS_OUTL2045901</v>
      </c>
      <c r="D408" s="57">
        <f>COUNTIF(PSPOINTS[Pay Scale String Duplicates],PSPOINTS[[#This Row],[Pay Scale String Duplicates]])-1</f>
        <v>0</v>
      </c>
      <c r="E408" s="57">
        <f>IF((MONTH(_xlfn.XLOOKUP(PSPOINTS[[#This Row],[PayScaleCode]],'19_PayScales'!N:N,'19_PayScales'!R:R)))=MONTH(PSPOINTS[[#This Row],[RateDateFrom]]),0,1)</f>
        <v>0</v>
      </c>
      <c r="F408" s="57">
        <f>IF(ISBLANK(PSPOINTS[[#This Row],[RateDateTo]]),0,IF(PSPOINTS[[#This Row],[RateDateFrom]]&lt;PSPOINTS[[#This Row],[RateDateTo]],0,1))</f>
        <v>0</v>
      </c>
      <c r="G408" s="57" cm="1">
        <f t="array" aca="1" ref="G408" ca="1">IF(CELL("format",PSPOINTS[[#This Row],[RateDateFrom]])="D1",0,1)+IF(CELL("format",PSPOINTS[[#This Row],[RateDateTo]])="D1",0,1)</f>
        <v>0</v>
      </c>
      <c r="H408" s="57">
        <f>IF(OR(PSPOINTS[[#This Row],[Hourly]]=TRUE,PSPOINTS[[#This Row],[Hourly]]=FALSE),IF(OR(PSPOINTS[[#This Row],[PayScalePointEnabled]]=TRUE,PSPOINTS[[#This Row],[PayScalePointEnabled]]=FALSE),0,1),1)</f>
        <v>0</v>
      </c>
      <c r="I408" s="57">
        <f>IF(LEN(PSPOINTS[[#This Row],[PayScalePointCode]])&lt;100,0,1)</f>
        <v>0</v>
      </c>
      <c r="J408" s="57">
        <f>IF(LEN(PSPOINTS[[#This Row],[PayScalePointTitle]])&lt;100,0,1)</f>
        <v>0</v>
      </c>
      <c r="K408" s="57">
        <f>(COUNTBLANK(PSPOINTS[[#This Row],[PayScalePointCode]:[RateDateFrom]])+COUNTBLANK(PSPOINTS[[#This Row],[PayScaleRate]]))</f>
        <v>0</v>
      </c>
      <c r="L408" s="120">
        <f>IF(SUBSTITUTE(TEXT(PSPOINTS[[#This Row],[PayScaleCode]],10)," ","")=TEXT(PSPOINTS[[#This Row],[PayScaleCode]],10),0,1)+IF(SUBSTITUTE(TEXT(PSPOINTS[[#This Row],[PayScalePointCode]],10)," ","")=TEXT(PSPOINTS[[#This Row],[PayScalePointCode]],10),0,1)</f>
        <v>0</v>
      </c>
      <c r="M408" s="57">
        <f ca="1">SUM(PSPOINTS[[#This Row],[Scale Point Issue]:[Space in Code]])</f>
        <v>0</v>
      </c>
      <c r="N408" s="57" t="s">
        <v>1412</v>
      </c>
      <c r="P408" s="12" t="s">
        <v>1419</v>
      </c>
      <c r="Q408" s="57" t="str">
        <f>_xlfn.XLOOKUP(PSPOINTS[[#This Row],[PayScaleCode]],'19_PayScales'!N:N,'19_PayScales'!O:O)</f>
        <v>Leadership Group Outer</v>
      </c>
      <c r="R408" s="12" t="s">
        <v>1562</v>
      </c>
      <c r="S408" s="12" t="s">
        <v>1562</v>
      </c>
      <c r="T408" s="12">
        <v>20</v>
      </c>
      <c r="U408" s="12" t="b">
        <v>0</v>
      </c>
      <c r="V408" s="15" t="b">
        <v>1</v>
      </c>
      <c r="W408" s="164">
        <v>45901</v>
      </c>
      <c r="X408" s="140"/>
      <c r="Y408" s="162">
        <v>86764</v>
      </c>
    </row>
    <row r="409" spans="1:25" hidden="1" x14ac:dyDescent="0.25">
      <c r="A409" s="158" t="str">
        <f>PSPOINTS[[#This Row],[PayScaleCode]]&amp;PSPOINTS[[#This Row],[RateDateFrom]]</f>
        <v>LS_OUT45901</v>
      </c>
      <c r="B409" s="57">
        <f t="shared" si="6"/>
        <v>0</v>
      </c>
      <c r="C409" s="57" t="str">
        <f>PSPOINTS[[#This Row],[PayScaleCode]]&amp;PSPOINTS[[#This Row],[PayScalePointCode]]&amp;PSPOINTS[[#This Row],[RateDateFrom]]</f>
        <v>LS_OUTL2145901</v>
      </c>
      <c r="D409" s="57">
        <f>COUNTIF(PSPOINTS[Pay Scale String Duplicates],PSPOINTS[[#This Row],[Pay Scale String Duplicates]])-1</f>
        <v>0</v>
      </c>
      <c r="E409" s="57">
        <f>IF((MONTH(_xlfn.XLOOKUP(PSPOINTS[[#This Row],[PayScaleCode]],'19_PayScales'!N:N,'19_PayScales'!R:R)))=MONTH(PSPOINTS[[#This Row],[RateDateFrom]]),0,1)</f>
        <v>0</v>
      </c>
      <c r="F409" s="57">
        <f>IF(ISBLANK(PSPOINTS[[#This Row],[RateDateTo]]),0,IF(PSPOINTS[[#This Row],[RateDateFrom]]&lt;PSPOINTS[[#This Row],[RateDateTo]],0,1))</f>
        <v>0</v>
      </c>
      <c r="G409" s="57" cm="1">
        <f t="array" aca="1" ref="G409" ca="1">IF(CELL("format",PSPOINTS[[#This Row],[RateDateFrom]])="D1",0,1)+IF(CELL("format",PSPOINTS[[#This Row],[RateDateTo]])="D1",0,1)</f>
        <v>0</v>
      </c>
      <c r="H409" s="57">
        <f>IF(OR(PSPOINTS[[#This Row],[Hourly]]=TRUE,PSPOINTS[[#This Row],[Hourly]]=FALSE),IF(OR(PSPOINTS[[#This Row],[PayScalePointEnabled]]=TRUE,PSPOINTS[[#This Row],[PayScalePointEnabled]]=FALSE),0,1),1)</f>
        <v>0</v>
      </c>
      <c r="I409" s="57">
        <f>IF(LEN(PSPOINTS[[#This Row],[PayScalePointCode]])&lt;100,0,1)</f>
        <v>0</v>
      </c>
      <c r="J409" s="57">
        <f>IF(LEN(PSPOINTS[[#This Row],[PayScalePointTitle]])&lt;100,0,1)</f>
        <v>0</v>
      </c>
      <c r="K409" s="57">
        <f>(COUNTBLANK(PSPOINTS[[#This Row],[PayScalePointCode]:[RateDateFrom]])+COUNTBLANK(PSPOINTS[[#This Row],[PayScaleRate]]))</f>
        <v>0</v>
      </c>
      <c r="L409" s="120">
        <f>IF(SUBSTITUTE(TEXT(PSPOINTS[[#This Row],[PayScaleCode]],10)," ","")=TEXT(PSPOINTS[[#This Row],[PayScaleCode]],10),0,1)+IF(SUBSTITUTE(TEXT(PSPOINTS[[#This Row],[PayScalePointCode]],10)," ","")=TEXT(PSPOINTS[[#This Row],[PayScalePointCode]],10),0,1)</f>
        <v>0</v>
      </c>
      <c r="M409" s="57">
        <f ca="1">SUM(PSPOINTS[[#This Row],[Scale Point Issue]:[Space in Code]])</f>
        <v>0</v>
      </c>
      <c r="N409" s="57" t="s">
        <v>1412</v>
      </c>
      <c r="P409" s="12" t="s">
        <v>1419</v>
      </c>
      <c r="Q409" s="57" t="str">
        <f>_xlfn.XLOOKUP(PSPOINTS[[#This Row],[PayScaleCode]],'19_PayScales'!N:N,'19_PayScales'!O:O)</f>
        <v>Leadership Group Outer</v>
      </c>
      <c r="R409" s="12" t="s">
        <v>1563</v>
      </c>
      <c r="S409" s="12" t="s">
        <v>1563</v>
      </c>
      <c r="T409" s="12">
        <v>21</v>
      </c>
      <c r="U409" s="12" t="b">
        <v>0</v>
      </c>
      <c r="V409" s="15" t="b">
        <v>1</v>
      </c>
      <c r="W409" s="164">
        <v>45901</v>
      </c>
      <c r="X409" s="140"/>
      <c r="Y409" s="162">
        <v>88812</v>
      </c>
    </row>
    <row r="410" spans="1:25" hidden="1" x14ac:dyDescent="0.25">
      <c r="A410" s="158" t="str">
        <f>PSPOINTS[[#This Row],[PayScaleCode]]&amp;PSPOINTS[[#This Row],[RateDateFrom]]</f>
        <v>LS_OUT45901</v>
      </c>
      <c r="B410" s="57">
        <f t="shared" si="6"/>
        <v>0</v>
      </c>
      <c r="C410" s="57" t="str">
        <f>PSPOINTS[[#This Row],[PayScaleCode]]&amp;PSPOINTS[[#This Row],[PayScalePointCode]]&amp;PSPOINTS[[#This Row],[RateDateFrom]]</f>
        <v>LS_OUTL2245901</v>
      </c>
      <c r="D410" s="57">
        <f>COUNTIF(PSPOINTS[Pay Scale String Duplicates],PSPOINTS[[#This Row],[Pay Scale String Duplicates]])-1</f>
        <v>0</v>
      </c>
      <c r="E410" s="57">
        <f>IF((MONTH(_xlfn.XLOOKUP(PSPOINTS[[#This Row],[PayScaleCode]],'19_PayScales'!N:N,'19_PayScales'!R:R)))=MONTH(PSPOINTS[[#This Row],[RateDateFrom]]),0,1)</f>
        <v>0</v>
      </c>
      <c r="F410" s="57">
        <f>IF(ISBLANK(PSPOINTS[[#This Row],[RateDateTo]]),0,IF(PSPOINTS[[#This Row],[RateDateFrom]]&lt;PSPOINTS[[#This Row],[RateDateTo]],0,1))</f>
        <v>0</v>
      </c>
      <c r="G410" s="57" cm="1">
        <f t="array" aca="1" ref="G410" ca="1">IF(CELL("format",PSPOINTS[[#This Row],[RateDateFrom]])="D1",0,1)+IF(CELL("format",PSPOINTS[[#This Row],[RateDateTo]])="D1",0,1)</f>
        <v>0</v>
      </c>
      <c r="H410" s="57">
        <f>IF(OR(PSPOINTS[[#This Row],[Hourly]]=TRUE,PSPOINTS[[#This Row],[Hourly]]=FALSE),IF(OR(PSPOINTS[[#This Row],[PayScalePointEnabled]]=TRUE,PSPOINTS[[#This Row],[PayScalePointEnabled]]=FALSE),0,1),1)</f>
        <v>0</v>
      </c>
      <c r="I410" s="57">
        <f>IF(LEN(PSPOINTS[[#This Row],[PayScalePointCode]])&lt;100,0,1)</f>
        <v>0</v>
      </c>
      <c r="J410" s="57">
        <f>IF(LEN(PSPOINTS[[#This Row],[PayScalePointTitle]])&lt;100,0,1)</f>
        <v>0</v>
      </c>
      <c r="K410" s="57">
        <f>(COUNTBLANK(PSPOINTS[[#This Row],[PayScalePointCode]:[RateDateFrom]])+COUNTBLANK(PSPOINTS[[#This Row],[PayScaleRate]]))</f>
        <v>0</v>
      </c>
      <c r="L410" s="120">
        <f>IF(SUBSTITUTE(TEXT(PSPOINTS[[#This Row],[PayScaleCode]],10)," ","")=TEXT(PSPOINTS[[#This Row],[PayScaleCode]],10),0,1)+IF(SUBSTITUTE(TEXT(PSPOINTS[[#This Row],[PayScalePointCode]],10)," ","")=TEXT(PSPOINTS[[#This Row],[PayScalePointCode]],10),0,1)</f>
        <v>0</v>
      </c>
      <c r="M410" s="57">
        <f ca="1">SUM(PSPOINTS[[#This Row],[Scale Point Issue]:[Space in Code]])</f>
        <v>0</v>
      </c>
      <c r="N410" s="57" t="s">
        <v>1412</v>
      </c>
      <c r="P410" s="12" t="s">
        <v>1419</v>
      </c>
      <c r="Q410" s="57" t="str">
        <f>_xlfn.XLOOKUP(PSPOINTS[[#This Row],[PayScaleCode]],'19_PayScales'!N:N,'19_PayScales'!O:O)</f>
        <v>Leadership Group Outer</v>
      </c>
      <c r="R410" s="12" t="s">
        <v>1564</v>
      </c>
      <c r="S410" s="12" t="s">
        <v>1564</v>
      </c>
      <c r="T410" s="12">
        <v>22</v>
      </c>
      <c r="U410" s="12" t="b">
        <v>0</v>
      </c>
      <c r="V410" s="15" t="b">
        <v>1</v>
      </c>
      <c r="W410" s="164">
        <v>45901</v>
      </c>
      <c r="X410" s="140"/>
      <c r="Y410" s="162">
        <v>90906</v>
      </c>
    </row>
    <row r="411" spans="1:25" hidden="1" x14ac:dyDescent="0.25">
      <c r="A411" s="158" t="str">
        <f>PSPOINTS[[#This Row],[PayScaleCode]]&amp;PSPOINTS[[#This Row],[RateDateFrom]]</f>
        <v>LS_OUT45901</v>
      </c>
      <c r="B411" s="57">
        <f t="shared" si="6"/>
        <v>0</v>
      </c>
      <c r="C411" s="57" t="str">
        <f>PSPOINTS[[#This Row],[PayScaleCode]]&amp;PSPOINTS[[#This Row],[PayScalePointCode]]&amp;PSPOINTS[[#This Row],[RateDateFrom]]</f>
        <v>LS_OUTL2345901</v>
      </c>
      <c r="D411" s="57">
        <f>COUNTIF(PSPOINTS[Pay Scale String Duplicates],PSPOINTS[[#This Row],[Pay Scale String Duplicates]])-1</f>
        <v>0</v>
      </c>
      <c r="E411" s="57">
        <f>IF((MONTH(_xlfn.XLOOKUP(PSPOINTS[[#This Row],[PayScaleCode]],'19_PayScales'!N:N,'19_PayScales'!R:R)))=MONTH(PSPOINTS[[#This Row],[RateDateFrom]]),0,1)</f>
        <v>0</v>
      </c>
      <c r="F411" s="57">
        <f>IF(ISBLANK(PSPOINTS[[#This Row],[RateDateTo]]),0,IF(PSPOINTS[[#This Row],[RateDateFrom]]&lt;PSPOINTS[[#This Row],[RateDateTo]],0,1))</f>
        <v>0</v>
      </c>
      <c r="G411" s="57" cm="1">
        <f t="array" aca="1" ref="G411" ca="1">IF(CELL("format",PSPOINTS[[#This Row],[RateDateFrom]])="D1",0,1)+IF(CELL("format",PSPOINTS[[#This Row],[RateDateTo]])="D1",0,1)</f>
        <v>0</v>
      </c>
      <c r="H411" s="57">
        <f>IF(OR(PSPOINTS[[#This Row],[Hourly]]=TRUE,PSPOINTS[[#This Row],[Hourly]]=FALSE),IF(OR(PSPOINTS[[#This Row],[PayScalePointEnabled]]=TRUE,PSPOINTS[[#This Row],[PayScalePointEnabled]]=FALSE),0,1),1)</f>
        <v>0</v>
      </c>
      <c r="I411" s="57">
        <f>IF(LEN(PSPOINTS[[#This Row],[PayScalePointCode]])&lt;100,0,1)</f>
        <v>0</v>
      </c>
      <c r="J411" s="57">
        <f>IF(LEN(PSPOINTS[[#This Row],[PayScalePointTitle]])&lt;100,0,1)</f>
        <v>0</v>
      </c>
      <c r="K411" s="57">
        <f>(COUNTBLANK(PSPOINTS[[#This Row],[PayScalePointCode]:[RateDateFrom]])+COUNTBLANK(PSPOINTS[[#This Row],[PayScaleRate]]))</f>
        <v>0</v>
      </c>
      <c r="L411" s="120">
        <f>IF(SUBSTITUTE(TEXT(PSPOINTS[[#This Row],[PayScaleCode]],10)," ","")=TEXT(PSPOINTS[[#This Row],[PayScaleCode]],10),0,1)+IF(SUBSTITUTE(TEXT(PSPOINTS[[#This Row],[PayScalePointCode]],10)," ","")=TEXT(PSPOINTS[[#This Row],[PayScalePointCode]],10),0,1)</f>
        <v>0</v>
      </c>
      <c r="M411" s="57">
        <f ca="1">SUM(PSPOINTS[[#This Row],[Scale Point Issue]:[Space in Code]])</f>
        <v>0</v>
      </c>
      <c r="N411" s="57" t="s">
        <v>1412</v>
      </c>
      <c r="P411" s="12" t="s">
        <v>1419</v>
      </c>
      <c r="Q411" s="57" t="str">
        <f>_xlfn.XLOOKUP(PSPOINTS[[#This Row],[PayScaleCode]],'19_PayScales'!N:N,'19_PayScales'!O:O)</f>
        <v>Leadership Group Outer</v>
      </c>
      <c r="R411" s="12" t="s">
        <v>1565</v>
      </c>
      <c r="S411" s="12" t="s">
        <v>1565</v>
      </c>
      <c r="T411" s="12">
        <v>23</v>
      </c>
      <c r="U411" s="12" t="b">
        <v>0</v>
      </c>
      <c r="V411" s="15" t="b">
        <v>1</v>
      </c>
      <c r="W411" s="164">
        <v>45901</v>
      </c>
      <c r="X411" s="140"/>
      <c r="Y411" s="162">
        <v>93057</v>
      </c>
    </row>
    <row r="412" spans="1:25" hidden="1" x14ac:dyDescent="0.25">
      <c r="A412" s="158" t="str">
        <f>PSPOINTS[[#This Row],[PayScaleCode]]&amp;PSPOINTS[[#This Row],[RateDateFrom]]</f>
        <v>LS_OUT45901</v>
      </c>
      <c r="B412" s="57">
        <f t="shared" si="6"/>
        <v>0</v>
      </c>
      <c r="C412" s="57" t="str">
        <f>PSPOINTS[[#This Row],[PayScaleCode]]&amp;PSPOINTS[[#This Row],[PayScalePointCode]]&amp;PSPOINTS[[#This Row],[RateDateFrom]]</f>
        <v>LS_OUTL2445901</v>
      </c>
      <c r="D412" s="57">
        <f>COUNTIF(PSPOINTS[Pay Scale String Duplicates],PSPOINTS[[#This Row],[Pay Scale String Duplicates]])-1</f>
        <v>0</v>
      </c>
      <c r="E412" s="57">
        <f>IF((MONTH(_xlfn.XLOOKUP(PSPOINTS[[#This Row],[PayScaleCode]],'19_PayScales'!N:N,'19_PayScales'!R:R)))=MONTH(PSPOINTS[[#This Row],[RateDateFrom]]),0,1)</f>
        <v>0</v>
      </c>
      <c r="F412" s="57">
        <f>IF(ISBLANK(PSPOINTS[[#This Row],[RateDateTo]]),0,IF(PSPOINTS[[#This Row],[RateDateFrom]]&lt;PSPOINTS[[#This Row],[RateDateTo]],0,1))</f>
        <v>0</v>
      </c>
      <c r="G412" s="57" cm="1">
        <f t="array" aca="1" ref="G412" ca="1">IF(CELL("format",PSPOINTS[[#This Row],[RateDateFrom]])="D1",0,1)+IF(CELL("format",PSPOINTS[[#This Row],[RateDateTo]])="D1",0,1)</f>
        <v>0</v>
      </c>
      <c r="H412" s="57">
        <f>IF(OR(PSPOINTS[[#This Row],[Hourly]]=TRUE,PSPOINTS[[#This Row],[Hourly]]=FALSE),IF(OR(PSPOINTS[[#This Row],[PayScalePointEnabled]]=TRUE,PSPOINTS[[#This Row],[PayScalePointEnabled]]=FALSE),0,1),1)</f>
        <v>0</v>
      </c>
      <c r="I412" s="57">
        <f>IF(LEN(PSPOINTS[[#This Row],[PayScalePointCode]])&lt;100,0,1)</f>
        <v>0</v>
      </c>
      <c r="J412" s="57">
        <f>IF(LEN(PSPOINTS[[#This Row],[PayScalePointTitle]])&lt;100,0,1)</f>
        <v>0</v>
      </c>
      <c r="K412" s="57">
        <f>(COUNTBLANK(PSPOINTS[[#This Row],[PayScalePointCode]:[RateDateFrom]])+COUNTBLANK(PSPOINTS[[#This Row],[PayScaleRate]]))</f>
        <v>0</v>
      </c>
      <c r="L412" s="120">
        <f>IF(SUBSTITUTE(TEXT(PSPOINTS[[#This Row],[PayScaleCode]],10)," ","")=TEXT(PSPOINTS[[#This Row],[PayScaleCode]],10),0,1)+IF(SUBSTITUTE(TEXT(PSPOINTS[[#This Row],[PayScalePointCode]],10)," ","")=TEXT(PSPOINTS[[#This Row],[PayScalePointCode]],10),0,1)</f>
        <v>0</v>
      </c>
      <c r="M412" s="57">
        <f ca="1">SUM(PSPOINTS[[#This Row],[Scale Point Issue]:[Space in Code]])</f>
        <v>0</v>
      </c>
      <c r="N412" s="57" t="s">
        <v>1412</v>
      </c>
      <c r="P412" s="12" t="s">
        <v>1419</v>
      </c>
      <c r="Q412" s="57" t="str">
        <f>_xlfn.XLOOKUP(PSPOINTS[[#This Row],[PayScaleCode]],'19_PayScales'!N:N,'19_PayScales'!O:O)</f>
        <v>Leadership Group Outer</v>
      </c>
      <c r="R412" s="12" t="s">
        <v>1566</v>
      </c>
      <c r="S412" s="12" t="s">
        <v>1566</v>
      </c>
      <c r="T412" s="12">
        <v>24</v>
      </c>
      <c r="U412" s="12" t="b">
        <v>0</v>
      </c>
      <c r="V412" s="15" t="b">
        <v>1</v>
      </c>
      <c r="W412" s="164">
        <v>45901</v>
      </c>
      <c r="X412" s="140"/>
      <c r="Y412" s="162">
        <v>95267</v>
      </c>
    </row>
    <row r="413" spans="1:25" hidden="1" x14ac:dyDescent="0.25">
      <c r="A413" s="158" t="str">
        <f>PSPOINTS[[#This Row],[PayScaleCode]]&amp;PSPOINTS[[#This Row],[RateDateFrom]]</f>
        <v>LS_OUT45901</v>
      </c>
      <c r="B413" s="57">
        <f t="shared" si="6"/>
        <v>0</v>
      </c>
      <c r="C413" s="57" t="str">
        <f>PSPOINTS[[#This Row],[PayScaleCode]]&amp;PSPOINTS[[#This Row],[PayScalePointCode]]&amp;PSPOINTS[[#This Row],[RateDateFrom]]</f>
        <v>LS_OUTL2545901</v>
      </c>
      <c r="D413" s="57">
        <f>COUNTIF(PSPOINTS[Pay Scale String Duplicates],PSPOINTS[[#This Row],[Pay Scale String Duplicates]])-1</f>
        <v>0</v>
      </c>
      <c r="E413" s="57">
        <f>IF((MONTH(_xlfn.XLOOKUP(PSPOINTS[[#This Row],[PayScaleCode]],'19_PayScales'!N:N,'19_PayScales'!R:R)))=MONTH(PSPOINTS[[#This Row],[RateDateFrom]]),0,1)</f>
        <v>0</v>
      </c>
      <c r="F413" s="57">
        <f>IF(ISBLANK(PSPOINTS[[#This Row],[RateDateTo]]),0,IF(PSPOINTS[[#This Row],[RateDateFrom]]&lt;PSPOINTS[[#This Row],[RateDateTo]],0,1))</f>
        <v>0</v>
      </c>
      <c r="G413" s="57" cm="1">
        <f t="array" aca="1" ref="G413" ca="1">IF(CELL("format",PSPOINTS[[#This Row],[RateDateFrom]])="D1",0,1)+IF(CELL("format",PSPOINTS[[#This Row],[RateDateTo]])="D1",0,1)</f>
        <v>0</v>
      </c>
      <c r="H413" s="57">
        <f>IF(OR(PSPOINTS[[#This Row],[Hourly]]=TRUE,PSPOINTS[[#This Row],[Hourly]]=FALSE),IF(OR(PSPOINTS[[#This Row],[PayScalePointEnabled]]=TRUE,PSPOINTS[[#This Row],[PayScalePointEnabled]]=FALSE),0,1),1)</f>
        <v>0</v>
      </c>
      <c r="I413" s="57">
        <f>IF(LEN(PSPOINTS[[#This Row],[PayScalePointCode]])&lt;100,0,1)</f>
        <v>0</v>
      </c>
      <c r="J413" s="57">
        <f>IF(LEN(PSPOINTS[[#This Row],[PayScalePointTitle]])&lt;100,0,1)</f>
        <v>0</v>
      </c>
      <c r="K413" s="57">
        <f>(COUNTBLANK(PSPOINTS[[#This Row],[PayScalePointCode]:[RateDateFrom]])+COUNTBLANK(PSPOINTS[[#This Row],[PayScaleRate]]))</f>
        <v>0</v>
      </c>
      <c r="L413" s="120">
        <f>IF(SUBSTITUTE(TEXT(PSPOINTS[[#This Row],[PayScaleCode]],10)," ","")=TEXT(PSPOINTS[[#This Row],[PayScaleCode]],10),0,1)+IF(SUBSTITUTE(TEXT(PSPOINTS[[#This Row],[PayScalePointCode]],10)," ","")=TEXT(PSPOINTS[[#This Row],[PayScalePointCode]],10),0,1)</f>
        <v>0</v>
      </c>
      <c r="M413" s="57">
        <f ca="1">SUM(PSPOINTS[[#This Row],[Scale Point Issue]:[Space in Code]])</f>
        <v>0</v>
      </c>
      <c r="N413" s="57" t="s">
        <v>1412</v>
      </c>
      <c r="P413" s="12" t="s">
        <v>1419</v>
      </c>
      <c r="Q413" s="57" t="str">
        <f>_xlfn.XLOOKUP(PSPOINTS[[#This Row],[PayScaleCode]],'19_PayScales'!N:N,'19_PayScales'!O:O)</f>
        <v>Leadership Group Outer</v>
      </c>
      <c r="R413" s="12" t="s">
        <v>1567</v>
      </c>
      <c r="S413" s="12" t="s">
        <v>1567</v>
      </c>
      <c r="T413" s="12">
        <v>25</v>
      </c>
      <c r="U413" s="12" t="b">
        <v>0</v>
      </c>
      <c r="V413" s="15" t="b">
        <v>1</v>
      </c>
      <c r="W413" s="164">
        <v>45901</v>
      </c>
      <c r="X413" s="140"/>
      <c r="Y413" s="162">
        <v>97531</v>
      </c>
    </row>
    <row r="414" spans="1:25" hidden="1" x14ac:dyDescent="0.25">
      <c r="A414" s="158" t="str">
        <f>PSPOINTS[[#This Row],[PayScaleCode]]&amp;PSPOINTS[[#This Row],[RateDateFrom]]</f>
        <v>LS_OUT45901</v>
      </c>
      <c r="B414" s="57">
        <f t="shared" si="6"/>
        <v>0</v>
      </c>
      <c r="C414" s="57" t="str">
        <f>PSPOINTS[[#This Row],[PayScaleCode]]&amp;PSPOINTS[[#This Row],[PayScalePointCode]]&amp;PSPOINTS[[#This Row],[RateDateFrom]]</f>
        <v>LS_OUTL2645901</v>
      </c>
      <c r="D414" s="57">
        <f>COUNTIF(PSPOINTS[Pay Scale String Duplicates],PSPOINTS[[#This Row],[Pay Scale String Duplicates]])-1</f>
        <v>0</v>
      </c>
      <c r="E414" s="57">
        <f>IF((MONTH(_xlfn.XLOOKUP(PSPOINTS[[#This Row],[PayScaleCode]],'19_PayScales'!N:N,'19_PayScales'!R:R)))=MONTH(PSPOINTS[[#This Row],[RateDateFrom]]),0,1)</f>
        <v>0</v>
      </c>
      <c r="F414" s="57">
        <f>IF(ISBLANK(PSPOINTS[[#This Row],[RateDateTo]]),0,IF(PSPOINTS[[#This Row],[RateDateFrom]]&lt;PSPOINTS[[#This Row],[RateDateTo]],0,1))</f>
        <v>0</v>
      </c>
      <c r="G414" s="57" cm="1">
        <f t="array" aca="1" ref="G414" ca="1">IF(CELL("format",PSPOINTS[[#This Row],[RateDateFrom]])="D1",0,1)+IF(CELL("format",PSPOINTS[[#This Row],[RateDateTo]])="D1",0,1)</f>
        <v>0</v>
      </c>
      <c r="H414" s="57">
        <f>IF(OR(PSPOINTS[[#This Row],[Hourly]]=TRUE,PSPOINTS[[#This Row],[Hourly]]=FALSE),IF(OR(PSPOINTS[[#This Row],[PayScalePointEnabled]]=TRUE,PSPOINTS[[#This Row],[PayScalePointEnabled]]=FALSE),0,1),1)</f>
        <v>0</v>
      </c>
      <c r="I414" s="57">
        <f>IF(LEN(PSPOINTS[[#This Row],[PayScalePointCode]])&lt;100,0,1)</f>
        <v>0</v>
      </c>
      <c r="J414" s="57">
        <f>IF(LEN(PSPOINTS[[#This Row],[PayScalePointTitle]])&lt;100,0,1)</f>
        <v>0</v>
      </c>
      <c r="K414" s="57">
        <f>(COUNTBLANK(PSPOINTS[[#This Row],[PayScalePointCode]:[RateDateFrom]])+COUNTBLANK(PSPOINTS[[#This Row],[PayScaleRate]]))</f>
        <v>0</v>
      </c>
      <c r="L414" s="120">
        <f>IF(SUBSTITUTE(TEXT(PSPOINTS[[#This Row],[PayScaleCode]],10)," ","")=TEXT(PSPOINTS[[#This Row],[PayScaleCode]],10),0,1)+IF(SUBSTITUTE(TEXT(PSPOINTS[[#This Row],[PayScalePointCode]],10)," ","")=TEXT(PSPOINTS[[#This Row],[PayScalePointCode]],10),0,1)</f>
        <v>0</v>
      </c>
      <c r="M414" s="57">
        <f ca="1">SUM(PSPOINTS[[#This Row],[Scale Point Issue]:[Space in Code]])</f>
        <v>0</v>
      </c>
      <c r="N414" s="57" t="s">
        <v>1412</v>
      </c>
      <c r="P414" s="12" t="s">
        <v>1419</v>
      </c>
      <c r="Q414" s="57" t="str">
        <f>_xlfn.XLOOKUP(PSPOINTS[[#This Row],[PayScaleCode]],'19_PayScales'!N:N,'19_PayScales'!O:O)</f>
        <v>Leadership Group Outer</v>
      </c>
      <c r="R414" s="12" t="s">
        <v>1568</v>
      </c>
      <c r="S414" s="12" t="s">
        <v>1568</v>
      </c>
      <c r="T414" s="12">
        <v>26</v>
      </c>
      <c r="U414" s="12" t="b">
        <v>0</v>
      </c>
      <c r="V414" s="15" t="b">
        <v>1</v>
      </c>
      <c r="W414" s="164">
        <v>45901</v>
      </c>
      <c r="X414" s="140"/>
      <c r="Y414" s="162">
        <v>99840</v>
      </c>
    </row>
    <row r="415" spans="1:25" hidden="1" x14ac:dyDescent="0.25">
      <c r="A415" s="158" t="str">
        <f>PSPOINTS[[#This Row],[PayScaleCode]]&amp;PSPOINTS[[#This Row],[RateDateFrom]]</f>
        <v>LS_OUT45901</v>
      </c>
      <c r="B415" s="57">
        <f t="shared" si="6"/>
        <v>0</v>
      </c>
      <c r="C415" s="57" t="str">
        <f>PSPOINTS[[#This Row],[PayScaleCode]]&amp;PSPOINTS[[#This Row],[PayScalePointCode]]&amp;PSPOINTS[[#This Row],[RateDateFrom]]</f>
        <v>LS_OUTL2745901</v>
      </c>
      <c r="D415" s="57">
        <f>COUNTIF(PSPOINTS[Pay Scale String Duplicates],PSPOINTS[[#This Row],[Pay Scale String Duplicates]])-1</f>
        <v>0</v>
      </c>
      <c r="E415" s="57">
        <f>IF((MONTH(_xlfn.XLOOKUP(PSPOINTS[[#This Row],[PayScaleCode]],'19_PayScales'!N:N,'19_PayScales'!R:R)))=MONTH(PSPOINTS[[#This Row],[RateDateFrom]]),0,1)</f>
        <v>0</v>
      </c>
      <c r="F415" s="57">
        <f>IF(ISBLANK(PSPOINTS[[#This Row],[RateDateTo]]),0,IF(PSPOINTS[[#This Row],[RateDateFrom]]&lt;PSPOINTS[[#This Row],[RateDateTo]],0,1))</f>
        <v>0</v>
      </c>
      <c r="G415" s="57" cm="1">
        <f t="array" aca="1" ref="G415" ca="1">IF(CELL("format",PSPOINTS[[#This Row],[RateDateFrom]])="D1",0,1)+IF(CELL("format",PSPOINTS[[#This Row],[RateDateTo]])="D1",0,1)</f>
        <v>0</v>
      </c>
      <c r="H415" s="57">
        <f>IF(OR(PSPOINTS[[#This Row],[Hourly]]=TRUE,PSPOINTS[[#This Row],[Hourly]]=FALSE),IF(OR(PSPOINTS[[#This Row],[PayScalePointEnabled]]=TRUE,PSPOINTS[[#This Row],[PayScalePointEnabled]]=FALSE),0,1),1)</f>
        <v>0</v>
      </c>
      <c r="I415" s="57">
        <f>IF(LEN(PSPOINTS[[#This Row],[PayScalePointCode]])&lt;100,0,1)</f>
        <v>0</v>
      </c>
      <c r="J415" s="57">
        <f>IF(LEN(PSPOINTS[[#This Row],[PayScalePointTitle]])&lt;100,0,1)</f>
        <v>0</v>
      </c>
      <c r="K415" s="57">
        <f>(COUNTBLANK(PSPOINTS[[#This Row],[PayScalePointCode]:[RateDateFrom]])+COUNTBLANK(PSPOINTS[[#This Row],[PayScaleRate]]))</f>
        <v>0</v>
      </c>
      <c r="L415" s="120">
        <f>IF(SUBSTITUTE(TEXT(PSPOINTS[[#This Row],[PayScaleCode]],10)," ","")=TEXT(PSPOINTS[[#This Row],[PayScaleCode]],10),0,1)+IF(SUBSTITUTE(TEXT(PSPOINTS[[#This Row],[PayScalePointCode]],10)," ","")=TEXT(PSPOINTS[[#This Row],[PayScalePointCode]],10),0,1)</f>
        <v>0</v>
      </c>
      <c r="M415" s="57">
        <f ca="1">SUM(PSPOINTS[[#This Row],[Scale Point Issue]:[Space in Code]])</f>
        <v>0</v>
      </c>
      <c r="N415" s="57" t="s">
        <v>1412</v>
      </c>
      <c r="P415" s="12" t="s">
        <v>1419</v>
      </c>
      <c r="Q415" s="57" t="str">
        <f>_xlfn.XLOOKUP(PSPOINTS[[#This Row],[PayScaleCode]],'19_PayScales'!N:N,'19_PayScales'!O:O)</f>
        <v>Leadership Group Outer</v>
      </c>
      <c r="R415" s="12" t="s">
        <v>1569</v>
      </c>
      <c r="S415" s="12" t="s">
        <v>1569</v>
      </c>
      <c r="T415" s="12">
        <v>27</v>
      </c>
      <c r="U415" s="12" t="b">
        <v>0</v>
      </c>
      <c r="V415" s="15" t="b">
        <v>1</v>
      </c>
      <c r="W415" s="164">
        <v>45901</v>
      </c>
      <c r="X415" s="140"/>
      <c r="Y415" s="162">
        <v>102213</v>
      </c>
    </row>
    <row r="416" spans="1:25" hidden="1" x14ac:dyDescent="0.25">
      <c r="A416" s="158" t="str">
        <f>PSPOINTS[[#This Row],[PayScaleCode]]&amp;PSPOINTS[[#This Row],[RateDateFrom]]</f>
        <v>LS_OUT45901</v>
      </c>
      <c r="B416" s="57">
        <f t="shared" si="6"/>
        <v>0</v>
      </c>
      <c r="C416" s="57" t="str">
        <f>PSPOINTS[[#This Row],[PayScaleCode]]&amp;PSPOINTS[[#This Row],[PayScalePointCode]]&amp;PSPOINTS[[#This Row],[RateDateFrom]]</f>
        <v>LS_OUTL2845901</v>
      </c>
      <c r="D416" s="57">
        <f>COUNTIF(PSPOINTS[Pay Scale String Duplicates],PSPOINTS[[#This Row],[Pay Scale String Duplicates]])-1</f>
        <v>0</v>
      </c>
      <c r="E416" s="57">
        <f>IF((MONTH(_xlfn.XLOOKUP(PSPOINTS[[#This Row],[PayScaleCode]],'19_PayScales'!N:N,'19_PayScales'!R:R)))=MONTH(PSPOINTS[[#This Row],[RateDateFrom]]),0,1)</f>
        <v>0</v>
      </c>
      <c r="F416" s="57">
        <f>IF(ISBLANK(PSPOINTS[[#This Row],[RateDateTo]]),0,IF(PSPOINTS[[#This Row],[RateDateFrom]]&lt;PSPOINTS[[#This Row],[RateDateTo]],0,1))</f>
        <v>0</v>
      </c>
      <c r="G416" s="57" cm="1">
        <f t="array" aca="1" ref="G416" ca="1">IF(CELL("format",PSPOINTS[[#This Row],[RateDateFrom]])="D1",0,1)+IF(CELL("format",PSPOINTS[[#This Row],[RateDateTo]])="D1",0,1)</f>
        <v>0</v>
      </c>
      <c r="H416" s="57">
        <f>IF(OR(PSPOINTS[[#This Row],[Hourly]]=TRUE,PSPOINTS[[#This Row],[Hourly]]=FALSE),IF(OR(PSPOINTS[[#This Row],[PayScalePointEnabled]]=TRUE,PSPOINTS[[#This Row],[PayScalePointEnabled]]=FALSE),0,1),1)</f>
        <v>0</v>
      </c>
      <c r="I416" s="57">
        <f>IF(LEN(PSPOINTS[[#This Row],[PayScalePointCode]])&lt;100,0,1)</f>
        <v>0</v>
      </c>
      <c r="J416" s="57">
        <f>IF(LEN(PSPOINTS[[#This Row],[PayScalePointTitle]])&lt;100,0,1)</f>
        <v>0</v>
      </c>
      <c r="K416" s="57">
        <f>(COUNTBLANK(PSPOINTS[[#This Row],[PayScalePointCode]:[RateDateFrom]])+COUNTBLANK(PSPOINTS[[#This Row],[PayScaleRate]]))</f>
        <v>0</v>
      </c>
      <c r="L416" s="120">
        <f>IF(SUBSTITUTE(TEXT(PSPOINTS[[#This Row],[PayScaleCode]],10)," ","")=TEXT(PSPOINTS[[#This Row],[PayScaleCode]],10),0,1)+IF(SUBSTITUTE(TEXT(PSPOINTS[[#This Row],[PayScalePointCode]],10)," ","")=TEXT(PSPOINTS[[#This Row],[PayScalePointCode]],10),0,1)</f>
        <v>0</v>
      </c>
      <c r="M416" s="57">
        <f ca="1">SUM(PSPOINTS[[#This Row],[Scale Point Issue]:[Space in Code]])</f>
        <v>0</v>
      </c>
      <c r="N416" s="57" t="s">
        <v>1412</v>
      </c>
      <c r="P416" s="12" t="s">
        <v>1419</v>
      </c>
      <c r="Q416" s="57" t="str">
        <f>_xlfn.XLOOKUP(PSPOINTS[[#This Row],[PayScaleCode]],'19_PayScales'!N:N,'19_PayScales'!O:O)</f>
        <v>Leadership Group Outer</v>
      </c>
      <c r="R416" s="12" t="s">
        <v>1570</v>
      </c>
      <c r="S416" s="12" t="s">
        <v>1570</v>
      </c>
      <c r="T416" s="12">
        <v>28</v>
      </c>
      <c r="U416" s="12" t="b">
        <v>0</v>
      </c>
      <c r="V416" s="15" t="b">
        <v>1</v>
      </c>
      <c r="W416" s="164">
        <v>45901</v>
      </c>
      <c r="X416" s="140"/>
      <c r="Y416" s="162">
        <v>104648</v>
      </c>
    </row>
    <row r="417" spans="1:25" hidden="1" x14ac:dyDescent="0.25">
      <c r="A417" s="158" t="str">
        <f>PSPOINTS[[#This Row],[PayScaleCode]]&amp;PSPOINTS[[#This Row],[RateDateFrom]]</f>
        <v>LS_OUT45901</v>
      </c>
      <c r="B417" s="57">
        <f t="shared" si="6"/>
        <v>0</v>
      </c>
      <c r="C417" s="57" t="str">
        <f>PSPOINTS[[#This Row],[PayScaleCode]]&amp;PSPOINTS[[#This Row],[PayScalePointCode]]&amp;PSPOINTS[[#This Row],[RateDateFrom]]</f>
        <v>LS_OUTL2945901</v>
      </c>
      <c r="D417" s="57">
        <f>COUNTIF(PSPOINTS[Pay Scale String Duplicates],PSPOINTS[[#This Row],[Pay Scale String Duplicates]])-1</f>
        <v>0</v>
      </c>
      <c r="E417" s="57">
        <f>IF((MONTH(_xlfn.XLOOKUP(PSPOINTS[[#This Row],[PayScaleCode]],'19_PayScales'!N:N,'19_PayScales'!R:R)))=MONTH(PSPOINTS[[#This Row],[RateDateFrom]]),0,1)</f>
        <v>0</v>
      </c>
      <c r="F417" s="57">
        <f>IF(ISBLANK(PSPOINTS[[#This Row],[RateDateTo]]),0,IF(PSPOINTS[[#This Row],[RateDateFrom]]&lt;PSPOINTS[[#This Row],[RateDateTo]],0,1))</f>
        <v>0</v>
      </c>
      <c r="G417" s="57" cm="1">
        <f t="array" aca="1" ref="G417" ca="1">IF(CELL("format",PSPOINTS[[#This Row],[RateDateFrom]])="D1",0,1)+IF(CELL("format",PSPOINTS[[#This Row],[RateDateTo]])="D1",0,1)</f>
        <v>0</v>
      </c>
      <c r="H417" s="57">
        <f>IF(OR(PSPOINTS[[#This Row],[Hourly]]=TRUE,PSPOINTS[[#This Row],[Hourly]]=FALSE),IF(OR(PSPOINTS[[#This Row],[PayScalePointEnabled]]=TRUE,PSPOINTS[[#This Row],[PayScalePointEnabled]]=FALSE),0,1),1)</f>
        <v>0</v>
      </c>
      <c r="I417" s="57">
        <f>IF(LEN(PSPOINTS[[#This Row],[PayScalePointCode]])&lt;100,0,1)</f>
        <v>0</v>
      </c>
      <c r="J417" s="57">
        <f>IF(LEN(PSPOINTS[[#This Row],[PayScalePointTitle]])&lt;100,0,1)</f>
        <v>0</v>
      </c>
      <c r="K417" s="57">
        <f>(COUNTBLANK(PSPOINTS[[#This Row],[PayScalePointCode]:[RateDateFrom]])+COUNTBLANK(PSPOINTS[[#This Row],[PayScaleRate]]))</f>
        <v>0</v>
      </c>
      <c r="L417" s="120">
        <f>IF(SUBSTITUTE(TEXT(PSPOINTS[[#This Row],[PayScaleCode]],10)," ","")=TEXT(PSPOINTS[[#This Row],[PayScaleCode]],10),0,1)+IF(SUBSTITUTE(TEXT(PSPOINTS[[#This Row],[PayScalePointCode]],10)," ","")=TEXT(PSPOINTS[[#This Row],[PayScalePointCode]],10),0,1)</f>
        <v>0</v>
      </c>
      <c r="M417" s="57">
        <f ca="1">SUM(PSPOINTS[[#This Row],[Scale Point Issue]:[Space in Code]])</f>
        <v>0</v>
      </c>
      <c r="N417" s="57" t="s">
        <v>1412</v>
      </c>
      <c r="P417" s="12" t="s">
        <v>1419</v>
      </c>
      <c r="Q417" s="57" t="str">
        <f>_xlfn.XLOOKUP(PSPOINTS[[#This Row],[PayScaleCode]],'19_PayScales'!N:N,'19_PayScales'!O:O)</f>
        <v>Leadership Group Outer</v>
      </c>
      <c r="R417" s="12" t="s">
        <v>1571</v>
      </c>
      <c r="S417" s="12" t="s">
        <v>1571</v>
      </c>
      <c r="T417" s="12">
        <v>29</v>
      </c>
      <c r="U417" s="12" t="b">
        <v>0</v>
      </c>
      <c r="V417" s="15" t="b">
        <v>1</v>
      </c>
      <c r="W417" s="164">
        <v>45901</v>
      </c>
      <c r="X417" s="140"/>
      <c r="Y417" s="162">
        <v>107134</v>
      </c>
    </row>
    <row r="418" spans="1:25" hidden="1" x14ac:dyDescent="0.25">
      <c r="A418" s="158" t="str">
        <f>PSPOINTS[[#This Row],[PayScaleCode]]&amp;PSPOINTS[[#This Row],[RateDateFrom]]</f>
        <v>LS_OUT45901</v>
      </c>
      <c r="B418" s="57">
        <f t="shared" si="6"/>
        <v>0</v>
      </c>
      <c r="C418" s="57" t="str">
        <f>PSPOINTS[[#This Row],[PayScaleCode]]&amp;PSPOINTS[[#This Row],[PayScalePointCode]]&amp;PSPOINTS[[#This Row],[RateDateFrom]]</f>
        <v>LS_OUTL3045901</v>
      </c>
      <c r="D418" s="57">
        <f>COUNTIF(PSPOINTS[Pay Scale String Duplicates],PSPOINTS[[#This Row],[Pay Scale String Duplicates]])-1</f>
        <v>0</v>
      </c>
      <c r="E418" s="57">
        <f>IF((MONTH(_xlfn.XLOOKUP(PSPOINTS[[#This Row],[PayScaleCode]],'19_PayScales'!N:N,'19_PayScales'!R:R)))=MONTH(PSPOINTS[[#This Row],[RateDateFrom]]),0,1)</f>
        <v>0</v>
      </c>
      <c r="F418" s="57">
        <f>IF(ISBLANK(PSPOINTS[[#This Row],[RateDateTo]]),0,IF(PSPOINTS[[#This Row],[RateDateFrom]]&lt;PSPOINTS[[#This Row],[RateDateTo]],0,1))</f>
        <v>0</v>
      </c>
      <c r="G418" s="57" cm="1">
        <f t="array" aca="1" ref="G418" ca="1">IF(CELL("format",PSPOINTS[[#This Row],[RateDateFrom]])="D1",0,1)+IF(CELL("format",PSPOINTS[[#This Row],[RateDateTo]])="D1",0,1)</f>
        <v>0</v>
      </c>
      <c r="H418" s="57">
        <f>IF(OR(PSPOINTS[[#This Row],[Hourly]]=TRUE,PSPOINTS[[#This Row],[Hourly]]=FALSE),IF(OR(PSPOINTS[[#This Row],[PayScalePointEnabled]]=TRUE,PSPOINTS[[#This Row],[PayScalePointEnabled]]=FALSE),0,1),1)</f>
        <v>0</v>
      </c>
      <c r="I418" s="57">
        <f>IF(LEN(PSPOINTS[[#This Row],[PayScalePointCode]])&lt;100,0,1)</f>
        <v>0</v>
      </c>
      <c r="J418" s="57">
        <f>IF(LEN(PSPOINTS[[#This Row],[PayScalePointTitle]])&lt;100,0,1)</f>
        <v>0</v>
      </c>
      <c r="K418" s="57">
        <f>(COUNTBLANK(PSPOINTS[[#This Row],[PayScalePointCode]:[RateDateFrom]])+COUNTBLANK(PSPOINTS[[#This Row],[PayScaleRate]]))</f>
        <v>0</v>
      </c>
      <c r="L418" s="120">
        <f>IF(SUBSTITUTE(TEXT(PSPOINTS[[#This Row],[PayScaleCode]],10)," ","")=TEXT(PSPOINTS[[#This Row],[PayScaleCode]],10),0,1)+IF(SUBSTITUTE(TEXT(PSPOINTS[[#This Row],[PayScalePointCode]],10)," ","")=TEXT(PSPOINTS[[#This Row],[PayScalePointCode]],10),0,1)</f>
        <v>0</v>
      </c>
      <c r="M418" s="57">
        <f ca="1">SUM(PSPOINTS[[#This Row],[Scale Point Issue]:[Space in Code]])</f>
        <v>0</v>
      </c>
      <c r="N418" s="57" t="s">
        <v>1412</v>
      </c>
      <c r="P418" s="12" t="s">
        <v>1419</v>
      </c>
      <c r="Q418" s="57" t="str">
        <f>_xlfn.XLOOKUP(PSPOINTS[[#This Row],[PayScaleCode]],'19_PayScales'!N:N,'19_PayScales'!O:O)</f>
        <v>Leadership Group Outer</v>
      </c>
      <c r="R418" s="12" t="s">
        <v>1572</v>
      </c>
      <c r="S418" s="12" t="s">
        <v>1572</v>
      </c>
      <c r="T418" s="12">
        <v>30</v>
      </c>
      <c r="U418" s="12" t="b">
        <v>0</v>
      </c>
      <c r="V418" s="15" t="b">
        <v>1</v>
      </c>
      <c r="W418" s="164">
        <v>45901</v>
      </c>
      <c r="X418" s="140"/>
      <c r="Y418" s="162">
        <v>109699</v>
      </c>
    </row>
    <row r="419" spans="1:25" hidden="1" x14ac:dyDescent="0.25">
      <c r="A419" s="158" t="str">
        <f>PSPOINTS[[#This Row],[PayScaleCode]]&amp;PSPOINTS[[#This Row],[RateDateFrom]]</f>
        <v>LS_OUT45901</v>
      </c>
      <c r="B419" s="57">
        <f t="shared" si="6"/>
        <v>0</v>
      </c>
      <c r="C419" s="57" t="str">
        <f>PSPOINTS[[#This Row],[PayScaleCode]]&amp;PSPOINTS[[#This Row],[PayScalePointCode]]&amp;PSPOINTS[[#This Row],[RateDateFrom]]</f>
        <v>LS_OUTL3145901</v>
      </c>
      <c r="D419" s="57">
        <f>COUNTIF(PSPOINTS[Pay Scale String Duplicates],PSPOINTS[[#This Row],[Pay Scale String Duplicates]])-1</f>
        <v>0</v>
      </c>
      <c r="E419" s="57">
        <f>IF((MONTH(_xlfn.XLOOKUP(PSPOINTS[[#This Row],[PayScaleCode]],'19_PayScales'!N:N,'19_PayScales'!R:R)))=MONTH(PSPOINTS[[#This Row],[RateDateFrom]]),0,1)</f>
        <v>0</v>
      </c>
      <c r="F419" s="57">
        <f>IF(ISBLANK(PSPOINTS[[#This Row],[RateDateTo]]),0,IF(PSPOINTS[[#This Row],[RateDateFrom]]&lt;PSPOINTS[[#This Row],[RateDateTo]],0,1))</f>
        <v>0</v>
      </c>
      <c r="G419" s="57" cm="1">
        <f t="array" aca="1" ref="G419" ca="1">IF(CELL("format",PSPOINTS[[#This Row],[RateDateFrom]])="D1",0,1)+IF(CELL("format",PSPOINTS[[#This Row],[RateDateTo]])="D1",0,1)</f>
        <v>0</v>
      </c>
      <c r="H419" s="57">
        <f>IF(OR(PSPOINTS[[#This Row],[Hourly]]=TRUE,PSPOINTS[[#This Row],[Hourly]]=FALSE),IF(OR(PSPOINTS[[#This Row],[PayScalePointEnabled]]=TRUE,PSPOINTS[[#This Row],[PayScalePointEnabled]]=FALSE),0,1),1)</f>
        <v>0</v>
      </c>
      <c r="I419" s="57">
        <f>IF(LEN(PSPOINTS[[#This Row],[PayScalePointCode]])&lt;100,0,1)</f>
        <v>0</v>
      </c>
      <c r="J419" s="57">
        <f>IF(LEN(PSPOINTS[[#This Row],[PayScalePointTitle]])&lt;100,0,1)</f>
        <v>0</v>
      </c>
      <c r="K419" s="57">
        <f>(COUNTBLANK(PSPOINTS[[#This Row],[PayScalePointCode]:[RateDateFrom]])+COUNTBLANK(PSPOINTS[[#This Row],[PayScaleRate]]))</f>
        <v>0</v>
      </c>
      <c r="L419" s="120">
        <f>IF(SUBSTITUTE(TEXT(PSPOINTS[[#This Row],[PayScaleCode]],10)," ","")=TEXT(PSPOINTS[[#This Row],[PayScaleCode]],10),0,1)+IF(SUBSTITUTE(TEXT(PSPOINTS[[#This Row],[PayScalePointCode]],10)," ","")=TEXT(PSPOINTS[[#This Row],[PayScalePointCode]],10),0,1)</f>
        <v>0</v>
      </c>
      <c r="M419" s="57">
        <f ca="1">SUM(PSPOINTS[[#This Row],[Scale Point Issue]:[Space in Code]])</f>
        <v>0</v>
      </c>
      <c r="N419" s="57" t="s">
        <v>1412</v>
      </c>
      <c r="P419" s="12" t="s">
        <v>1419</v>
      </c>
      <c r="Q419" s="57" t="str">
        <f>_xlfn.XLOOKUP(PSPOINTS[[#This Row],[PayScaleCode]],'19_PayScales'!N:N,'19_PayScales'!O:O)</f>
        <v>Leadership Group Outer</v>
      </c>
      <c r="R419" s="12" t="s">
        <v>1573</v>
      </c>
      <c r="S419" s="12" t="s">
        <v>1573</v>
      </c>
      <c r="T419" s="12">
        <v>31</v>
      </c>
      <c r="U419" s="12" t="b">
        <v>0</v>
      </c>
      <c r="V419" s="15" t="b">
        <v>1</v>
      </c>
      <c r="W419" s="164">
        <v>45901</v>
      </c>
      <c r="X419" s="140"/>
      <c r="Y419" s="162">
        <v>112315</v>
      </c>
    </row>
    <row r="420" spans="1:25" hidden="1" x14ac:dyDescent="0.25">
      <c r="A420" s="158" t="str">
        <f>PSPOINTS[[#This Row],[PayScaleCode]]&amp;PSPOINTS[[#This Row],[RateDateFrom]]</f>
        <v>LS_OUT45901</v>
      </c>
      <c r="B420" s="57">
        <f t="shared" si="6"/>
        <v>0</v>
      </c>
      <c r="C420" s="57" t="str">
        <f>PSPOINTS[[#This Row],[PayScaleCode]]&amp;PSPOINTS[[#This Row],[PayScalePointCode]]&amp;PSPOINTS[[#This Row],[RateDateFrom]]</f>
        <v>LS_OUTL3245901</v>
      </c>
      <c r="D420" s="57">
        <f>COUNTIF(PSPOINTS[Pay Scale String Duplicates],PSPOINTS[[#This Row],[Pay Scale String Duplicates]])-1</f>
        <v>0</v>
      </c>
      <c r="E420" s="57">
        <f>IF((MONTH(_xlfn.XLOOKUP(PSPOINTS[[#This Row],[PayScaleCode]],'19_PayScales'!N:N,'19_PayScales'!R:R)))=MONTH(PSPOINTS[[#This Row],[RateDateFrom]]),0,1)</f>
        <v>0</v>
      </c>
      <c r="F420" s="57">
        <f>IF(ISBLANK(PSPOINTS[[#This Row],[RateDateTo]]),0,IF(PSPOINTS[[#This Row],[RateDateFrom]]&lt;PSPOINTS[[#This Row],[RateDateTo]],0,1))</f>
        <v>0</v>
      </c>
      <c r="G420" s="57" cm="1">
        <f t="array" aca="1" ref="G420" ca="1">IF(CELL("format",PSPOINTS[[#This Row],[RateDateFrom]])="D1",0,1)+IF(CELL("format",PSPOINTS[[#This Row],[RateDateTo]])="D1",0,1)</f>
        <v>0</v>
      </c>
      <c r="H420" s="57">
        <f>IF(OR(PSPOINTS[[#This Row],[Hourly]]=TRUE,PSPOINTS[[#This Row],[Hourly]]=FALSE),IF(OR(PSPOINTS[[#This Row],[PayScalePointEnabled]]=TRUE,PSPOINTS[[#This Row],[PayScalePointEnabled]]=FALSE),0,1),1)</f>
        <v>0</v>
      </c>
      <c r="I420" s="57">
        <f>IF(LEN(PSPOINTS[[#This Row],[PayScalePointCode]])&lt;100,0,1)</f>
        <v>0</v>
      </c>
      <c r="J420" s="57">
        <f>IF(LEN(PSPOINTS[[#This Row],[PayScalePointTitle]])&lt;100,0,1)</f>
        <v>0</v>
      </c>
      <c r="K420" s="57">
        <f>(COUNTBLANK(PSPOINTS[[#This Row],[PayScalePointCode]:[RateDateFrom]])+COUNTBLANK(PSPOINTS[[#This Row],[PayScaleRate]]))</f>
        <v>0</v>
      </c>
      <c r="L420" s="120">
        <f>IF(SUBSTITUTE(TEXT(PSPOINTS[[#This Row],[PayScaleCode]],10)," ","")=TEXT(PSPOINTS[[#This Row],[PayScaleCode]],10),0,1)+IF(SUBSTITUTE(TEXT(PSPOINTS[[#This Row],[PayScalePointCode]],10)," ","")=TEXT(PSPOINTS[[#This Row],[PayScalePointCode]],10),0,1)</f>
        <v>0</v>
      </c>
      <c r="M420" s="57">
        <f ca="1">SUM(PSPOINTS[[#This Row],[Scale Point Issue]:[Space in Code]])</f>
        <v>0</v>
      </c>
      <c r="N420" s="57" t="s">
        <v>1412</v>
      </c>
      <c r="P420" s="12" t="s">
        <v>1419</v>
      </c>
      <c r="Q420" s="57" t="str">
        <f>_xlfn.XLOOKUP(PSPOINTS[[#This Row],[PayScaleCode]],'19_PayScales'!N:N,'19_PayScales'!O:O)</f>
        <v>Leadership Group Outer</v>
      </c>
      <c r="R420" s="12" t="s">
        <v>1574</v>
      </c>
      <c r="S420" s="12" t="s">
        <v>1574</v>
      </c>
      <c r="T420" s="12">
        <v>32</v>
      </c>
      <c r="U420" s="12" t="b">
        <v>0</v>
      </c>
      <c r="V420" s="15" t="b">
        <v>1</v>
      </c>
      <c r="W420" s="164">
        <v>45901</v>
      </c>
      <c r="X420" s="140"/>
      <c r="Y420" s="162">
        <v>114996</v>
      </c>
    </row>
    <row r="421" spans="1:25" hidden="1" x14ac:dyDescent="0.25">
      <c r="A421" s="158" t="str">
        <f>PSPOINTS[[#This Row],[PayScaleCode]]&amp;PSPOINTS[[#This Row],[RateDateFrom]]</f>
        <v>LS_OUT45901</v>
      </c>
      <c r="B421" s="57">
        <f t="shared" si="6"/>
        <v>0</v>
      </c>
      <c r="C421" s="57" t="str">
        <f>PSPOINTS[[#This Row],[PayScaleCode]]&amp;PSPOINTS[[#This Row],[PayScalePointCode]]&amp;PSPOINTS[[#This Row],[RateDateFrom]]</f>
        <v>LS_OUTL3345901</v>
      </c>
      <c r="D421" s="57">
        <f>COUNTIF(PSPOINTS[Pay Scale String Duplicates],PSPOINTS[[#This Row],[Pay Scale String Duplicates]])-1</f>
        <v>0</v>
      </c>
      <c r="E421" s="57">
        <f>IF((MONTH(_xlfn.XLOOKUP(PSPOINTS[[#This Row],[PayScaleCode]],'19_PayScales'!N:N,'19_PayScales'!R:R)))=MONTH(PSPOINTS[[#This Row],[RateDateFrom]]),0,1)</f>
        <v>0</v>
      </c>
      <c r="F421" s="57">
        <f>IF(ISBLANK(PSPOINTS[[#This Row],[RateDateTo]]),0,IF(PSPOINTS[[#This Row],[RateDateFrom]]&lt;PSPOINTS[[#This Row],[RateDateTo]],0,1))</f>
        <v>0</v>
      </c>
      <c r="G421" s="57" cm="1">
        <f t="array" aca="1" ref="G421" ca="1">IF(CELL("format",PSPOINTS[[#This Row],[RateDateFrom]])="D1",0,1)+IF(CELL("format",PSPOINTS[[#This Row],[RateDateTo]])="D1",0,1)</f>
        <v>0</v>
      </c>
      <c r="H421" s="57">
        <f>IF(OR(PSPOINTS[[#This Row],[Hourly]]=TRUE,PSPOINTS[[#This Row],[Hourly]]=FALSE),IF(OR(PSPOINTS[[#This Row],[PayScalePointEnabled]]=TRUE,PSPOINTS[[#This Row],[PayScalePointEnabled]]=FALSE),0,1),1)</f>
        <v>0</v>
      </c>
      <c r="I421" s="57">
        <f>IF(LEN(PSPOINTS[[#This Row],[PayScalePointCode]])&lt;100,0,1)</f>
        <v>0</v>
      </c>
      <c r="J421" s="57">
        <f>IF(LEN(PSPOINTS[[#This Row],[PayScalePointTitle]])&lt;100,0,1)</f>
        <v>0</v>
      </c>
      <c r="K421" s="57">
        <f>(COUNTBLANK(PSPOINTS[[#This Row],[PayScalePointCode]:[RateDateFrom]])+COUNTBLANK(PSPOINTS[[#This Row],[PayScaleRate]]))</f>
        <v>0</v>
      </c>
      <c r="L421" s="120">
        <f>IF(SUBSTITUTE(TEXT(PSPOINTS[[#This Row],[PayScaleCode]],10)," ","")=TEXT(PSPOINTS[[#This Row],[PayScaleCode]],10),0,1)+IF(SUBSTITUTE(TEXT(PSPOINTS[[#This Row],[PayScalePointCode]],10)," ","")=TEXT(PSPOINTS[[#This Row],[PayScalePointCode]],10),0,1)</f>
        <v>0</v>
      </c>
      <c r="M421" s="57">
        <f ca="1">SUM(PSPOINTS[[#This Row],[Scale Point Issue]:[Space in Code]])</f>
        <v>0</v>
      </c>
      <c r="N421" s="57" t="s">
        <v>1412</v>
      </c>
      <c r="P421" s="12" t="s">
        <v>1419</v>
      </c>
      <c r="Q421" s="57" t="str">
        <f>_xlfn.XLOOKUP(PSPOINTS[[#This Row],[PayScaleCode]],'19_PayScales'!N:N,'19_PayScales'!O:O)</f>
        <v>Leadership Group Outer</v>
      </c>
      <c r="R421" s="12" t="s">
        <v>1575</v>
      </c>
      <c r="S421" s="12" t="s">
        <v>1575</v>
      </c>
      <c r="T421" s="12">
        <v>33</v>
      </c>
      <c r="U421" s="12" t="b">
        <v>0</v>
      </c>
      <c r="V421" s="15" t="b">
        <v>1</v>
      </c>
      <c r="W421" s="164">
        <v>45901</v>
      </c>
      <c r="X421" s="140"/>
      <c r="Y421" s="162">
        <v>117758</v>
      </c>
    </row>
    <row r="422" spans="1:25" hidden="1" x14ac:dyDescent="0.25">
      <c r="A422" s="158" t="str">
        <f>PSPOINTS[[#This Row],[PayScaleCode]]&amp;PSPOINTS[[#This Row],[RateDateFrom]]</f>
        <v>LS_OUT45901</v>
      </c>
      <c r="B422" s="57">
        <f t="shared" si="6"/>
        <v>0</v>
      </c>
      <c r="C422" s="57" t="str">
        <f>PSPOINTS[[#This Row],[PayScaleCode]]&amp;PSPOINTS[[#This Row],[PayScalePointCode]]&amp;PSPOINTS[[#This Row],[RateDateFrom]]</f>
        <v>LS_OUTL3445901</v>
      </c>
      <c r="D422" s="57">
        <f>COUNTIF(PSPOINTS[Pay Scale String Duplicates],PSPOINTS[[#This Row],[Pay Scale String Duplicates]])-1</f>
        <v>0</v>
      </c>
      <c r="E422" s="57">
        <f>IF((MONTH(_xlfn.XLOOKUP(PSPOINTS[[#This Row],[PayScaleCode]],'19_PayScales'!N:N,'19_PayScales'!R:R)))=MONTH(PSPOINTS[[#This Row],[RateDateFrom]]),0,1)</f>
        <v>0</v>
      </c>
      <c r="F422" s="57">
        <f>IF(ISBLANK(PSPOINTS[[#This Row],[RateDateTo]]),0,IF(PSPOINTS[[#This Row],[RateDateFrom]]&lt;PSPOINTS[[#This Row],[RateDateTo]],0,1))</f>
        <v>0</v>
      </c>
      <c r="G422" s="57" cm="1">
        <f t="array" aca="1" ref="G422" ca="1">IF(CELL("format",PSPOINTS[[#This Row],[RateDateFrom]])="D1",0,1)+IF(CELL("format",PSPOINTS[[#This Row],[RateDateTo]])="D1",0,1)</f>
        <v>0</v>
      </c>
      <c r="H422" s="57">
        <f>IF(OR(PSPOINTS[[#This Row],[Hourly]]=TRUE,PSPOINTS[[#This Row],[Hourly]]=FALSE),IF(OR(PSPOINTS[[#This Row],[PayScalePointEnabled]]=TRUE,PSPOINTS[[#This Row],[PayScalePointEnabled]]=FALSE),0,1),1)</f>
        <v>0</v>
      </c>
      <c r="I422" s="57">
        <f>IF(LEN(PSPOINTS[[#This Row],[PayScalePointCode]])&lt;100,0,1)</f>
        <v>0</v>
      </c>
      <c r="J422" s="57">
        <f>IF(LEN(PSPOINTS[[#This Row],[PayScalePointTitle]])&lt;100,0,1)</f>
        <v>0</v>
      </c>
      <c r="K422" s="57">
        <f>(COUNTBLANK(PSPOINTS[[#This Row],[PayScalePointCode]:[RateDateFrom]])+COUNTBLANK(PSPOINTS[[#This Row],[PayScaleRate]]))</f>
        <v>0</v>
      </c>
      <c r="L422" s="120">
        <f>IF(SUBSTITUTE(TEXT(PSPOINTS[[#This Row],[PayScaleCode]],10)," ","")=TEXT(PSPOINTS[[#This Row],[PayScaleCode]],10),0,1)+IF(SUBSTITUTE(TEXT(PSPOINTS[[#This Row],[PayScalePointCode]],10)," ","")=TEXT(PSPOINTS[[#This Row],[PayScalePointCode]],10),0,1)</f>
        <v>0</v>
      </c>
      <c r="M422" s="57">
        <f ca="1">SUM(PSPOINTS[[#This Row],[Scale Point Issue]:[Space in Code]])</f>
        <v>0</v>
      </c>
      <c r="N422" s="57" t="s">
        <v>1412</v>
      </c>
      <c r="P422" s="12" t="s">
        <v>1419</v>
      </c>
      <c r="Q422" s="57" t="str">
        <f>_xlfn.XLOOKUP(PSPOINTS[[#This Row],[PayScaleCode]],'19_PayScales'!N:N,'19_PayScales'!O:O)</f>
        <v>Leadership Group Outer</v>
      </c>
      <c r="R422" s="12" t="s">
        <v>1576</v>
      </c>
      <c r="S422" s="12" t="s">
        <v>1576</v>
      </c>
      <c r="T422" s="12">
        <v>34</v>
      </c>
      <c r="U422" s="12" t="b">
        <v>0</v>
      </c>
      <c r="V422" s="15" t="b">
        <v>1</v>
      </c>
      <c r="W422" s="164">
        <v>45901</v>
      </c>
      <c r="X422" s="140"/>
      <c r="Y422" s="162">
        <v>120566</v>
      </c>
    </row>
    <row r="423" spans="1:25" hidden="1" x14ac:dyDescent="0.25">
      <c r="A423" s="158" t="str">
        <f>PSPOINTS[[#This Row],[PayScaleCode]]&amp;PSPOINTS[[#This Row],[RateDateFrom]]</f>
        <v>LS_OUT45901</v>
      </c>
      <c r="B423" s="57">
        <f t="shared" si="6"/>
        <v>0</v>
      </c>
      <c r="C423" s="57" t="str">
        <f>PSPOINTS[[#This Row],[PayScaleCode]]&amp;PSPOINTS[[#This Row],[PayScalePointCode]]&amp;PSPOINTS[[#This Row],[RateDateFrom]]</f>
        <v>LS_OUTL3545901</v>
      </c>
      <c r="D423" s="57">
        <f>COUNTIF(PSPOINTS[Pay Scale String Duplicates],PSPOINTS[[#This Row],[Pay Scale String Duplicates]])-1</f>
        <v>0</v>
      </c>
      <c r="E423" s="57">
        <f>IF((MONTH(_xlfn.XLOOKUP(PSPOINTS[[#This Row],[PayScaleCode]],'19_PayScales'!N:N,'19_PayScales'!R:R)))=MONTH(PSPOINTS[[#This Row],[RateDateFrom]]),0,1)</f>
        <v>0</v>
      </c>
      <c r="F423" s="57">
        <f>IF(ISBLANK(PSPOINTS[[#This Row],[RateDateTo]]),0,IF(PSPOINTS[[#This Row],[RateDateFrom]]&lt;PSPOINTS[[#This Row],[RateDateTo]],0,1))</f>
        <v>0</v>
      </c>
      <c r="G423" s="57" cm="1">
        <f t="array" aca="1" ref="G423" ca="1">IF(CELL("format",PSPOINTS[[#This Row],[RateDateFrom]])="D1",0,1)+IF(CELL("format",PSPOINTS[[#This Row],[RateDateTo]])="D1",0,1)</f>
        <v>0</v>
      </c>
      <c r="H423" s="57">
        <f>IF(OR(PSPOINTS[[#This Row],[Hourly]]=TRUE,PSPOINTS[[#This Row],[Hourly]]=FALSE),IF(OR(PSPOINTS[[#This Row],[PayScalePointEnabled]]=TRUE,PSPOINTS[[#This Row],[PayScalePointEnabled]]=FALSE),0,1),1)</f>
        <v>0</v>
      </c>
      <c r="I423" s="57">
        <f>IF(LEN(PSPOINTS[[#This Row],[PayScalePointCode]])&lt;100,0,1)</f>
        <v>0</v>
      </c>
      <c r="J423" s="57">
        <f>IF(LEN(PSPOINTS[[#This Row],[PayScalePointTitle]])&lt;100,0,1)</f>
        <v>0</v>
      </c>
      <c r="K423" s="57">
        <f>(COUNTBLANK(PSPOINTS[[#This Row],[PayScalePointCode]:[RateDateFrom]])+COUNTBLANK(PSPOINTS[[#This Row],[PayScaleRate]]))</f>
        <v>0</v>
      </c>
      <c r="L423" s="120">
        <f>IF(SUBSTITUTE(TEXT(PSPOINTS[[#This Row],[PayScaleCode]],10)," ","")=TEXT(PSPOINTS[[#This Row],[PayScaleCode]],10),0,1)+IF(SUBSTITUTE(TEXT(PSPOINTS[[#This Row],[PayScalePointCode]],10)," ","")=TEXT(PSPOINTS[[#This Row],[PayScalePointCode]],10),0,1)</f>
        <v>0</v>
      </c>
      <c r="M423" s="57">
        <f ca="1">SUM(PSPOINTS[[#This Row],[Scale Point Issue]:[Space in Code]])</f>
        <v>0</v>
      </c>
      <c r="N423" s="57" t="s">
        <v>1412</v>
      </c>
      <c r="P423" s="12" t="s">
        <v>1419</v>
      </c>
      <c r="Q423" s="57" t="str">
        <f>_xlfn.XLOOKUP(PSPOINTS[[#This Row],[PayScaleCode]],'19_PayScales'!N:N,'19_PayScales'!O:O)</f>
        <v>Leadership Group Outer</v>
      </c>
      <c r="R423" s="12" t="s">
        <v>1577</v>
      </c>
      <c r="S423" s="12" t="s">
        <v>1577</v>
      </c>
      <c r="T423" s="12">
        <v>35</v>
      </c>
      <c r="U423" s="12" t="b">
        <v>0</v>
      </c>
      <c r="V423" s="15" t="b">
        <v>1</v>
      </c>
      <c r="W423" s="164">
        <v>45901</v>
      </c>
      <c r="X423" s="140"/>
      <c r="Y423" s="162">
        <v>123457</v>
      </c>
    </row>
    <row r="424" spans="1:25" hidden="1" x14ac:dyDescent="0.25">
      <c r="A424" s="158" t="str">
        <f>PSPOINTS[[#This Row],[PayScaleCode]]&amp;PSPOINTS[[#This Row],[RateDateFrom]]</f>
        <v>LS_OUT45901</v>
      </c>
      <c r="B424" s="57">
        <f t="shared" si="6"/>
        <v>0</v>
      </c>
      <c r="C424" s="57" t="str">
        <f>PSPOINTS[[#This Row],[PayScaleCode]]&amp;PSPOINTS[[#This Row],[PayScalePointCode]]&amp;PSPOINTS[[#This Row],[RateDateFrom]]</f>
        <v>LS_OUTL3645901</v>
      </c>
      <c r="D424" s="57">
        <f>COUNTIF(PSPOINTS[Pay Scale String Duplicates],PSPOINTS[[#This Row],[Pay Scale String Duplicates]])-1</f>
        <v>0</v>
      </c>
      <c r="E424" s="57">
        <f>IF((MONTH(_xlfn.XLOOKUP(PSPOINTS[[#This Row],[PayScaleCode]],'19_PayScales'!N:N,'19_PayScales'!R:R)))=MONTH(PSPOINTS[[#This Row],[RateDateFrom]]),0,1)</f>
        <v>0</v>
      </c>
      <c r="F424" s="57">
        <f>IF(ISBLANK(PSPOINTS[[#This Row],[RateDateTo]]),0,IF(PSPOINTS[[#This Row],[RateDateFrom]]&lt;PSPOINTS[[#This Row],[RateDateTo]],0,1))</f>
        <v>0</v>
      </c>
      <c r="G424" s="57" cm="1">
        <f t="array" aca="1" ref="G424" ca="1">IF(CELL("format",PSPOINTS[[#This Row],[RateDateFrom]])="D1",0,1)+IF(CELL("format",PSPOINTS[[#This Row],[RateDateTo]])="D1",0,1)</f>
        <v>0</v>
      </c>
      <c r="H424" s="57">
        <f>IF(OR(PSPOINTS[[#This Row],[Hourly]]=TRUE,PSPOINTS[[#This Row],[Hourly]]=FALSE),IF(OR(PSPOINTS[[#This Row],[PayScalePointEnabled]]=TRUE,PSPOINTS[[#This Row],[PayScalePointEnabled]]=FALSE),0,1),1)</f>
        <v>0</v>
      </c>
      <c r="I424" s="57">
        <f>IF(LEN(PSPOINTS[[#This Row],[PayScalePointCode]])&lt;100,0,1)</f>
        <v>0</v>
      </c>
      <c r="J424" s="57">
        <f>IF(LEN(PSPOINTS[[#This Row],[PayScalePointTitle]])&lt;100,0,1)</f>
        <v>0</v>
      </c>
      <c r="K424" s="57">
        <f>(COUNTBLANK(PSPOINTS[[#This Row],[PayScalePointCode]:[RateDateFrom]])+COUNTBLANK(PSPOINTS[[#This Row],[PayScaleRate]]))</f>
        <v>0</v>
      </c>
      <c r="L424" s="120">
        <f>IF(SUBSTITUTE(TEXT(PSPOINTS[[#This Row],[PayScaleCode]],10)," ","")=TEXT(PSPOINTS[[#This Row],[PayScaleCode]],10),0,1)+IF(SUBSTITUTE(TEXT(PSPOINTS[[#This Row],[PayScalePointCode]],10)," ","")=TEXT(PSPOINTS[[#This Row],[PayScalePointCode]],10),0,1)</f>
        <v>0</v>
      </c>
      <c r="M424" s="57">
        <f ca="1">SUM(PSPOINTS[[#This Row],[Scale Point Issue]:[Space in Code]])</f>
        <v>0</v>
      </c>
      <c r="N424" s="57" t="s">
        <v>1412</v>
      </c>
      <c r="P424" s="12" t="s">
        <v>1419</v>
      </c>
      <c r="Q424" s="57" t="str">
        <f>_xlfn.XLOOKUP(PSPOINTS[[#This Row],[PayScaleCode]],'19_PayScales'!N:N,'19_PayScales'!O:O)</f>
        <v>Leadership Group Outer</v>
      </c>
      <c r="R424" s="12" t="s">
        <v>1578</v>
      </c>
      <c r="S424" s="12" t="s">
        <v>1578</v>
      </c>
      <c r="T424" s="12">
        <v>36</v>
      </c>
      <c r="U424" s="12" t="b">
        <v>0</v>
      </c>
      <c r="V424" s="15" t="b">
        <v>1</v>
      </c>
      <c r="W424" s="164">
        <v>45901</v>
      </c>
      <c r="X424" s="140"/>
      <c r="Y424" s="162">
        <v>126409</v>
      </c>
    </row>
    <row r="425" spans="1:25" hidden="1" x14ac:dyDescent="0.25">
      <c r="A425" s="158" t="str">
        <f>PSPOINTS[[#This Row],[PayScaleCode]]&amp;PSPOINTS[[#This Row],[RateDateFrom]]</f>
        <v>LS_OUT45901</v>
      </c>
      <c r="B425" s="57">
        <f t="shared" si="6"/>
        <v>0</v>
      </c>
      <c r="C425" s="57" t="str">
        <f>PSPOINTS[[#This Row],[PayScaleCode]]&amp;PSPOINTS[[#This Row],[PayScalePointCode]]&amp;PSPOINTS[[#This Row],[RateDateFrom]]</f>
        <v>LS_OUTL3745901</v>
      </c>
      <c r="D425" s="57">
        <f>COUNTIF(PSPOINTS[Pay Scale String Duplicates],PSPOINTS[[#This Row],[Pay Scale String Duplicates]])-1</f>
        <v>0</v>
      </c>
      <c r="E425" s="57">
        <f>IF((MONTH(_xlfn.XLOOKUP(PSPOINTS[[#This Row],[PayScaleCode]],'19_PayScales'!N:N,'19_PayScales'!R:R)))=MONTH(PSPOINTS[[#This Row],[RateDateFrom]]),0,1)</f>
        <v>0</v>
      </c>
      <c r="F425" s="57">
        <f>IF(ISBLANK(PSPOINTS[[#This Row],[RateDateTo]]),0,IF(PSPOINTS[[#This Row],[RateDateFrom]]&lt;PSPOINTS[[#This Row],[RateDateTo]],0,1))</f>
        <v>0</v>
      </c>
      <c r="G425" s="57" cm="1">
        <f t="array" aca="1" ref="G425" ca="1">IF(CELL("format",PSPOINTS[[#This Row],[RateDateFrom]])="D1",0,1)+IF(CELL("format",PSPOINTS[[#This Row],[RateDateTo]])="D1",0,1)</f>
        <v>0</v>
      </c>
      <c r="H425" s="57">
        <f>IF(OR(PSPOINTS[[#This Row],[Hourly]]=TRUE,PSPOINTS[[#This Row],[Hourly]]=FALSE),IF(OR(PSPOINTS[[#This Row],[PayScalePointEnabled]]=TRUE,PSPOINTS[[#This Row],[PayScalePointEnabled]]=FALSE),0,1),1)</f>
        <v>0</v>
      </c>
      <c r="I425" s="57">
        <f>IF(LEN(PSPOINTS[[#This Row],[PayScalePointCode]])&lt;100,0,1)</f>
        <v>0</v>
      </c>
      <c r="J425" s="57">
        <f>IF(LEN(PSPOINTS[[#This Row],[PayScalePointTitle]])&lt;100,0,1)</f>
        <v>0</v>
      </c>
      <c r="K425" s="57">
        <f>(COUNTBLANK(PSPOINTS[[#This Row],[PayScalePointCode]:[RateDateFrom]])+COUNTBLANK(PSPOINTS[[#This Row],[PayScaleRate]]))</f>
        <v>0</v>
      </c>
      <c r="L425" s="120">
        <f>IF(SUBSTITUTE(TEXT(PSPOINTS[[#This Row],[PayScaleCode]],10)," ","")=TEXT(PSPOINTS[[#This Row],[PayScaleCode]],10),0,1)+IF(SUBSTITUTE(TEXT(PSPOINTS[[#This Row],[PayScalePointCode]],10)," ","")=TEXT(PSPOINTS[[#This Row],[PayScalePointCode]],10),0,1)</f>
        <v>0</v>
      </c>
      <c r="M425" s="57">
        <f ca="1">SUM(PSPOINTS[[#This Row],[Scale Point Issue]:[Space in Code]])</f>
        <v>0</v>
      </c>
      <c r="N425" s="57" t="s">
        <v>1412</v>
      </c>
      <c r="P425" s="12" t="s">
        <v>1419</v>
      </c>
      <c r="Q425" s="57" t="str">
        <f>_xlfn.XLOOKUP(PSPOINTS[[#This Row],[PayScaleCode]],'19_PayScales'!N:N,'19_PayScales'!O:O)</f>
        <v>Leadership Group Outer</v>
      </c>
      <c r="R425" s="12" t="s">
        <v>1579</v>
      </c>
      <c r="S425" s="12" t="s">
        <v>1579</v>
      </c>
      <c r="T425" s="12">
        <v>37</v>
      </c>
      <c r="U425" s="12" t="b">
        <v>0</v>
      </c>
      <c r="V425" s="15" t="b">
        <v>1</v>
      </c>
      <c r="W425" s="164">
        <v>45901</v>
      </c>
      <c r="X425" s="140"/>
      <c r="Y425" s="162">
        <v>129457</v>
      </c>
    </row>
    <row r="426" spans="1:25" hidden="1" x14ac:dyDescent="0.25">
      <c r="A426" s="158" t="str">
        <f>PSPOINTS[[#This Row],[PayScaleCode]]&amp;PSPOINTS[[#This Row],[RateDateFrom]]</f>
        <v>LS_OUT45901</v>
      </c>
      <c r="B426" s="57">
        <f t="shared" si="6"/>
        <v>0</v>
      </c>
      <c r="C426" s="57" t="str">
        <f>PSPOINTS[[#This Row],[PayScaleCode]]&amp;PSPOINTS[[#This Row],[PayScalePointCode]]&amp;PSPOINTS[[#This Row],[RateDateFrom]]</f>
        <v>LS_OUTL3845901</v>
      </c>
      <c r="D426" s="57">
        <f>COUNTIF(PSPOINTS[Pay Scale String Duplicates],PSPOINTS[[#This Row],[Pay Scale String Duplicates]])-1</f>
        <v>0</v>
      </c>
      <c r="E426" s="57">
        <f>IF((MONTH(_xlfn.XLOOKUP(PSPOINTS[[#This Row],[PayScaleCode]],'19_PayScales'!N:N,'19_PayScales'!R:R)))=MONTH(PSPOINTS[[#This Row],[RateDateFrom]]),0,1)</f>
        <v>0</v>
      </c>
      <c r="F426" s="57">
        <f>IF(ISBLANK(PSPOINTS[[#This Row],[RateDateTo]]),0,IF(PSPOINTS[[#This Row],[RateDateFrom]]&lt;PSPOINTS[[#This Row],[RateDateTo]],0,1))</f>
        <v>0</v>
      </c>
      <c r="G426" s="57" cm="1">
        <f t="array" aca="1" ref="G426" ca="1">IF(CELL("format",PSPOINTS[[#This Row],[RateDateFrom]])="D1",0,1)+IF(CELL("format",PSPOINTS[[#This Row],[RateDateTo]])="D1",0,1)</f>
        <v>0</v>
      </c>
      <c r="H426" s="57">
        <f>IF(OR(PSPOINTS[[#This Row],[Hourly]]=TRUE,PSPOINTS[[#This Row],[Hourly]]=FALSE),IF(OR(PSPOINTS[[#This Row],[PayScalePointEnabled]]=TRUE,PSPOINTS[[#This Row],[PayScalePointEnabled]]=FALSE),0,1),1)</f>
        <v>0</v>
      </c>
      <c r="I426" s="57">
        <f>IF(LEN(PSPOINTS[[#This Row],[PayScalePointCode]])&lt;100,0,1)</f>
        <v>0</v>
      </c>
      <c r="J426" s="57">
        <f>IF(LEN(PSPOINTS[[#This Row],[PayScalePointTitle]])&lt;100,0,1)</f>
        <v>0</v>
      </c>
      <c r="K426" s="57">
        <f>(COUNTBLANK(PSPOINTS[[#This Row],[PayScalePointCode]:[RateDateFrom]])+COUNTBLANK(PSPOINTS[[#This Row],[PayScaleRate]]))</f>
        <v>0</v>
      </c>
      <c r="L426" s="120">
        <f>IF(SUBSTITUTE(TEXT(PSPOINTS[[#This Row],[PayScaleCode]],10)," ","")=TEXT(PSPOINTS[[#This Row],[PayScaleCode]],10),0,1)+IF(SUBSTITUTE(TEXT(PSPOINTS[[#This Row],[PayScalePointCode]],10)," ","")=TEXT(PSPOINTS[[#This Row],[PayScalePointCode]],10),0,1)</f>
        <v>0</v>
      </c>
      <c r="M426" s="57">
        <f ca="1">SUM(PSPOINTS[[#This Row],[Scale Point Issue]:[Space in Code]])</f>
        <v>0</v>
      </c>
      <c r="N426" s="57" t="s">
        <v>1412</v>
      </c>
      <c r="P426" s="12" t="s">
        <v>1419</v>
      </c>
      <c r="Q426" s="57" t="str">
        <f>_xlfn.XLOOKUP(PSPOINTS[[#This Row],[PayScaleCode]],'19_PayScales'!N:N,'19_PayScales'!O:O)</f>
        <v>Leadership Group Outer</v>
      </c>
      <c r="R426" s="12" t="s">
        <v>1580</v>
      </c>
      <c r="S426" s="12" t="s">
        <v>1580</v>
      </c>
      <c r="T426" s="12">
        <v>38</v>
      </c>
      <c r="U426" s="12" t="b">
        <v>0</v>
      </c>
      <c r="V426" s="15" t="b">
        <v>1</v>
      </c>
      <c r="W426" s="164">
        <v>45901</v>
      </c>
      <c r="X426" s="140"/>
      <c r="Y426" s="162">
        <v>132557</v>
      </c>
    </row>
    <row r="427" spans="1:25" hidden="1" x14ac:dyDescent="0.25">
      <c r="A427" s="158" t="str">
        <f>PSPOINTS[[#This Row],[PayScaleCode]]&amp;PSPOINTS[[#This Row],[RateDateFrom]]</f>
        <v>LS_OUT45901</v>
      </c>
      <c r="B427" s="57">
        <f t="shared" si="6"/>
        <v>0</v>
      </c>
      <c r="C427" s="57" t="str">
        <f>PSPOINTS[[#This Row],[PayScaleCode]]&amp;PSPOINTS[[#This Row],[PayScalePointCode]]&amp;PSPOINTS[[#This Row],[RateDateFrom]]</f>
        <v>LS_OUTL3945901</v>
      </c>
      <c r="D427" s="57">
        <f>COUNTIF(PSPOINTS[Pay Scale String Duplicates],PSPOINTS[[#This Row],[Pay Scale String Duplicates]])-1</f>
        <v>0</v>
      </c>
      <c r="E427" s="57">
        <f>IF((MONTH(_xlfn.XLOOKUP(PSPOINTS[[#This Row],[PayScaleCode]],'19_PayScales'!N:N,'19_PayScales'!R:R)))=MONTH(PSPOINTS[[#This Row],[RateDateFrom]]),0,1)</f>
        <v>0</v>
      </c>
      <c r="F427" s="57">
        <f>IF(ISBLANK(PSPOINTS[[#This Row],[RateDateTo]]),0,IF(PSPOINTS[[#This Row],[RateDateFrom]]&lt;PSPOINTS[[#This Row],[RateDateTo]],0,1))</f>
        <v>0</v>
      </c>
      <c r="G427" s="57" cm="1">
        <f t="array" aca="1" ref="G427" ca="1">IF(CELL("format",PSPOINTS[[#This Row],[RateDateFrom]])="D1",0,1)+IF(CELL("format",PSPOINTS[[#This Row],[RateDateTo]])="D1",0,1)</f>
        <v>0</v>
      </c>
      <c r="H427" s="57">
        <f>IF(OR(PSPOINTS[[#This Row],[Hourly]]=TRUE,PSPOINTS[[#This Row],[Hourly]]=FALSE),IF(OR(PSPOINTS[[#This Row],[PayScalePointEnabled]]=TRUE,PSPOINTS[[#This Row],[PayScalePointEnabled]]=FALSE),0,1),1)</f>
        <v>0</v>
      </c>
      <c r="I427" s="57">
        <f>IF(LEN(PSPOINTS[[#This Row],[PayScalePointCode]])&lt;100,0,1)</f>
        <v>0</v>
      </c>
      <c r="J427" s="57">
        <f>IF(LEN(PSPOINTS[[#This Row],[PayScalePointTitle]])&lt;100,0,1)</f>
        <v>0</v>
      </c>
      <c r="K427" s="57">
        <f>(COUNTBLANK(PSPOINTS[[#This Row],[PayScalePointCode]:[RateDateFrom]])+COUNTBLANK(PSPOINTS[[#This Row],[PayScaleRate]]))</f>
        <v>0</v>
      </c>
      <c r="L427" s="120">
        <f>IF(SUBSTITUTE(TEXT(PSPOINTS[[#This Row],[PayScaleCode]],10)," ","")=TEXT(PSPOINTS[[#This Row],[PayScaleCode]],10),0,1)+IF(SUBSTITUTE(TEXT(PSPOINTS[[#This Row],[PayScalePointCode]],10)," ","")=TEXT(PSPOINTS[[#This Row],[PayScalePointCode]],10),0,1)</f>
        <v>0</v>
      </c>
      <c r="M427" s="57">
        <f ca="1">SUM(PSPOINTS[[#This Row],[Scale Point Issue]:[Space in Code]])</f>
        <v>0</v>
      </c>
      <c r="N427" s="57" t="s">
        <v>1412</v>
      </c>
      <c r="P427" s="12" t="s">
        <v>1419</v>
      </c>
      <c r="Q427" s="57" t="str">
        <f>_xlfn.XLOOKUP(PSPOINTS[[#This Row],[PayScaleCode]],'19_PayScales'!N:N,'19_PayScales'!O:O)</f>
        <v>Leadership Group Outer</v>
      </c>
      <c r="R427" s="12" t="s">
        <v>1581</v>
      </c>
      <c r="S427" s="12" t="s">
        <v>1581</v>
      </c>
      <c r="T427" s="12">
        <v>39</v>
      </c>
      <c r="U427" s="12" t="b">
        <v>0</v>
      </c>
      <c r="V427" s="15" t="b">
        <v>1</v>
      </c>
      <c r="W427" s="164">
        <v>45901</v>
      </c>
      <c r="X427" s="140"/>
      <c r="Y427" s="162">
        <v>135683</v>
      </c>
    </row>
    <row r="428" spans="1:25" hidden="1" x14ac:dyDescent="0.25">
      <c r="A428" s="158" t="str">
        <f>PSPOINTS[[#This Row],[PayScaleCode]]&amp;PSPOINTS[[#This Row],[RateDateFrom]]</f>
        <v>LS_OUT45901</v>
      </c>
      <c r="B428" s="57">
        <f t="shared" si="6"/>
        <v>0</v>
      </c>
      <c r="C428" s="57" t="str">
        <f>PSPOINTS[[#This Row],[PayScaleCode]]&amp;PSPOINTS[[#This Row],[PayScalePointCode]]&amp;PSPOINTS[[#This Row],[RateDateFrom]]</f>
        <v>LS_OUTL4045901</v>
      </c>
      <c r="D428" s="57">
        <f>COUNTIF(PSPOINTS[Pay Scale String Duplicates],PSPOINTS[[#This Row],[Pay Scale String Duplicates]])-1</f>
        <v>0</v>
      </c>
      <c r="E428" s="57">
        <f>IF((MONTH(_xlfn.XLOOKUP(PSPOINTS[[#This Row],[PayScaleCode]],'19_PayScales'!N:N,'19_PayScales'!R:R)))=MONTH(PSPOINTS[[#This Row],[RateDateFrom]]),0,1)</f>
        <v>0</v>
      </c>
      <c r="F428" s="57">
        <f>IF(ISBLANK(PSPOINTS[[#This Row],[RateDateTo]]),0,IF(PSPOINTS[[#This Row],[RateDateFrom]]&lt;PSPOINTS[[#This Row],[RateDateTo]],0,1))</f>
        <v>0</v>
      </c>
      <c r="G428" s="57" cm="1">
        <f t="array" aca="1" ref="G428" ca="1">IF(CELL("format",PSPOINTS[[#This Row],[RateDateFrom]])="D1",0,1)+IF(CELL("format",PSPOINTS[[#This Row],[RateDateTo]])="D1",0,1)</f>
        <v>0</v>
      </c>
      <c r="H428" s="57">
        <f>IF(OR(PSPOINTS[[#This Row],[Hourly]]=TRUE,PSPOINTS[[#This Row],[Hourly]]=FALSE),IF(OR(PSPOINTS[[#This Row],[PayScalePointEnabled]]=TRUE,PSPOINTS[[#This Row],[PayScalePointEnabled]]=FALSE),0,1),1)</f>
        <v>0</v>
      </c>
      <c r="I428" s="57">
        <f>IF(LEN(PSPOINTS[[#This Row],[PayScalePointCode]])&lt;100,0,1)</f>
        <v>0</v>
      </c>
      <c r="J428" s="57">
        <f>IF(LEN(PSPOINTS[[#This Row],[PayScalePointTitle]])&lt;100,0,1)</f>
        <v>0</v>
      </c>
      <c r="K428" s="57">
        <f>(COUNTBLANK(PSPOINTS[[#This Row],[PayScalePointCode]:[RateDateFrom]])+COUNTBLANK(PSPOINTS[[#This Row],[PayScaleRate]]))</f>
        <v>0</v>
      </c>
      <c r="L428" s="120">
        <f>IF(SUBSTITUTE(TEXT(PSPOINTS[[#This Row],[PayScaleCode]],10)," ","")=TEXT(PSPOINTS[[#This Row],[PayScaleCode]],10),0,1)+IF(SUBSTITUTE(TEXT(PSPOINTS[[#This Row],[PayScalePointCode]],10)," ","")=TEXT(PSPOINTS[[#This Row],[PayScalePointCode]],10),0,1)</f>
        <v>0</v>
      </c>
      <c r="M428" s="57">
        <f ca="1">SUM(PSPOINTS[[#This Row],[Scale Point Issue]:[Space in Code]])</f>
        <v>0</v>
      </c>
      <c r="N428" s="57" t="s">
        <v>1412</v>
      </c>
      <c r="P428" s="12" t="s">
        <v>1419</v>
      </c>
      <c r="Q428" s="57" t="str">
        <f>_xlfn.XLOOKUP(PSPOINTS[[#This Row],[PayScaleCode]],'19_PayScales'!N:N,'19_PayScales'!O:O)</f>
        <v>Leadership Group Outer</v>
      </c>
      <c r="R428" s="12" t="s">
        <v>1582</v>
      </c>
      <c r="S428" s="12" t="s">
        <v>1582</v>
      </c>
      <c r="T428" s="12">
        <v>40</v>
      </c>
      <c r="U428" s="12" t="b">
        <v>0</v>
      </c>
      <c r="V428" s="15" t="b">
        <v>1</v>
      </c>
      <c r="W428" s="164">
        <v>45901</v>
      </c>
      <c r="X428" s="140"/>
      <c r="Y428" s="162">
        <v>138974</v>
      </c>
    </row>
    <row r="429" spans="1:25" hidden="1" x14ac:dyDescent="0.25">
      <c r="A429" s="158" t="str">
        <f>PSPOINTS[[#This Row],[PayScaleCode]]&amp;PSPOINTS[[#This Row],[RateDateFrom]]</f>
        <v>LS_OUT45901</v>
      </c>
      <c r="B429" s="57">
        <f t="shared" si="6"/>
        <v>0</v>
      </c>
      <c r="C429" s="57" t="str">
        <f>PSPOINTS[[#This Row],[PayScaleCode]]&amp;PSPOINTS[[#This Row],[PayScalePointCode]]&amp;PSPOINTS[[#This Row],[RateDateFrom]]</f>
        <v>LS_OUTL4145901</v>
      </c>
      <c r="D429" s="57">
        <f>COUNTIF(PSPOINTS[Pay Scale String Duplicates],PSPOINTS[[#This Row],[Pay Scale String Duplicates]])-1</f>
        <v>0</v>
      </c>
      <c r="E429" s="57">
        <f>IF((MONTH(_xlfn.XLOOKUP(PSPOINTS[[#This Row],[PayScaleCode]],'19_PayScales'!N:N,'19_PayScales'!R:R)))=MONTH(PSPOINTS[[#This Row],[RateDateFrom]]),0,1)</f>
        <v>0</v>
      </c>
      <c r="F429" s="57">
        <f>IF(ISBLANK(PSPOINTS[[#This Row],[RateDateTo]]),0,IF(PSPOINTS[[#This Row],[RateDateFrom]]&lt;PSPOINTS[[#This Row],[RateDateTo]],0,1))</f>
        <v>0</v>
      </c>
      <c r="G429" s="57" cm="1">
        <f t="array" aca="1" ref="G429" ca="1">IF(CELL("format",PSPOINTS[[#This Row],[RateDateFrom]])="D1",0,1)+IF(CELL("format",PSPOINTS[[#This Row],[RateDateTo]])="D1",0,1)</f>
        <v>0</v>
      </c>
      <c r="H429" s="57">
        <f>IF(OR(PSPOINTS[[#This Row],[Hourly]]=TRUE,PSPOINTS[[#This Row],[Hourly]]=FALSE),IF(OR(PSPOINTS[[#This Row],[PayScalePointEnabled]]=TRUE,PSPOINTS[[#This Row],[PayScalePointEnabled]]=FALSE),0,1),1)</f>
        <v>0</v>
      </c>
      <c r="I429" s="57">
        <f>IF(LEN(PSPOINTS[[#This Row],[PayScalePointCode]])&lt;100,0,1)</f>
        <v>0</v>
      </c>
      <c r="J429" s="57">
        <f>IF(LEN(PSPOINTS[[#This Row],[PayScalePointTitle]])&lt;100,0,1)</f>
        <v>0</v>
      </c>
      <c r="K429" s="57">
        <f>(COUNTBLANK(PSPOINTS[[#This Row],[PayScalePointCode]:[RateDateFrom]])+COUNTBLANK(PSPOINTS[[#This Row],[PayScaleRate]]))</f>
        <v>0</v>
      </c>
      <c r="L429" s="120">
        <f>IF(SUBSTITUTE(TEXT(PSPOINTS[[#This Row],[PayScaleCode]],10)," ","")=TEXT(PSPOINTS[[#This Row],[PayScaleCode]],10),0,1)+IF(SUBSTITUTE(TEXT(PSPOINTS[[#This Row],[PayScalePointCode]],10)," ","")=TEXT(PSPOINTS[[#This Row],[PayScalePointCode]],10),0,1)</f>
        <v>0</v>
      </c>
      <c r="M429" s="57">
        <f ca="1">SUM(PSPOINTS[[#This Row],[Scale Point Issue]:[Space in Code]])</f>
        <v>0</v>
      </c>
      <c r="N429" s="57" t="s">
        <v>1412</v>
      </c>
      <c r="P429" s="12" t="s">
        <v>1419</v>
      </c>
      <c r="Q429" s="57" t="str">
        <f>_xlfn.XLOOKUP(PSPOINTS[[#This Row],[PayScaleCode]],'19_PayScales'!N:N,'19_PayScales'!O:O)</f>
        <v>Leadership Group Outer</v>
      </c>
      <c r="R429" s="12" t="s">
        <v>1583</v>
      </c>
      <c r="S429" s="12" t="s">
        <v>1583</v>
      </c>
      <c r="T429" s="12">
        <v>41</v>
      </c>
      <c r="U429" s="12" t="b">
        <v>0</v>
      </c>
      <c r="V429" s="15" t="b">
        <v>1</v>
      </c>
      <c r="W429" s="164">
        <v>45901</v>
      </c>
      <c r="X429" s="140"/>
      <c r="Y429" s="162">
        <v>142340</v>
      </c>
    </row>
    <row r="430" spans="1:25" hidden="1" x14ac:dyDescent="0.25">
      <c r="A430" s="158" t="str">
        <f>PSPOINTS[[#This Row],[PayScaleCode]]&amp;PSPOINTS[[#This Row],[RateDateFrom]]</f>
        <v>LS_OUT45901</v>
      </c>
      <c r="B430" s="57">
        <f t="shared" si="6"/>
        <v>0</v>
      </c>
      <c r="C430" s="57" t="str">
        <f>PSPOINTS[[#This Row],[PayScaleCode]]&amp;PSPOINTS[[#This Row],[PayScalePointCode]]&amp;PSPOINTS[[#This Row],[RateDateFrom]]</f>
        <v>LS_OUTL4245901</v>
      </c>
      <c r="D430" s="57">
        <f>COUNTIF(PSPOINTS[Pay Scale String Duplicates],PSPOINTS[[#This Row],[Pay Scale String Duplicates]])-1</f>
        <v>0</v>
      </c>
      <c r="E430" s="57">
        <f>IF((MONTH(_xlfn.XLOOKUP(PSPOINTS[[#This Row],[PayScaleCode]],'19_PayScales'!N:N,'19_PayScales'!R:R)))=MONTH(PSPOINTS[[#This Row],[RateDateFrom]]),0,1)</f>
        <v>0</v>
      </c>
      <c r="F430" s="57">
        <f>IF(ISBLANK(PSPOINTS[[#This Row],[RateDateTo]]),0,IF(PSPOINTS[[#This Row],[RateDateFrom]]&lt;PSPOINTS[[#This Row],[RateDateTo]],0,1))</f>
        <v>0</v>
      </c>
      <c r="G430" s="57" cm="1">
        <f t="array" aca="1" ref="G430" ca="1">IF(CELL("format",PSPOINTS[[#This Row],[RateDateFrom]])="D1",0,1)+IF(CELL("format",PSPOINTS[[#This Row],[RateDateTo]])="D1",0,1)</f>
        <v>0</v>
      </c>
      <c r="H430" s="57">
        <f>IF(OR(PSPOINTS[[#This Row],[Hourly]]=TRUE,PSPOINTS[[#This Row],[Hourly]]=FALSE),IF(OR(PSPOINTS[[#This Row],[PayScalePointEnabled]]=TRUE,PSPOINTS[[#This Row],[PayScalePointEnabled]]=FALSE),0,1),1)</f>
        <v>0</v>
      </c>
      <c r="I430" s="57">
        <f>IF(LEN(PSPOINTS[[#This Row],[PayScalePointCode]])&lt;100,0,1)</f>
        <v>0</v>
      </c>
      <c r="J430" s="57">
        <f>IF(LEN(PSPOINTS[[#This Row],[PayScalePointTitle]])&lt;100,0,1)</f>
        <v>0</v>
      </c>
      <c r="K430" s="57">
        <f>(COUNTBLANK(PSPOINTS[[#This Row],[PayScalePointCode]:[RateDateFrom]])+COUNTBLANK(PSPOINTS[[#This Row],[PayScaleRate]]))</f>
        <v>0</v>
      </c>
      <c r="L430" s="120">
        <f>IF(SUBSTITUTE(TEXT(PSPOINTS[[#This Row],[PayScaleCode]],10)," ","")=TEXT(PSPOINTS[[#This Row],[PayScaleCode]],10),0,1)+IF(SUBSTITUTE(TEXT(PSPOINTS[[#This Row],[PayScalePointCode]],10)," ","")=TEXT(PSPOINTS[[#This Row],[PayScalePointCode]],10),0,1)</f>
        <v>0</v>
      </c>
      <c r="M430" s="57">
        <f ca="1">SUM(PSPOINTS[[#This Row],[Scale Point Issue]:[Space in Code]])</f>
        <v>0</v>
      </c>
      <c r="N430" s="57" t="s">
        <v>1412</v>
      </c>
      <c r="P430" s="12" t="s">
        <v>1419</v>
      </c>
      <c r="Q430" s="57" t="str">
        <f>_xlfn.XLOOKUP(PSPOINTS[[#This Row],[PayScaleCode]],'19_PayScales'!N:N,'19_PayScales'!O:O)</f>
        <v>Leadership Group Outer</v>
      </c>
      <c r="R430" s="12" t="s">
        <v>1584</v>
      </c>
      <c r="S430" s="12" t="s">
        <v>1584</v>
      </c>
      <c r="T430" s="12">
        <v>42</v>
      </c>
      <c r="U430" s="12" t="b">
        <v>0</v>
      </c>
      <c r="V430" s="15" t="b">
        <v>1</v>
      </c>
      <c r="W430" s="164">
        <v>45901</v>
      </c>
      <c r="X430" s="140"/>
      <c r="Y430" s="162">
        <v>145798</v>
      </c>
    </row>
    <row r="431" spans="1:25" hidden="1" x14ac:dyDescent="0.25">
      <c r="A431" s="158" t="str">
        <f>PSPOINTS[[#This Row],[PayScaleCode]]&amp;PSPOINTS[[#This Row],[RateDateFrom]]</f>
        <v>LS_OUT45901</v>
      </c>
      <c r="B431" s="57">
        <f t="shared" si="6"/>
        <v>0</v>
      </c>
      <c r="C431" s="57" t="str">
        <f>PSPOINTS[[#This Row],[PayScaleCode]]&amp;PSPOINTS[[#This Row],[PayScalePointCode]]&amp;PSPOINTS[[#This Row],[RateDateFrom]]</f>
        <v>LS_OUTL4345901</v>
      </c>
      <c r="D431" s="57">
        <f>COUNTIF(PSPOINTS[Pay Scale String Duplicates],PSPOINTS[[#This Row],[Pay Scale String Duplicates]])-1</f>
        <v>0</v>
      </c>
      <c r="E431" s="57">
        <f>IF((MONTH(_xlfn.XLOOKUP(PSPOINTS[[#This Row],[PayScaleCode]],'19_PayScales'!N:N,'19_PayScales'!R:R)))=MONTH(PSPOINTS[[#This Row],[RateDateFrom]]),0,1)</f>
        <v>0</v>
      </c>
      <c r="F431" s="57">
        <f>IF(ISBLANK(PSPOINTS[[#This Row],[RateDateTo]]),0,IF(PSPOINTS[[#This Row],[RateDateFrom]]&lt;PSPOINTS[[#This Row],[RateDateTo]],0,1))</f>
        <v>0</v>
      </c>
      <c r="G431" s="57" cm="1">
        <f t="array" aca="1" ref="G431" ca="1">IF(CELL("format",PSPOINTS[[#This Row],[RateDateFrom]])="D1",0,1)+IF(CELL("format",PSPOINTS[[#This Row],[RateDateTo]])="D1",0,1)</f>
        <v>0</v>
      </c>
      <c r="H431" s="57">
        <f>IF(OR(PSPOINTS[[#This Row],[Hourly]]=TRUE,PSPOINTS[[#This Row],[Hourly]]=FALSE),IF(OR(PSPOINTS[[#This Row],[PayScalePointEnabled]]=TRUE,PSPOINTS[[#This Row],[PayScalePointEnabled]]=FALSE),0,1),1)</f>
        <v>0</v>
      </c>
      <c r="I431" s="57">
        <f>IF(LEN(PSPOINTS[[#This Row],[PayScalePointCode]])&lt;100,0,1)</f>
        <v>0</v>
      </c>
      <c r="J431" s="57">
        <f>IF(LEN(PSPOINTS[[#This Row],[PayScalePointTitle]])&lt;100,0,1)</f>
        <v>0</v>
      </c>
      <c r="K431" s="57">
        <f>(COUNTBLANK(PSPOINTS[[#This Row],[PayScalePointCode]:[RateDateFrom]])+COUNTBLANK(PSPOINTS[[#This Row],[PayScaleRate]]))</f>
        <v>0</v>
      </c>
      <c r="L431" s="120">
        <f>IF(SUBSTITUTE(TEXT(PSPOINTS[[#This Row],[PayScaleCode]],10)," ","")=TEXT(PSPOINTS[[#This Row],[PayScaleCode]],10),0,1)+IF(SUBSTITUTE(TEXT(PSPOINTS[[#This Row],[PayScalePointCode]],10)," ","")=TEXT(PSPOINTS[[#This Row],[PayScalePointCode]],10),0,1)</f>
        <v>0</v>
      </c>
      <c r="M431" s="57">
        <f ca="1">SUM(PSPOINTS[[#This Row],[Scale Point Issue]:[Space in Code]])</f>
        <v>0</v>
      </c>
      <c r="N431" s="57" t="s">
        <v>1412</v>
      </c>
      <c r="P431" s="12" t="s">
        <v>1419</v>
      </c>
      <c r="Q431" s="57" t="str">
        <f>_xlfn.XLOOKUP(PSPOINTS[[#This Row],[PayScaleCode]],'19_PayScales'!N:N,'19_PayScales'!O:O)</f>
        <v>Leadership Group Outer</v>
      </c>
      <c r="R431" s="12" t="s">
        <v>1456</v>
      </c>
      <c r="S431" s="12" t="s">
        <v>1456</v>
      </c>
      <c r="T431" s="12">
        <v>43</v>
      </c>
      <c r="U431" s="12" t="b">
        <v>0</v>
      </c>
      <c r="V431" s="15" t="b">
        <v>1</v>
      </c>
      <c r="W431" s="164">
        <v>45901</v>
      </c>
      <c r="X431" s="140"/>
      <c r="Y431" s="162">
        <v>147866</v>
      </c>
    </row>
    <row r="432" spans="1:25" hidden="1" x14ac:dyDescent="0.25">
      <c r="A432" s="158" t="str">
        <f>PSPOINTS[[#This Row],[PayScaleCode]]&amp;PSPOINTS[[#This Row],[RateDateFrom]]</f>
        <v>NJC_OUT45748</v>
      </c>
      <c r="B432" s="57">
        <f t="shared" si="6"/>
        <v>0</v>
      </c>
      <c r="C432" s="57" t="str">
        <f>PSPOINTS[[#This Row],[PayScaleCode]]&amp;PSPOINTS[[#This Row],[PayScalePointCode]]&amp;PSPOINTS[[#This Row],[RateDateFrom]]</f>
        <v>NJC_OUT145748</v>
      </c>
      <c r="D432" s="57">
        <f>COUNTIF(PSPOINTS[Pay Scale String Duplicates],PSPOINTS[[#This Row],[Pay Scale String Duplicates]])-1</f>
        <v>0</v>
      </c>
      <c r="E432" s="57">
        <f>IF((MONTH(_xlfn.XLOOKUP(PSPOINTS[[#This Row],[PayScaleCode]],'19_PayScales'!N:N,'19_PayScales'!R:R)))=MONTH(PSPOINTS[[#This Row],[RateDateFrom]]),0,1)</f>
        <v>0</v>
      </c>
      <c r="F432" s="57">
        <f>IF(ISBLANK(PSPOINTS[[#This Row],[RateDateTo]]),0,IF(PSPOINTS[[#This Row],[RateDateFrom]]&lt;PSPOINTS[[#This Row],[RateDateTo]],0,1))</f>
        <v>0</v>
      </c>
      <c r="G432" s="57" cm="1">
        <f t="array" aca="1" ref="G432" ca="1">IF(CELL("format",PSPOINTS[[#This Row],[RateDateFrom]])="D1",0,1)+IF(CELL("format",PSPOINTS[[#This Row],[RateDateTo]])="D1",0,1)</f>
        <v>0</v>
      </c>
      <c r="H432" s="57">
        <f>IF(OR(PSPOINTS[[#This Row],[Hourly]]=TRUE,PSPOINTS[[#This Row],[Hourly]]=FALSE),IF(OR(PSPOINTS[[#This Row],[PayScalePointEnabled]]=TRUE,PSPOINTS[[#This Row],[PayScalePointEnabled]]=FALSE),0,1),1)</f>
        <v>0</v>
      </c>
      <c r="I432" s="57">
        <f>IF(LEN(PSPOINTS[[#This Row],[PayScalePointCode]])&lt;100,0,1)</f>
        <v>0</v>
      </c>
      <c r="J432" s="57">
        <f>IF(LEN(PSPOINTS[[#This Row],[PayScalePointTitle]])&lt;100,0,1)</f>
        <v>0</v>
      </c>
      <c r="K432" s="57">
        <f>(COUNTBLANK(PSPOINTS[[#This Row],[PayScalePointCode]:[RateDateFrom]])+COUNTBLANK(PSPOINTS[[#This Row],[PayScaleRate]]))</f>
        <v>0</v>
      </c>
      <c r="L432" s="120">
        <f>IF(SUBSTITUTE(TEXT(PSPOINTS[[#This Row],[PayScaleCode]],10)," ","")=TEXT(PSPOINTS[[#This Row],[PayScaleCode]],10),0,1)+IF(SUBSTITUTE(TEXT(PSPOINTS[[#This Row],[PayScalePointCode]],10)," ","")=TEXT(PSPOINTS[[#This Row],[PayScalePointCode]],10),0,1)</f>
        <v>0</v>
      </c>
      <c r="M432" s="57">
        <f ca="1">SUM(PSPOINTS[[#This Row],[Scale Point Issue]:[Space in Code]])</f>
        <v>0</v>
      </c>
      <c r="N432" s="57" t="s">
        <v>1412</v>
      </c>
      <c r="P432" s="12" t="s">
        <v>1421</v>
      </c>
      <c r="Q432" s="57" t="str">
        <f>_xlfn.XLOOKUP(PSPOINTS[[#This Row],[PayScaleCode]],'19_PayScales'!N:N,'19_PayScales'!O:O)</f>
        <v>NJC Outer</v>
      </c>
      <c r="R432" s="12">
        <v>1</v>
      </c>
      <c r="S432" s="12">
        <v>1</v>
      </c>
      <c r="T432" s="12">
        <v>1</v>
      </c>
      <c r="U432" s="12" t="b">
        <v>0</v>
      </c>
      <c r="V432" s="112" t="b">
        <v>0</v>
      </c>
      <c r="W432" s="164">
        <v>45748</v>
      </c>
      <c r="X432" s="140"/>
      <c r="Y432" s="162">
        <v>0</v>
      </c>
    </row>
    <row r="433" spans="1:25" hidden="1" x14ac:dyDescent="0.25">
      <c r="A433" s="158" t="str">
        <f>PSPOINTS[[#This Row],[PayScaleCode]]&amp;PSPOINTS[[#This Row],[RateDateFrom]]</f>
        <v>NJC_OUT45748</v>
      </c>
      <c r="B433" s="57">
        <f t="shared" si="6"/>
        <v>0</v>
      </c>
      <c r="C433" s="57" t="str">
        <f>PSPOINTS[[#This Row],[PayScaleCode]]&amp;PSPOINTS[[#This Row],[PayScalePointCode]]&amp;PSPOINTS[[#This Row],[RateDateFrom]]</f>
        <v>NJC_OUT245748</v>
      </c>
      <c r="D433" s="57">
        <f>COUNTIF(PSPOINTS[Pay Scale String Duplicates],PSPOINTS[[#This Row],[Pay Scale String Duplicates]])-1</f>
        <v>0</v>
      </c>
      <c r="E433" s="57">
        <f>IF((MONTH(_xlfn.XLOOKUP(PSPOINTS[[#This Row],[PayScaleCode]],'19_PayScales'!N:N,'19_PayScales'!R:R)))=MONTH(PSPOINTS[[#This Row],[RateDateFrom]]),0,1)</f>
        <v>0</v>
      </c>
      <c r="F433" s="57">
        <f>IF(ISBLANK(PSPOINTS[[#This Row],[RateDateTo]]),0,IF(PSPOINTS[[#This Row],[RateDateFrom]]&lt;PSPOINTS[[#This Row],[RateDateTo]],0,1))</f>
        <v>0</v>
      </c>
      <c r="G433" s="57" cm="1">
        <f t="array" aca="1" ref="G433" ca="1">IF(CELL("format",PSPOINTS[[#This Row],[RateDateFrom]])="D1",0,1)+IF(CELL("format",PSPOINTS[[#This Row],[RateDateTo]])="D1",0,1)</f>
        <v>0</v>
      </c>
      <c r="H433" s="57">
        <f>IF(OR(PSPOINTS[[#This Row],[Hourly]]=TRUE,PSPOINTS[[#This Row],[Hourly]]=FALSE),IF(OR(PSPOINTS[[#This Row],[PayScalePointEnabled]]=TRUE,PSPOINTS[[#This Row],[PayScalePointEnabled]]=FALSE),0,1),1)</f>
        <v>0</v>
      </c>
      <c r="I433" s="57">
        <f>IF(LEN(PSPOINTS[[#This Row],[PayScalePointCode]])&lt;100,0,1)</f>
        <v>0</v>
      </c>
      <c r="J433" s="57">
        <f>IF(LEN(PSPOINTS[[#This Row],[PayScalePointTitle]])&lt;100,0,1)</f>
        <v>0</v>
      </c>
      <c r="K433" s="57">
        <f>(COUNTBLANK(PSPOINTS[[#This Row],[PayScalePointCode]:[RateDateFrom]])+COUNTBLANK(PSPOINTS[[#This Row],[PayScaleRate]]))</f>
        <v>0</v>
      </c>
      <c r="L433" s="120">
        <f>IF(SUBSTITUTE(TEXT(PSPOINTS[[#This Row],[PayScaleCode]],10)," ","")=TEXT(PSPOINTS[[#This Row],[PayScaleCode]],10),0,1)+IF(SUBSTITUTE(TEXT(PSPOINTS[[#This Row],[PayScalePointCode]],10)," ","")=TEXT(PSPOINTS[[#This Row],[PayScalePointCode]],10),0,1)</f>
        <v>0</v>
      </c>
      <c r="M433" s="57">
        <f ca="1">SUM(PSPOINTS[[#This Row],[Scale Point Issue]:[Space in Code]])</f>
        <v>0</v>
      </c>
      <c r="N433" s="57" t="s">
        <v>1412</v>
      </c>
      <c r="P433" s="12" t="s">
        <v>1421</v>
      </c>
      <c r="Q433" s="57" t="str">
        <f>_xlfn.XLOOKUP(PSPOINTS[[#This Row],[PayScaleCode]],'19_PayScales'!N:N,'19_PayScales'!O:O)</f>
        <v>NJC Outer</v>
      </c>
      <c r="R433" s="12">
        <v>2</v>
      </c>
      <c r="S433" s="12">
        <v>2</v>
      </c>
      <c r="T433" s="12">
        <v>2</v>
      </c>
      <c r="U433" s="12" t="b">
        <v>0</v>
      </c>
      <c r="V433" s="15" t="b">
        <v>1</v>
      </c>
      <c r="W433" s="164">
        <v>45748</v>
      </c>
      <c r="X433" s="140"/>
      <c r="Y433" s="163">
        <v>28221</v>
      </c>
    </row>
    <row r="434" spans="1:25" hidden="1" x14ac:dyDescent="0.25">
      <c r="A434" s="158" t="str">
        <f>PSPOINTS[[#This Row],[PayScaleCode]]&amp;PSPOINTS[[#This Row],[RateDateFrom]]</f>
        <v>NJC_OUT45748</v>
      </c>
      <c r="B434" s="57">
        <f t="shared" si="6"/>
        <v>0</v>
      </c>
      <c r="C434" s="57" t="str">
        <f>PSPOINTS[[#This Row],[PayScaleCode]]&amp;PSPOINTS[[#This Row],[PayScalePointCode]]&amp;PSPOINTS[[#This Row],[RateDateFrom]]</f>
        <v>NJC_OUT345748</v>
      </c>
      <c r="D434" s="57">
        <f>COUNTIF(PSPOINTS[Pay Scale String Duplicates],PSPOINTS[[#This Row],[Pay Scale String Duplicates]])-1</f>
        <v>0</v>
      </c>
      <c r="E434" s="57">
        <f>IF((MONTH(_xlfn.XLOOKUP(PSPOINTS[[#This Row],[PayScaleCode]],'19_PayScales'!N:N,'19_PayScales'!R:R)))=MONTH(PSPOINTS[[#This Row],[RateDateFrom]]),0,1)</f>
        <v>0</v>
      </c>
      <c r="F434" s="57">
        <f>IF(ISBLANK(PSPOINTS[[#This Row],[RateDateTo]]),0,IF(PSPOINTS[[#This Row],[RateDateFrom]]&lt;PSPOINTS[[#This Row],[RateDateTo]],0,1))</f>
        <v>0</v>
      </c>
      <c r="G434" s="57" cm="1">
        <f t="array" aca="1" ref="G434" ca="1">IF(CELL("format",PSPOINTS[[#This Row],[RateDateFrom]])="D1",0,1)+IF(CELL("format",PSPOINTS[[#This Row],[RateDateTo]])="D1",0,1)</f>
        <v>0</v>
      </c>
      <c r="H434" s="57">
        <f>IF(OR(PSPOINTS[[#This Row],[Hourly]]=TRUE,PSPOINTS[[#This Row],[Hourly]]=FALSE),IF(OR(PSPOINTS[[#This Row],[PayScalePointEnabled]]=TRUE,PSPOINTS[[#This Row],[PayScalePointEnabled]]=FALSE),0,1),1)</f>
        <v>0</v>
      </c>
      <c r="I434" s="57">
        <f>IF(LEN(PSPOINTS[[#This Row],[PayScalePointCode]])&lt;100,0,1)</f>
        <v>0</v>
      </c>
      <c r="J434" s="57">
        <f>IF(LEN(PSPOINTS[[#This Row],[PayScalePointTitle]])&lt;100,0,1)</f>
        <v>0</v>
      </c>
      <c r="K434" s="57">
        <f>(COUNTBLANK(PSPOINTS[[#This Row],[PayScalePointCode]:[RateDateFrom]])+COUNTBLANK(PSPOINTS[[#This Row],[PayScaleRate]]))</f>
        <v>0</v>
      </c>
      <c r="L434" s="120">
        <f>IF(SUBSTITUTE(TEXT(PSPOINTS[[#This Row],[PayScaleCode]],10)," ","")=TEXT(PSPOINTS[[#This Row],[PayScaleCode]],10),0,1)+IF(SUBSTITUTE(TEXT(PSPOINTS[[#This Row],[PayScalePointCode]],10)," ","")=TEXT(PSPOINTS[[#This Row],[PayScalePointCode]],10),0,1)</f>
        <v>0</v>
      </c>
      <c r="M434" s="57">
        <f ca="1">SUM(PSPOINTS[[#This Row],[Scale Point Issue]:[Space in Code]])</f>
        <v>0</v>
      </c>
      <c r="N434" s="57" t="s">
        <v>1412</v>
      </c>
      <c r="P434" s="12" t="s">
        <v>1421</v>
      </c>
      <c r="Q434" s="57" t="str">
        <f>_xlfn.XLOOKUP(PSPOINTS[[#This Row],[PayScaleCode]],'19_PayScales'!N:N,'19_PayScales'!O:O)</f>
        <v>NJC Outer</v>
      </c>
      <c r="R434" s="12">
        <v>3</v>
      </c>
      <c r="S434" s="12">
        <v>3</v>
      </c>
      <c r="T434" s="12">
        <v>3</v>
      </c>
      <c r="U434" s="12" t="b">
        <v>0</v>
      </c>
      <c r="V434" s="15" t="b">
        <v>1</v>
      </c>
      <c r="W434" s="164">
        <v>45748</v>
      </c>
      <c r="X434" s="140"/>
      <c r="Y434" s="163">
        <v>28617</v>
      </c>
    </row>
    <row r="435" spans="1:25" hidden="1" x14ac:dyDescent="0.25">
      <c r="A435" s="158" t="str">
        <f>PSPOINTS[[#This Row],[PayScaleCode]]&amp;PSPOINTS[[#This Row],[RateDateFrom]]</f>
        <v>NJC_OUT45748</v>
      </c>
      <c r="B435" s="57">
        <f t="shared" si="6"/>
        <v>0</v>
      </c>
      <c r="C435" s="57" t="str">
        <f>PSPOINTS[[#This Row],[PayScaleCode]]&amp;PSPOINTS[[#This Row],[PayScalePointCode]]&amp;PSPOINTS[[#This Row],[RateDateFrom]]</f>
        <v>NJC_OUT445748</v>
      </c>
      <c r="D435" s="57">
        <f>COUNTIF(PSPOINTS[Pay Scale String Duplicates],PSPOINTS[[#This Row],[Pay Scale String Duplicates]])-1</f>
        <v>0</v>
      </c>
      <c r="E435" s="57">
        <f>IF((MONTH(_xlfn.XLOOKUP(PSPOINTS[[#This Row],[PayScaleCode]],'19_PayScales'!N:N,'19_PayScales'!R:R)))=MONTH(PSPOINTS[[#This Row],[RateDateFrom]]),0,1)</f>
        <v>0</v>
      </c>
      <c r="F435" s="57">
        <f>IF(ISBLANK(PSPOINTS[[#This Row],[RateDateTo]]),0,IF(PSPOINTS[[#This Row],[RateDateFrom]]&lt;PSPOINTS[[#This Row],[RateDateTo]],0,1))</f>
        <v>0</v>
      </c>
      <c r="G435" s="57" cm="1">
        <f t="array" aca="1" ref="G435" ca="1">IF(CELL("format",PSPOINTS[[#This Row],[RateDateFrom]])="D1",0,1)+IF(CELL("format",PSPOINTS[[#This Row],[RateDateTo]])="D1",0,1)</f>
        <v>0</v>
      </c>
      <c r="H435" s="57">
        <f>IF(OR(PSPOINTS[[#This Row],[Hourly]]=TRUE,PSPOINTS[[#This Row],[Hourly]]=FALSE),IF(OR(PSPOINTS[[#This Row],[PayScalePointEnabled]]=TRUE,PSPOINTS[[#This Row],[PayScalePointEnabled]]=FALSE),0,1),1)</f>
        <v>0</v>
      </c>
      <c r="I435" s="57">
        <f>IF(LEN(PSPOINTS[[#This Row],[PayScalePointCode]])&lt;100,0,1)</f>
        <v>0</v>
      </c>
      <c r="J435" s="57">
        <f>IF(LEN(PSPOINTS[[#This Row],[PayScalePointTitle]])&lt;100,0,1)</f>
        <v>0</v>
      </c>
      <c r="K435" s="57">
        <f>(COUNTBLANK(PSPOINTS[[#This Row],[PayScalePointCode]:[RateDateFrom]])+COUNTBLANK(PSPOINTS[[#This Row],[PayScaleRate]]))</f>
        <v>0</v>
      </c>
      <c r="L435" s="120">
        <f>IF(SUBSTITUTE(TEXT(PSPOINTS[[#This Row],[PayScaleCode]],10)," ","")=TEXT(PSPOINTS[[#This Row],[PayScaleCode]],10),0,1)+IF(SUBSTITUTE(TEXT(PSPOINTS[[#This Row],[PayScalePointCode]],10)," ","")=TEXT(PSPOINTS[[#This Row],[PayScalePointCode]],10),0,1)</f>
        <v>0</v>
      </c>
      <c r="M435" s="57">
        <f ca="1">SUM(PSPOINTS[[#This Row],[Scale Point Issue]:[Space in Code]])</f>
        <v>0</v>
      </c>
      <c r="N435" s="57" t="s">
        <v>1412</v>
      </c>
      <c r="P435" s="12" t="s">
        <v>1421</v>
      </c>
      <c r="Q435" s="57" t="str">
        <f>_xlfn.XLOOKUP(PSPOINTS[[#This Row],[PayScaleCode]],'19_PayScales'!N:N,'19_PayScales'!O:O)</f>
        <v>NJC Outer</v>
      </c>
      <c r="R435" s="12">
        <v>4</v>
      </c>
      <c r="S435" s="12">
        <v>4</v>
      </c>
      <c r="T435" s="12">
        <v>4</v>
      </c>
      <c r="U435" s="12" t="b">
        <v>0</v>
      </c>
      <c r="V435" s="15" t="b">
        <v>1</v>
      </c>
      <c r="W435" s="164">
        <v>45748</v>
      </c>
      <c r="X435" s="140"/>
      <c r="Y435" s="163">
        <v>29025</v>
      </c>
    </row>
    <row r="436" spans="1:25" hidden="1" x14ac:dyDescent="0.25">
      <c r="A436" s="158" t="str">
        <f>PSPOINTS[[#This Row],[PayScaleCode]]&amp;PSPOINTS[[#This Row],[RateDateFrom]]</f>
        <v>NJC_OUT45748</v>
      </c>
      <c r="B436" s="57">
        <f t="shared" si="6"/>
        <v>0</v>
      </c>
      <c r="C436" s="57" t="str">
        <f>PSPOINTS[[#This Row],[PayScaleCode]]&amp;PSPOINTS[[#This Row],[PayScalePointCode]]&amp;PSPOINTS[[#This Row],[RateDateFrom]]</f>
        <v>NJC_OUT545748</v>
      </c>
      <c r="D436" s="57">
        <f>COUNTIF(PSPOINTS[Pay Scale String Duplicates],PSPOINTS[[#This Row],[Pay Scale String Duplicates]])-1</f>
        <v>0</v>
      </c>
      <c r="E436" s="57">
        <f>IF((MONTH(_xlfn.XLOOKUP(PSPOINTS[[#This Row],[PayScaleCode]],'19_PayScales'!N:N,'19_PayScales'!R:R)))=MONTH(PSPOINTS[[#This Row],[RateDateFrom]]),0,1)</f>
        <v>0</v>
      </c>
      <c r="F436" s="57">
        <f>IF(ISBLANK(PSPOINTS[[#This Row],[RateDateTo]]),0,IF(PSPOINTS[[#This Row],[RateDateFrom]]&lt;PSPOINTS[[#This Row],[RateDateTo]],0,1))</f>
        <v>0</v>
      </c>
      <c r="G436" s="57" cm="1">
        <f t="array" aca="1" ref="G436" ca="1">IF(CELL("format",PSPOINTS[[#This Row],[RateDateFrom]])="D1",0,1)+IF(CELL("format",PSPOINTS[[#This Row],[RateDateTo]])="D1",0,1)</f>
        <v>0</v>
      </c>
      <c r="H436" s="57">
        <f>IF(OR(PSPOINTS[[#This Row],[Hourly]]=TRUE,PSPOINTS[[#This Row],[Hourly]]=FALSE),IF(OR(PSPOINTS[[#This Row],[PayScalePointEnabled]]=TRUE,PSPOINTS[[#This Row],[PayScalePointEnabled]]=FALSE),0,1),1)</f>
        <v>0</v>
      </c>
      <c r="I436" s="57">
        <f>IF(LEN(PSPOINTS[[#This Row],[PayScalePointCode]])&lt;100,0,1)</f>
        <v>0</v>
      </c>
      <c r="J436" s="57">
        <f>IF(LEN(PSPOINTS[[#This Row],[PayScalePointTitle]])&lt;100,0,1)</f>
        <v>0</v>
      </c>
      <c r="K436" s="57">
        <f>(COUNTBLANK(PSPOINTS[[#This Row],[PayScalePointCode]:[RateDateFrom]])+COUNTBLANK(PSPOINTS[[#This Row],[PayScaleRate]]))</f>
        <v>0</v>
      </c>
      <c r="L436" s="120">
        <f>IF(SUBSTITUTE(TEXT(PSPOINTS[[#This Row],[PayScaleCode]],10)," ","")=TEXT(PSPOINTS[[#This Row],[PayScaleCode]],10),0,1)+IF(SUBSTITUTE(TEXT(PSPOINTS[[#This Row],[PayScalePointCode]],10)," ","")=TEXT(PSPOINTS[[#This Row],[PayScalePointCode]],10),0,1)</f>
        <v>0</v>
      </c>
      <c r="M436" s="57">
        <f ca="1">SUM(PSPOINTS[[#This Row],[Scale Point Issue]:[Space in Code]])</f>
        <v>0</v>
      </c>
      <c r="N436" s="57" t="s">
        <v>1412</v>
      </c>
      <c r="P436" s="12" t="s">
        <v>1421</v>
      </c>
      <c r="Q436" s="57" t="str">
        <f>_xlfn.XLOOKUP(PSPOINTS[[#This Row],[PayScaleCode]],'19_PayScales'!N:N,'19_PayScales'!O:O)</f>
        <v>NJC Outer</v>
      </c>
      <c r="R436" s="12">
        <v>5</v>
      </c>
      <c r="S436" s="12">
        <v>5</v>
      </c>
      <c r="T436" s="12">
        <v>5</v>
      </c>
      <c r="U436" s="12" t="b">
        <v>0</v>
      </c>
      <c r="V436" s="15" t="b">
        <v>1</v>
      </c>
      <c r="W436" s="164">
        <v>45748</v>
      </c>
      <c r="X436" s="140"/>
      <c r="Y436" s="163">
        <v>29436</v>
      </c>
    </row>
    <row r="437" spans="1:25" hidden="1" x14ac:dyDescent="0.25">
      <c r="A437" s="158" t="str">
        <f>PSPOINTS[[#This Row],[PayScaleCode]]&amp;PSPOINTS[[#This Row],[RateDateFrom]]</f>
        <v>NJC_OUT45748</v>
      </c>
      <c r="B437" s="57">
        <f t="shared" si="6"/>
        <v>0</v>
      </c>
      <c r="C437" s="57" t="str">
        <f>PSPOINTS[[#This Row],[PayScaleCode]]&amp;PSPOINTS[[#This Row],[PayScalePointCode]]&amp;PSPOINTS[[#This Row],[RateDateFrom]]</f>
        <v>NJC_OUT645748</v>
      </c>
      <c r="D437" s="57">
        <f>COUNTIF(PSPOINTS[Pay Scale String Duplicates],PSPOINTS[[#This Row],[Pay Scale String Duplicates]])-1</f>
        <v>0</v>
      </c>
      <c r="E437" s="57">
        <f>IF((MONTH(_xlfn.XLOOKUP(PSPOINTS[[#This Row],[PayScaleCode]],'19_PayScales'!N:N,'19_PayScales'!R:R)))=MONTH(PSPOINTS[[#This Row],[RateDateFrom]]),0,1)</f>
        <v>0</v>
      </c>
      <c r="F437" s="57">
        <f>IF(ISBLANK(PSPOINTS[[#This Row],[RateDateTo]]),0,IF(PSPOINTS[[#This Row],[RateDateFrom]]&lt;PSPOINTS[[#This Row],[RateDateTo]],0,1))</f>
        <v>0</v>
      </c>
      <c r="G437" s="57" cm="1">
        <f t="array" aca="1" ref="G437" ca="1">IF(CELL("format",PSPOINTS[[#This Row],[RateDateFrom]])="D1",0,1)+IF(CELL("format",PSPOINTS[[#This Row],[RateDateTo]])="D1",0,1)</f>
        <v>0</v>
      </c>
      <c r="H437" s="57">
        <f>IF(OR(PSPOINTS[[#This Row],[Hourly]]=TRUE,PSPOINTS[[#This Row],[Hourly]]=FALSE),IF(OR(PSPOINTS[[#This Row],[PayScalePointEnabled]]=TRUE,PSPOINTS[[#This Row],[PayScalePointEnabled]]=FALSE),0,1),1)</f>
        <v>0</v>
      </c>
      <c r="I437" s="57">
        <f>IF(LEN(PSPOINTS[[#This Row],[PayScalePointCode]])&lt;100,0,1)</f>
        <v>0</v>
      </c>
      <c r="J437" s="57">
        <f>IF(LEN(PSPOINTS[[#This Row],[PayScalePointTitle]])&lt;100,0,1)</f>
        <v>0</v>
      </c>
      <c r="K437" s="57">
        <f>(COUNTBLANK(PSPOINTS[[#This Row],[PayScalePointCode]:[RateDateFrom]])+COUNTBLANK(PSPOINTS[[#This Row],[PayScaleRate]]))</f>
        <v>0</v>
      </c>
      <c r="L437" s="120">
        <f>IF(SUBSTITUTE(TEXT(PSPOINTS[[#This Row],[PayScaleCode]],10)," ","")=TEXT(PSPOINTS[[#This Row],[PayScaleCode]],10),0,1)+IF(SUBSTITUTE(TEXT(PSPOINTS[[#This Row],[PayScalePointCode]],10)," ","")=TEXT(PSPOINTS[[#This Row],[PayScalePointCode]],10),0,1)</f>
        <v>0</v>
      </c>
      <c r="M437" s="57">
        <f ca="1">SUM(PSPOINTS[[#This Row],[Scale Point Issue]:[Space in Code]])</f>
        <v>0</v>
      </c>
      <c r="N437" s="57" t="s">
        <v>1412</v>
      </c>
      <c r="P437" s="12" t="s">
        <v>1421</v>
      </c>
      <c r="Q437" s="57" t="str">
        <f>_xlfn.XLOOKUP(PSPOINTS[[#This Row],[PayScaleCode]],'19_PayScales'!N:N,'19_PayScales'!O:O)</f>
        <v>NJC Outer</v>
      </c>
      <c r="R437" s="12">
        <v>6</v>
      </c>
      <c r="S437" s="12">
        <v>6</v>
      </c>
      <c r="T437" s="12">
        <v>6</v>
      </c>
      <c r="U437" s="12" t="b">
        <v>0</v>
      </c>
      <c r="V437" s="15" t="b">
        <v>1</v>
      </c>
      <c r="W437" s="164">
        <v>45748</v>
      </c>
      <c r="X437" s="140"/>
      <c r="Y437" s="163">
        <v>29856</v>
      </c>
    </row>
    <row r="438" spans="1:25" hidden="1" x14ac:dyDescent="0.25">
      <c r="A438" s="158" t="str">
        <f>PSPOINTS[[#This Row],[PayScaleCode]]&amp;PSPOINTS[[#This Row],[RateDateFrom]]</f>
        <v>NJC_OUT45748</v>
      </c>
      <c r="B438" s="57">
        <f t="shared" si="6"/>
        <v>0</v>
      </c>
      <c r="C438" s="57" t="str">
        <f>PSPOINTS[[#This Row],[PayScaleCode]]&amp;PSPOINTS[[#This Row],[PayScalePointCode]]&amp;PSPOINTS[[#This Row],[RateDateFrom]]</f>
        <v>NJC_OUT745748</v>
      </c>
      <c r="D438" s="57">
        <f>COUNTIF(PSPOINTS[Pay Scale String Duplicates],PSPOINTS[[#This Row],[Pay Scale String Duplicates]])-1</f>
        <v>0</v>
      </c>
      <c r="E438" s="57">
        <f>IF((MONTH(_xlfn.XLOOKUP(PSPOINTS[[#This Row],[PayScaleCode]],'19_PayScales'!N:N,'19_PayScales'!R:R)))=MONTH(PSPOINTS[[#This Row],[RateDateFrom]]),0,1)</f>
        <v>0</v>
      </c>
      <c r="F438" s="57">
        <f>IF(ISBLANK(PSPOINTS[[#This Row],[RateDateTo]]),0,IF(PSPOINTS[[#This Row],[RateDateFrom]]&lt;PSPOINTS[[#This Row],[RateDateTo]],0,1))</f>
        <v>0</v>
      </c>
      <c r="G438" s="57" cm="1">
        <f t="array" aca="1" ref="G438" ca="1">IF(CELL("format",PSPOINTS[[#This Row],[RateDateFrom]])="D1",0,1)+IF(CELL("format",PSPOINTS[[#This Row],[RateDateTo]])="D1",0,1)</f>
        <v>0</v>
      </c>
      <c r="H438" s="57">
        <f>IF(OR(PSPOINTS[[#This Row],[Hourly]]=TRUE,PSPOINTS[[#This Row],[Hourly]]=FALSE),IF(OR(PSPOINTS[[#This Row],[PayScalePointEnabled]]=TRUE,PSPOINTS[[#This Row],[PayScalePointEnabled]]=FALSE),0,1),1)</f>
        <v>0</v>
      </c>
      <c r="I438" s="57">
        <f>IF(LEN(PSPOINTS[[#This Row],[PayScalePointCode]])&lt;100,0,1)</f>
        <v>0</v>
      </c>
      <c r="J438" s="57">
        <f>IF(LEN(PSPOINTS[[#This Row],[PayScalePointTitle]])&lt;100,0,1)</f>
        <v>0</v>
      </c>
      <c r="K438" s="57">
        <f>(COUNTBLANK(PSPOINTS[[#This Row],[PayScalePointCode]:[RateDateFrom]])+COUNTBLANK(PSPOINTS[[#This Row],[PayScaleRate]]))</f>
        <v>0</v>
      </c>
      <c r="L438" s="120">
        <f>IF(SUBSTITUTE(TEXT(PSPOINTS[[#This Row],[PayScaleCode]],10)," ","")=TEXT(PSPOINTS[[#This Row],[PayScaleCode]],10),0,1)+IF(SUBSTITUTE(TEXT(PSPOINTS[[#This Row],[PayScalePointCode]],10)," ","")=TEXT(PSPOINTS[[#This Row],[PayScalePointCode]],10),0,1)</f>
        <v>0</v>
      </c>
      <c r="M438" s="57">
        <f ca="1">SUM(PSPOINTS[[#This Row],[Scale Point Issue]:[Space in Code]])</f>
        <v>0</v>
      </c>
      <c r="N438" s="57" t="s">
        <v>1412</v>
      </c>
      <c r="P438" s="12" t="s">
        <v>1421</v>
      </c>
      <c r="Q438" s="57" t="str">
        <f>_xlfn.XLOOKUP(PSPOINTS[[#This Row],[PayScaleCode]],'19_PayScales'!N:N,'19_PayScales'!O:O)</f>
        <v>NJC Outer</v>
      </c>
      <c r="R438" s="12">
        <v>7</v>
      </c>
      <c r="S438" s="12">
        <v>7</v>
      </c>
      <c r="T438" s="12">
        <v>7</v>
      </c>
      <c r="U438" s="12" t="b">
        <v>0</v>
      </c>
      <c r="V438" s="15" t="b">
        <v>1</v>
      </c>
      <c r="W438" s="164">
        <v>45748</v>
      </c>
      <c r="X438" s="140"/>
      <c r="Y438" s="163">
        <v>30288</v>
      </c>
    </row>
    <row r="439" spans="1:25" hidden="1" x14ac:dyDescent="0.25">
      <c r="A439" s="158" t="str">
        <f>PSPOINTS[[#This Row],[PayScaleCode]]&amp;PSPOINTS[[#This Row],[RateDateFrom]]</f>
        <v>NJC_OUT45748</v>
      </c>
      <c r="B439" s="57">
        <f t="shared" si="6"/>
        <v>0</v>
      </c>
      <c r="C439" s="57" t="str">
        <f>PSPOINTS[[#This Row],[PayScaleCode]]&amp;PSPOINTS[[#This Row],[PayScalePointCode]]&amp;PSPOINTS[[#This Row],[RateDateFrom]]</f>
        <v>NJC_OUT845748</v>
      </c>
      <c r="D439" s="57">
        <f>COUNTIF(PSPOINTS[Pay Scale String Duplicates],PSPOINTS[[#This Row],[Pay Scale String Duplicates]])-1</f>
        <v>0</v>
      </c>
      <c r="E439" s="57">
        <f>IF((MONTH(_xlfn.XLOOKUP(PSPOINTS[[#This Row],[PayScaleCode]],'19_PayScales'!N:N,'19_PayScales'!R:R)))=MONTH(PSPOINTS[[#This Row],[RateDateFrom]]),0,1)</f>
        <v>0</v>
      </c>
      <c r="F439" s="57">
        <f>IF(ISBLANK(PSPOINTS[[#This Row],[RateDateTo]]),0,IF(PSPOINTS[[#This Row],[RateDateFrom]]&lt;PSPOINTS[[#This Row],[RateDateTo]],0,1))</f>
        <v>0</v>
      </c>
      <c r="G439" s="57" cm="1">
        <f t="array" aca="1" ref="G439" ca="1">IF(CELL("format",PSPOINTS[[#This Row],[RateDateFrom]])="D1",0,1)+IF(CELL("format",PSPOINTS[[#This Row],[RateDateTo]])="D1",0,1)</f>
        <v>0</v>
      </c>
      <c r="H439" s="57">
        <f>IF(OR(PSPOINTS[[#This Row],[Hourly]]=TRUE,PSPOINTS[[#This Row],[Hourly]]=FALSE),IF(OR(PSPOINTS[[#This Row],[PayScalePointEnabled]]=TRUE,PSPOINTS[[#This Row],[PayScalePointEnabled]]=FALSE),0,1),1)</f>
        <v>0</v>
      </c>
      <c r="I439" s="57">
        <f>IF(LEN(PSPOINTS[[#This Row],[PayScalePointCode]])&lt;100,0,1)</f>
        <v>0</v>
      </c>
      <c r="J439" s="57">
        <f>IF(LEN(PSPOINTS[[#This Row],[PayScalePointTitle]])&lt;100,0,1)</f>
        <v>0</v>
      </c>
      <c r="K439" s="57">
        <f>(COUNTBLANK(PSPOINTS[[#This Row],[PayScalePointCode]:[RateDateFrom]])+COUNTBLANK(PSPOINTS[[#This Row],[PayScaleRate]]))</f>
        <v>0</v>
      </c>
      <c r="L439" s="120">
        <f>IF(SUBSTITUTE(TEXT(PSPOINTS[[#This Row],[PayScaleCode]],10)," ","")=TEXT(PSPOINTS[[#This Row],[PayScaleCode]],10),0,1)+IF(SUBSTITUTE(TEXT(PSPOINTS[[#This Row],[PayScalePointCode]],10)," ","")=TEXT(PSPOINTS[[#This Row],[PayScalePointCode]],10),0,1)</f>
        <v>0</v>
      </c>
      <c r="M439" s="57">
        <f ca="1">SUM(PSPOINTS[[#This Row],[Scale Point Issue]:[Space in Code]])</f>
        <v>0</v>
      </c>
      <c r="N439" s="57" t="s">
        <v>1412</v>
      </c>
      <c r="P439" s="12" t="s">
        <v>1421</v>
      </c>
      <c r="Q439" s="57" t="str">
        <f>_xlfn.XLOOKUP(PSPOINTS[[#This Row],[PayScaleCode]],'19_PayScales'!N:N,'19_PayScales'!O:O)</f>
        <v>NJC Outer</v>
      </c>
      <c r="R439" s="12">
        <v>8</v>
      </c>
      <c r="S439" s="12">
        <v>8</v>
      </c>
      <c r="T439" s="12">
        <v>8</v>
      </c>
      <c r="U439" s="12" t="b">
        <v>0</v>
      </c>
      <c r="V439" s="15" t="b">
        <v>1</v>
      </c>
      <c r="W439" s="164">
        <v>45748</v>
      </c>
      <c r="X439" s="140"/>
      <c r="Y439" s="163">
        <v>30717</v>
      </c>
    </row>
    <row r="440" spans="1:25" hidden="1" x14ac:dyDescent="0.25">
      <c r="A440" s="158" t="str">
        <f>PSPOINTS[[#This Row],[PayScaleCode]]&amp;PSPOINTS[[#This Row],[RateDateFrom]]</f>
        <v>NJC_OUT45748</v>
      </c>
      <c r="B440" s="57">
        <f t="shared" si="6"/>
        <v>0</v>
      </c>
      <c r="C440" s="57" t="str">
        <f>PSPOINTS[[#This Row],[PayScaleCode]]&amp;PSPOINTS[[#This Row],[PayScalePointCode]]&amp;PSPOINTS[[#This Row],[RateDateFrom]]</f>
        <v>NJC_OUT945748</v>
      </c>
      <c r="D440" s="57">
        <f>COUNTIF(PSPOINTS[Pay Scale String Duplicates],PSPOINTS[[#This Row],[Pay Scale String Duplicates]])-1</f>
        <v>0</v>
      </c>
      <c r="E440" s="57">
        <f>IF((MONTH(_xlfn.XLOOKUP(PSPOINTS[[#This Row],[PayScaleCode]],'19_PayScales'!N:N,'19_PayScales'!R:R)))=MONTH(PSPOINTS[[#This Row],[RateDateFrom]]),0,1)</f>
        <v>0</v>
      </c>
      <c r="F440" s="57">
        <f>IF(ISBLANK(PSPOINTS[[#This Row],[RateDateTo]]),0,IF(PSPOINTS[[#This Row],[RateDateFrom]]&lt;PSPOINTS[[#This Row],[RateDateTo]],0,1))</f>
        <v>0</v>
      </c>
      <c r="G440" s="57" cm="1">
        <f t="array" aca="1" ref="G440" ca="1">IF(CELL("format",PSPOINTS[[#This Row],[RateDateFrom]])="D1",0,1)+IF(CELL("format",PSPOINTS[[#This Row],[RateDateTo]])="D1",0,1)</f>
        <v>0</v>
      </c>
      <c r="H440" s="57">
        <f>IF(OR(PSPOINTS[[#This Row],[Hourly]]=TRUE,PSPOINTS[[#This Row],[Hourly]]=FALSE),IF(OR(PSPOINTS[[#This Row],[PayScalePointEnabled]]=TRUE,PSPOINTS[[#This Row],[PayScalePointEnabled]]=FALSE),0,1),1)</f>
        <v>0</v>
      </c>
      <c r="I440" s="57">
        <f>IF(LEN(PSPOINTS[[#This Row],[PayScalePointCode]])&lt;100,0,1)</f>
        <v>0</v>
      </c>
      <c r="J440" s="57">
        <f>IF(LEN(PSPOINTS[[#This Row],[PayScalePointTitle]])&lt;100,0,1)</f>
        <v>0</v>
      </c>
      <c r="K440" s="57">
        <f>(COUNTBLANK(PSPOINTS[[#This Row],[PayScalePointCode]:[RateDateFrom]])+COUNTBLANK(PSPOINTS[[#This Row],[PayScaleRate]]))</f>
        <v>0</v>
      </c>
      <c r="L440" s="120">
        <f>IF(SUBSTITUTE(TEXT(PSPOINTS[[#This Row],[PayScaleCode]],10)," ","")=TEXT(PSPOINTS[[#This Row],[PayScaleCode]],10),0,1)+IF(SUBSTITUTE(TEXT(PSPOINTS[[#This Row],[PayScalePointCode]],10)," ","")=TEXT(PSPOINTS[[#This Row],[PayScalePointCode]],10),0,1)</f>
        <v>0</v>
      </c>
      <c r="M440" s="57">
        <f ca="1">SUM(PSPOINTS[[#This Row],[Scale Point Issue]:[Space in Code]])</f>
        <v>0</v>
      </c>
      <c r="N440" s="57" t="s">
        <v>1412</v>
      </c>
      <c r="P440" s="12" t="s">
        <v>1421</v>
      </c>
      <c r="Q440" s="57" t="str">
        <f>_xlfn.XLOOKUP(PSPOINTS[[#This Row],[PayScaleCode]],'19_PayScales'!N:N,'19_PayScales'!O:O)</f>
        <v>NJC Outer</v>
      </c>
      <c r="R440" s="12">
        <v>9</v>
      </c>
      <c r="S440" s="12">
        <v>9</v>
      </c>
      <c r="T440" s="12">
        <v>9</v>
      </c>
      <c r="U440" s="12" t="b">
        <v>0</v>
      </c>
      <c r="V440" s="15" t="b">
        <v>1</v>
      </c>
      <c r="W440" s="164">
        <v>45748</v>
      </c>
      <c r="X440" s="140"/>
      <c r="Y440" s="163">
        <v>31158</v>
      </c>
    </row>
    <row r="441" spans="1:25" hidden="1" x14ac:dyDescent="0.25">
      <c r="A441" s="158" t="str">
        <f>PSPOINTS[[#This Row],[PayScaleCode]]&amp;PSPOINTS[[#This Row],[RateDateFrom]]</f>
        <v>NJC_OUT45748</v>
      </c>
      <c r="B441" s="57">
        <f t="shared" si="6"/>
        <v>0</v>
      </c>
      <c r="C441" s="57" t="str">
        <f>PSPOINTS[[#This Row],[PayScaleCode]]&amp;PSPOINTS[[#This Row],[PayScalePointCode]]&amp;PSPOINTS[[#This Row],[RateDateFrom]]</f>
        <v>NJC_OUT1045748</v>
      </c>
      <c r="D441" s="57">
        <f>COUNTIF(PSPOINTS[Pay Scale String Duplicates],PSPOINTS[[#This Row],[Pay Scale String Duplicates]])-1</f>
        <v>0</v>
      </c>
      <c r="E441" s="57">
        <f>IF((MONTH(_xlfn.XLOOKUP(PSPOINTS[[#This Row],[PayScaleCode]],'19_PayScales'!N:N,'19_PayScales'!R:R)))=MONTH(PSPOINTS[[#This Row],[RateDateFrom]]),0,1)</f>
        <v>0</v>
      </c>
      <c r="F441" s="57">
        <f>IF(ISBLANK(PSPOINTS[[#This Row],[RateDateTo]]),0,IF(PSPOINTS[[#This Row],[RateDateFrom]]&lt;PSPOINTS[[#This Row],[RateDateTo]],0,1))</f>
        <v>0</v>
      </c>
      <c r="G441" s="57" cm="1">
        <f t="array" aca="1" ref="G441" ca="1">IF(CELL("format",PSPOINTS[[#This Row],[RateDateFrom]])="D1",0,1)+IF(CELL("format",PSPOINTS[[#This Row],[RateDateTo]])="D1",0,1)</f>
        <v>0</v>
      </c>
      <c r="H441" s="57">
        <f>IF(OR(PSPOINTS[[#This Row],[Hourly]]=TRUE,PSPOINTS[[#This Row],[Hourly]]=FALSE),IF(OR(PSPOINTS[[#This Row],[PayScalePointEnabled]]=TRUE,PSPOINTS[[#This Row],[PayScalePointEnabled]]=FALSE),0,1),1)</f>
        <v>0</v>
      </c>
      <c r="I441" s="57">
        <f>IF(LEN(PSPOINTS[[#This Row],[PayScalePointCode]])&lt;100,0,1)</f>
        <v>0</v>
      </c>
      <c r="J441" s="57">
        <f>IF(LEN(PSPOINTS[[#This Row],[PayScalePointTitle]])&lt;100,0,1)</f>
        <v>0</v>
      </c>
      <c r="K441" s="57">
        <f>(COUNTBLANK(PSPOINTS[[#This Row],[PayScalePointCode]:[RateDateFrom]])+COUNTBLANK(PSPOINTS[[#This Row],[PayScaleRate]]))</f>
        <v>0</v>
      </c>
      <c r="L441" s="120">
        <f>IF(SUBSTITUTE(TEXT(PSPOINTS[[#This Row],[PayScaleCode]],10)," ","")=TEXT(PSPOINTS[[#This Row],[PayScaleCode]],10),0,1)+IF(SUBSTITUTE(TEXT(PSPOINTS[[#This Row],[PayScalePointCode]],10)," ","")=TEXT(PSPOINTS[[#This Row],[PayScalePointCode]],10),0,1)</f>
        <v>0</v>
      </c>
      <c r="M441" s="57">
        <f ca="1">SUM(PSPOINTS[[#This Row],[Scale Point Issue]:[Space in Code]])</f>
        <v>0</v>
      </c>
      <c r="N441" s="57" t="s">
        <v>1412</v>
      </c>
      <c r="P441" s="12" t="s">
        <v>1421</v>
      </c>
      <c r="Q441" s="57" t="str">
        <f>_xlfn.XLOOKUP(PSPOINTS[[#This Row],[PayScaleCode]],'19_PayScales'!N:N,'19_PayScales'!O:O)</f>
        <v>NJC Outer</v>
      </c>
      <c r="R441" s="12">
        <v>10</v>
      </c>
      <c r="S441" s="12">
        <v>10</v>
      </c>
      <c r="T441" s="12">
        <v>10</v>
      </c>
      <c r="U441" s="12" t="b">
        <v>0</v>
      </c>
      <c r="V441" s="15" t="b">
        <v>1</v>
      </c>
      <c r="W441" s="164">
        <v>45748</v>
      </c>
      <c r="X441" s="140"/>
      <c r="Y441" s="163">
        <v>31611</v>
      </c>
    </row>
    <row r="442" spans="1:25" hidden="1" x14ac:dyDescent="0.25">
      <c r="A442" s="158" t="str">
        <f>PSPOINTS[[#This Row],[PayScaleCode]]&amp;PSPOINTS[[#This Row],[RateDateFrom]]</f>
        <v>NJC_OUT45748</v>
      </c>
      <c r="B442" s="57">
        <f t="shared" si="6"/>
        <v>0</v>
      </c>
      <c r="C442" s="57" t="str">
        <f>PSPOINTS[[#This Row],[PayScaleCode]]&amp;PSPOINTS[[#This Row],[PayScalePointCode]]&amp;PSPOINTS[[#This Row],[RateDateFrom]]</f>
        <v>NJC_OUT1145748</v>
      </c>
      <c r="D442" s="57">
        <f>COUNTIF(PSPOINTS[Pay Scale String Duplicates],PSPOINTS[[#This Row],[Pay Scale String Duplicates]])-1</f>
        <v>0</v>
      </c>
      <c r="E442" s="57">
        <f>IF((MONTH(_xlfn.XLOOKUP(PSPOINTS[[#This Row],[PayScaleCode]],'19_PayScales'!N:N,'19_PayScales'!R:R)))=MONTH(PSPOINTS[[#This Row],[RateDateFrom]]),0,1)</f>
        <v>0</v>
      </c>
      <c r="F442" s="57">
        <f>IF(ISBLANK(PSPOINTS[[#This Row],[RateDateTo]]),0,IF(PSPOINTS[[#This Row],[RateDateFrom]]&lt;PSPOINTS[[#This Row],[RateDateTo]],0,1))</f>
        <v>0</v>
      </c>
      <c r="G442" s="57" cm="1">
        <f t="array" aca="1" ref="G442" ca="1">IF(CELL("format",PSPOINTS[[#This Row],[RateDateFrom]])="D1",0,1)+IF(CELL("format",PSPOINTS[[#This Row],[RateDateTo]])="D1",0,1)</f>
        <v>0</v>
      </c>
      <c r="H442" s="57">
        <f>IF(OR(PSPOINTS[[#This Row],[Hourly]]=TRUE,PSPOINTS[[#This Row],[Hourly]]=FALSE),IF(OR(PSPOINTS[[#This Row],[PayScalePointEnabled]]=TRUE,PSPOINTS[[#This Row],[PayScalePointEnabled]]=FALSE),0,1),1)</f>
        <v>0</v>
      </c>
      <c r="I442" s="57">
        <f>IF(LEN(PSPOINTS[[#This Row],[PayScalePointCode]])&lt;100,0,1)</f>
        <v>0</v>
      </c>
      <c r="J442" s="57">
        <f>IF(LEN(PSPOINTS[[#This Row],[PayScalePointTitle]])&lt;100,0,1)</f>
        <v>0</v>
      </c>
      <c r="K442" s="57">
        <f>(COUNTBLANK(PSPOINTS[[#This Row],[PayScalePointCode]:[RateDateFrom]])+COUNTBLANK(PSPOINTS[[#This Row],[PayScaleRate]]))</f>
        <v>0</v>
      </c>
      <c r="L442" s="120">
        <f>IF(SUBSTITUTE(TEXT(PSPOINTS[[#This Row],[PayScaleCode]],10)," ","")=TEXT(PSPOINTS[[#This Row],[PayScaleCode]],10),0,1)+IF(SUBSTITUTE(TEXT(PSPOINTS[[#This Row],[PayScalePointCode]],10)," ","")=TEXT(PSPOINTS[[#This Row],[PayScalePointCode]],10),0,1)</f>
        <v>0</v>
      </c>
      <c r="M442" s="57">
        <f ca="1">SUM(PSPOINTS[[#This Row],[Scale Point Issue]:[Space in Code]])</f>
        <v>0</v>
      </c>
      <c r="N442" s="57" t="s">
        <v>1412</v>
      </c>
      <c r="P442" s="12" t="s">
        <v>1421</v>
      </c>
      <c r="Q442" s="57" t="str">
        <f>_xlfn.XLOOKUP(PSPOINTS[[#This Row],[PayScaleCode]],'19_PayScales'!N:N,'19_PayScales'!O:O)</f>
        <v>NJC Outer</v>
      </c>
      <c r="R442" s="12">
        <v>11</v>
      </c>
      <c r="S442" s="12">
        <v>11</v>
      </c>
      <c r="T442" s="12">
        <v>11</v>
      </c>
      <c r="U442" s="12" t="b">
        <v>0</v>
      </c>
      <c r="V442" s="15" t="b">
        <v>1</v>
      </c>
      <c r="W442" s="164">
        <v>45748</v>
      </c>
      <c r="X442" s="140"/>
      <c r="Y442" s="163">
        <v>32070</v>
      </c>
    </row>
    <row r="443" spans="1:25" hidden="1" x14ac:dyDescent="0.25">
      <c r="A443" s="158" t="str">
        <f>PSPOINTS[[#This Row],[PayScaleCode]]&amp;PSPOINTS[[#This Row],[RateDateFrom]]</f>
        <v>NJC_OUT45748</v>
      </c>
      <c r="B443" s="57">
        <f t="shared" si="6"/>
        <v>0</v>
      </c>
      <c r="C443" s="57" t="str">
        <f>PSPOINTS[[#This Row],[PayScaleCode]]&amp;PSPOINTS[[#This Row],[PayScalePointCode]]&amp;PSPOINTS[[#This Row],[RateDateFrom]]</f>
        <v>NJC_OUT1245748</v>
      </c>
      <c r="D443" s="57">
        <f>COUNTIF(PSPOINTS[Pay Scale String Duplicates],PSPOINTS[[#This Row],[Pay Scale String Duplicates]])-1</f>
        <v>0</v>
      </c>
      <c r="E443" s="57">
        <f>IF((MONTH(_xlfn.XLOOKUP(PSPOINTS[[#This Row],[PayScaleCode]],'19_PayScales'!N:N,'19_PayScales'!R:R)))=MONTH(PSPOINTS[[#This Row],[RateDateFrom]]),0,1)</f>
        <v>0</v>
      </c>
      <c r="F443" s="57">
        <f>IF(ISBLANK(PSPOINTS[[#This Row],[RateDateTo]]),0,IF(PSPOINTS[[#This Row],[RateDateFrom]]&lt;PSPOINTS[[#This Row],[RateDateTo]],0,1))</f>
        <v>0</v>
      </c>
      <c r="G443" s="57" cm="1">
        <f t="array" aca="1" ref="G443" ca="1">IF(CELL("format",PSPOINTS[[#This Row],[RateDateFrom]])="D1",0,1)+IF(CELL("format",PSPOINTS[[#This Row],[RateDateTo]])="D1",0,1)</f>
        <v>0</v>
      </c>
      <c r="H443" s="57">
        <f>IF(OR(PSPOINTS[[#This Row],[Hourly]]=TRUE,PSPOINTS[[#This Row],[Hourly]]=FALSE),IF(OR(PSPOINTS[[#This Row],[PayScalePointEnabled]]=TRUE,PSPOINTS[[#This Row],[PayScalePointEnabled]]=FALSE),0,1),1)</f>
        <v>0</v>
      </c>
      <c r="I443" s="57">
        <f>IF(LEN(PSPOINTS[[#This Row],[PayScalePointCode]])&lt;100,0,1)</f>
        <v>0</v>
      </c>
      <c r="J443" s="57">
        <f>IF(LEN(PSPOINTS[[#This Row],[PayScalePointTitle]])&lt;100,0,1)</f>
        <v>0</v>
      </c>
      <c r="K443" s="57">
        <f>(COUNTBLANK(PSPOINTS[[#This Row],[PayScalePointCode]:[RateDateFrom]])+COUNTBLANK(PSPOINTS[[#This Row],[PayScaleRate]]))</f>
        <v>0</v>
      </c>
      <c r="L443" s="120">
        <f>IF(SUBSTITUTE(TEXT(PSPOINTS[[#This Row],[PayScaleCode]],10)," ","")=TEXT(PSPOINTS[[#This Row],[PayScaleCode]],10),0,1)+IF(SUBSTITUTE(TEXT(PSPOINTS[[#This Row],[PayScalePointCode]],10)," ","")=TEXT(PSPOINTS[[#This Row],[PayScalePointCode]],10),0,1)</f>
        <v>0</v>
      </c>
      <c r="M443" s="57">
        <f ca="1">SUM(PSPOINTS[[#This Row],[Scale Point Issue]:[Space in Code]])</f>
        <v>0</v>
      </c>
      <c r="N443" s="57" t="s">
        <v>1412</v>
      </c>
      <c r="P443" s="12" t="s">
        <v>1421</v>
      </c>
      <c r="Q443" s="57" t="str">
        <f>_xlfn.XLOOKUP(PSPOINTS[[#This Row],[PayScaleCode]],'19_PayScales'!N:N,'19_PayScales'!O:O)</f>
        <v>NJC Outer</v>
      </c>
      <c r="R443" s="12">
        <v>12</v>
      </c>
      <c r="S443" s="12">
        <v>12</v>
      </c>
      <c r="T443" s="12">
        <v>12</v>
      </c>
      <c r="U443" s="12" t="b">
        <v>0</v>
      </c>
      <c r="V443" s="15" t="b">
        <v>1</v>
      </c>
      <c r="W443" s="164">
        <v>45748</v>
      </c>
      <c r="X443" s="140"/>
      <c r="Y443" s="163">
        <v>32535</v>
      </c>
    </row>
    <row r="444" spans="1:25" hidden="1" x14ac:dyDescent="0.25">
      <c r="A444" s="158" t="str">
        <f>PSPOINTS[[#This Row],[PayScaleCode]]&amp;PSPOINTS[[#This Row],[RateDateFrom]]</f>
        <v>NJC_OUT45748</v>
      </c>
      <c r="B444" s="57">
        <f t="shared" si="6"/>
        <v>0</v>
      </c>
      <c r="C444" s="57" t="str">
        <f>PSPOINTS[[#This Row],[PayScaleCode]]&amp;PSPOINTS[[#This Row],[PayScalePointCode]]&amp;PSPOINTS[[#This Row],[RateDateFrom]]</f>
        <v>NJC_OUT1345748</v>
      </c>
      <c r="D444" s="57">
        <f>COUNTIF(PSPOINTS[Pay Scale String Duplicates],PSPOINTS[[#This Row],[Pay Scale String Duplicates]])-1</f>
        <v>0</v>
      </c>
      <c r="E444" s="57">
        <f>IF((MONTH(_xlfn.XLOOKUP(PSPOINTS[[#This Row],[PayScaleCode]],'19_PayScales'!N:N,'19_PayScales'!R:R)))=MONTH(PSPOINTS[[#This Row],[RateDateFrom]]),0,1)</f>
        <v>0</v>
      </c>
      <c r="F444" s="57">
        <f>IF(ISBLANK(PSPOINTS[[#This Row],[RateDateTo]]),0,IF(PSPOINTS[[#This Row],[RateDateFrom]]&lt;PSPOINTS[[#This Row],[RateDateTo]],0,1))</f>
        <v>0</v>
      </c>
      <c r="G444" s="57" cm="1">
        <f t="array" aca="1" ref="G444" ca="1">IF(CELL("format",PSPOINTS[[#This Row],[RateDateFrom]])="D1",0,1)+IF(CELL("format",PSPOINTS[[#This Row],[RateDateTo]])="D1",0,1)</f>
        <v>0</v>
      </c>
      <c r="H444" s="57">
        <f>IF(OR(PSPOINTS[[#This Row],[Hourly]]=TRUE,PSPOINTS[[#This Row],[Hourly]]=FALSE),IF(OR(PSPOINTS[[#This Row],[PayScalePointEnabled]]=TRUE,PSPOINTS[[#This Row],[PayScalePointEnabled]]=FALSE),0,1),1)</f>
        <v>0</v>
      </c>
      <c r="I444" s="57">
        <f>IF(LEN(PSPOINTS[[#This Row],[PayScalePointCode]])&lt;100,0,1)</f>
        <v>0</v>
      </c>
      <c r="J444" s="57">
        <f>IF(LEN(PSPOINTS[[#This Row],[PayScalePointTitle]])&lt;100,0,1)</f>
        <v>0</v>
      </c>
      <c r="K444" s="57">
        <f>(COUNTBLANK(PSPOINTS[[#This Row],[PayScalePointCode]:[RateDateFrom]])+COUNTBLANK(PSPOINTS[[#This Row],[PayScaleRate]]))</f>
        <v>0</v>
      </c>
      <c r="L444" s="120">
        <f>IF(SUBSTITUTE(TEXT(PSPOINTS[[#This Row],[PayScaleCode]],10)," ","")=TEXT(PSPOINTS[[#This Row],[PayScaleCode]],10),0,1)+IF(SUBSTITUTE(TEXT(PSPOINTS[[#This Row],[PayScalePointCode]],10)," ","")=TEXT(PSPOINTS[[#This Row],[PayScalePointCode]],10),0,1)</f>
        <v>0</v>
      </c>
      <c r="M444" s="57">
        <f ca="1">SUM(PSPOINTS[[#This Row],[Scale Point Issue]:[Space in Code]])</f>
        <v>0</v>
      </c>
      <c r="N444" s="57" t="s">
        <v>1412</v>
      </c>
      <c r="P444" s="12" t="s">
        <v>1421</v>
      </c>
      <c r="Q444" s="57" t="str">
        <f>_xlfn.XLOOKUP(PSPOINTS[[#This Row],[PayScaleCode]],'19_PayScales'!N:N,'19_PayScales'!O:O)</f>
        <v>NJC Outer</v>
      </c>
      <c r="R444" s="12">
        <v>13</v>
      </c>
      <c r="S444" s="12">
        <v>13</v>
      </c>
      <c r="T444" s="12">
        <v>13</v>
      </c>
      <c r="U444" s="12" t="b">
        <v>0</v>
      </c>
      <c r="V444" s="15" t="b">
        <v>1</v>
      </c>
      <c r="W444" s="164">
        <v>45748</v>
      </c>
      <c r="X444" s="140"/>
      <c r="Y444" s="163">
        <v>33012</v>
      </c>
    </row>
    <row r="445" spans="1:25" hidden="1" x14ac:dyDescent="0.25">
      <c r="A445" s="158" t="str">
        <f>PSPOINTS[[#This Row],[PayScaleCode]]&amp;PSPOINTS[[#This Row],[RateDateFrom]]</f>
        <v>NJC_OUT45748</v>
      </c>
      <c r="B445" s="57">
        <f t="shared" si="6"/>
        <v>0</v>
      </c>
      <c r="C445" s="57" t="str">
        <f>PSPOINTS[[#This Row],[PayScaleCode]]&amp;PSPOINTS[[#This Row],[PayScalePointCode]]&amp;PSPOINTS[[#This Row],[RateDateFrom]]</f>
        <v>NJC_OUT1445748</v>
      </c>
      <c r="D445" s="57">
        <f>COUNTIF(PSPOINTS[Pay Scale String Duplicates],PSPOINTS[[#This Row],[Pay Scale String Duplicates]])-1</f>
        <v>0</v>
      </c>
      <c r="E445" s="57">
        <f>IF((MONTH(_xlfn.XLOOKUP(PSPOINTS[[#This Row],[PayScaleCode]],'19_PayScales'!N:N,'19_PayScales'!R:R)))=MONTH(PSPOINTS[[#This Row],[RateDateFrom]]),0,1)</f>
        <v>0</v>
      </c>
      <c r="F445" s="57">
        <f>IF(ISBLANK(PSPOINTS[[#This Row],[RateDateTo]]),0,IF(PSPOINTS[[#This Row],[RateDateFrom]]&lt;PSPOINTS[[#This Row],[RateDateTo]],0,1))</f>
        <v>0</v>
      </c>
      <c r="G445" s="57" cm="1">
        <f t="array" aca="1" ref="G445" ca="1">IF(CELL("format",PSPOINTS[[#This Row],[RateDateFrom]])="D1",0,1)+IF(CELL("format",PSPOINTS[[#This Row],[RateDateTo]])="D1",0,1)</f>
        <v>0</v>
      </c>
      <c r="H445" s="57">
        <f>IF(OR(PSPOINTS[[#This Row],[Hourly]]=TRUE,PSPOINTS[[#This Row],[Hourly]]=FALSE),IF(OR(PSPOINTS[[#This Row],[PayScalePointEnabled]]=TRUE,PSPOINTS[[#This Row],[PayScalePointEnabled]]=FALSE),0,1),1)</f>
        <v>0</v>
      </c>
      <c r="I445" s="57">
        <f>IF(LEN(PSPOINTS[[#This Row],[PayScalePointCode]])&lt;100,0,1)</f>
        <v>0</v>
      </c>
      <c r="J445" s="57">
        <f>IF(LEN(PSPOINTS[[#This Row],[PayScalePointTitle]])&lt;100,0,1)</f>
        <v>0</v>
      </c>
      <c r="K445" s="57">
        <f>(COUNTBLANK(PSPOINTS[[#This Row],[PayScalePointCode]:[RateDateFrom]])+COUNTBLANK(PSPOINTS[[#This Row],[PayScaleRate]]))</f>
        <v>0</v>
      </c>
      <c r="L445" s="120">
        <f>IF(SUBSTITUTE(TEXT(PSPOINTS[[#This Row],[PayScaleCode]],10)," ","")=TEXT(PSPOINTS[[#This Row],[PayScaleCode]],10),0,1)+IF(SUBSTITUTE(TEXT(PSPOINTS[[#This Row],[PayScalePointCode]],10)," ","")=TEXT(PSPOINTS[[#This Row],[PayScalePointCode]],10),0,1)</f>
        <v>0</v>
      </c>
      <c r="M445" s="57">
        <f ca="1">SUM(PSPOINTS[[#This Row],[Scale Point Issue]:[Space in Code]])</f>
        <v>0</v>
      </c>
      <c r="N445" s="57" t="s">
        <v>1412</v>
      </c>
      <c r="P445" s="12" t="s">
        <v>1421</v>
      </c>
      <c r="Q445" s="57" t="str">
        <f>_xlfn.XLOOKUP(PSPOINTS[[#This Row],[PayScaleCode]],'19_PayScales'!N:N,'19_PayScales'!O:O)</f>
        <v>NJC Outer</v>
      </c>
      <c r="R445" s="12">
        <v>14</v>
      </c>
      <c r="S445" s="12">
        <v>14</v>
      </c>
      <c r="T445" s="12">
        <v>14</v>
      </c>
      <c r="U445" s="12" t="b">
        <v>0</v>
      </c>
      <c r="V445" s="15" t="b">
        <v>1</v>
      </c>
      <c r="W445" s="164">
        <v>45748</v>
      </c>
      <c r="X445" s="140"/>
      <c r="Y445" s="163">
        <v>33495</v>
      </c>
    </row>
    <row r="446" spans="1:25" hidden="1" x14ac:dyDescent="0.25">
      <c r="A446" s="158" t="str">
        <f>PSPOINTS[[#This Row],[PayScaleCode]]&amp;PSPOINTS[[#This Row],[RateDateFrom]]</f>
        <v>NJC_OUT45748</v>
      </c>
      <c r="B446" s="57">
        <f t="shared" si="6"/>
        <v>0</v>
      </c>
      <c r="C446" s="57" t="str">
        <f>PSPOINTS[[#This Row],[PayScaleCode]]&amp;PSPOINTS[[#This Row],[PayScalePointCode]]&amp;PSPOINTS[[#This Row],[RateDateFrom]]</f>
        <v>NJC_OUT1545748</v>
      </c>
      <c r="D446" s="57">
        <f>COUNTIF(PSPOINTS[Pay Scale String Duplicates],PSPOINTS[[#This Row],[Pay Scale String Duplicates]])-1</f>
        <v>0</v>
      </c>
      <c r="E446" s="57">
        <f>IF((MONTH(_xlfn.XLOOKUP(PSPOINTS[[#This Row],[PayScaleCode]],'19_PayScales'!N:N,'19_PayScales'!R:R)))=MONTH(PSPOINTS[[#This Row],[RateDateFrom]]),0,1)</f>
        <v>0</v>
      </c>
      <c r="F446" s="57">
        <f>IF(ISBLANK(PSPOINTS[[#This Row],[RateDateTo]]),0,IF(PSPOINTS[[#This Row],[RateDateFrom]]&lt;PSPOINTS[[#This Row],[RateDateTo]],0,1))</f>
        <v>0</v>
      </c>
      <c r="G446" s="57" cm="1">
        <f t="array" aca="1" ref="G446" ca="1">IF(CELL("format",PSPOINTS[[#This Row],[RateDateFrom]])="D1",0,1)+IF(CELL("format",PSPOINTS[[#This Row],[RateDateTo]])="D1",0,1)</f>
        <v>0</v>
      </c>
      <c r="H446" s="57">
        <f>IF(OR(PSPOINTS[[#This Row],[Hourly]]=TRUE,PSPOINTS[[#This Row],[Hourly]]=FALSE),IF(OR(PSPOINTS[[#This Row],[PayScalePointEnabled]]=TRUE,PSPOINTS[[#This Row],[PayScalePointEnabled]]=FALSE),0,1),1)</f>
        <v>0</v>
      </c>
      <c r="I446" s="57">
        <f>IF(LEN(PSPOINTS[[#This Row],[PayScalePointCode]])&lt;100,0,1)</f>
        <v>0</v>
      </c>
      <c r="J446" s="57">
        <f>IF(LEN(PSPOINTS[[#This Row],[PayScalePointTitle]])&lt;100,0,1)</f>
        <v>0</v>
      </c>
      <c r="K446" s="57">
        <f>(COUNTBLANK(PSPOINTS[[#This Row],[PayScalePointCode]:[RateDateFrom]])+COUNTBLANK(PSPOINTS[[#This Row],[PayScaleRate]]))</f>
        <v>0</v>
      </c>
      <c r="L446" s="120">
        <f>IF(SUBSTITUTE(TEXT(PSPOINTS[[#This Row],[PayScaleCode]],10)," ","")=TEXT(PSPOINTS[[#This Row],[PayScaleCode]],10),0,1)+IF(SUBSTITUTE(TEXT(PSPOINTS[[#This Row],[PayScalePointCode]],10)," ","")=TEXT(PSPOINTS[[#This Row],[PayScalePointCode]],10),0,1)</f>
        <v>0</v>
      </c>
      <c r="M446" s="57">
        <f ca="1">SUM(PSPOINTS[[#This Row],[Scale Point Issue]:[Space in Code]])</f>
        <v>0</v>
      </c>
      <c r="N446" s="57" t="s">
        <v>1412</v>
      </c>
      <c r="P446" s="12" t="s">
        <v>1421</v>
      </c>
      <c r="Q446" s="57" t="str">
        <f>_xlfn.XLOOKUP(PSPOINTS[[#This Row],[PayScaleCode]],'19_PayScales'!N:N,'19_PayScales'!O:O)</f>
        <v>NJC Outer</v>
      </c>
      <c r="R446" s="12">
        <v>15</v>
      </c>
      <c r="S446" s="12">
        <v>15</v>
      </c>
      <c r="T446" s="12">
        <v>15</v>
      </c>
      <c r="U446" s="12" t="b">
        <v>0</v>
      </c>
      <c r="V446" s="15" t="b">
        <v>1</v>
      </c>
      <c r="W446" s="164">
        <v>45748</v>
      </c>
      <c r="X446" s="140"/>
      <c r="Y446" s="163">
        <v>33987</v>
      </c>
    </row>
    <row r="447" spans="1:25" hidden="1" x14ac:dyDescent="0.25">
      <c r="A447" s="158" t="str">
        <f>PSPOINTS[[#This Row],[PayScaleCode]]&amp;PSPOINTS[[#This Row],[RateDateFrom]]</f>
        <v>NJC_OUT45748</v>
      </c>
      <c r="B447" s="57">
        <f t="shared" si="6"/>
        <v>0</v>
      </c>
      <c r="C447" s="57" t="str">
        <f>PSPOINTS[[#This Row],[PayScaleCode]]&amp;PSPOINTS[[#This Row],[PayScalePointCode]]&amp;PSPOINTS[[#This Row],[RateDateFrom]]</f>
        <v>NJC_OUT1645748</v>
      </c>
      <c r="D447" s="57">
        <f>COUNTIF(PSPOINTS[Pay Scale String Duplicates],PSPOINTS[[#This Row],[Pay Scale String Duplicates]])-1</f>
        <v>0</v>
      </c>
      <c r="E447" s="57">
        <f>IF((MONTH(_xlfn.XLOOKUP(PSPOINTS[[#This Row],[PayScaleCode]],'19_PayScales'!N:N,'19_PayScales'!R:R)))=MONTH(PSPOINTS[[#This Row],[RateDateFrom]]),0,1)</f>
        <v>0</v>
      </c>
      <c r="F447" s="57">
        <f>IF(ISBLANK(PSPOINTS[[#This Row],[RateDateTo]]),0,IF(PSPOINTS[[#This Row],[RateDateFrom]]&lt;PSPOINTS[[#This Row],[RateDateTo]],0,1))</f>
        <v>0</v>
      </c>
      <c r="G447" s="57" cm="1">
        <f t="array" aca="1" ref="G447" ca="1">IF(CELL("format",PSPOINTS[[#This Row],[RateDateFrom]])="D1",0,1)+IF(CELL("format",PSPOINTS[[#This Row],[RateDateTo]])="D1",0,1)</f>
        <v>0</v>
      </c>
      <c r="H447" s="57">
        <f>IF(OR(PSPOINTS[[#This Row],[Hourly]]=TRUE,PSPOINTS[[#This Row],[Hourly]]=FALSE),IF(OR(PSPOINTS[[#This Row],[PayScalePointEnabled]]=TRUE,PSPOINTS[[#This Row],[PayScalePointEnabled]]=FALSE),0,1),1)</f>
        <v>0</v>
      </c>
      <c r="I447" s="57">
        <f>IF(LEN(PSPOINTS[[#This Row],[PayScalePointCode]])&lt;100,0,1)</f>
        <v>0</v>
      </c>
      <c r="J447" s="57">
        <f>IF(LEN(PSPOINTS[[#This Row],[PayScalePointTitle]])&lt;100,0,1)</f>
        <v>0</v>
      </c>
      <c r="K447" s="57">
        <f>(COUNTBLANK(PSPOINTS[[#This Row],[PayScalePointCode]:[RateDateFrom]])+COUNTBLANK(PSPOINTS[[#This Row],[PayScaleRate]]))</f>
        <v>0</v>
      </c>
      <c r="L447" s="120">
        <f>IF(SUBSTITUTE(TEXT(PSPOINTS[[#This Row],[PayScaleCode]],10)," ","")=TEXT(PSPOINTS[[#This Row],[PayScaleCode]],10),0,1)+IF(SUBSTITUTE(TEXT(PSPOINTS[[#This Row],[PayScalePointCode]],10)," ","")=TEXT(PSPOINTS[[#This Row],[PayScalePointCode]],10),0,1)</f>
        <v>0</v>
      </c>
      <c r="M447" s="57">
        <f ca="1">SUM(PSPOINTS[[#This Row],[Scale Point Issue]:[Space in Code]])</f>
        <v>0</v>
      </c>
      <c r="N447" s="57" t="s">
        <v>1412</v>
      </c>
      <c r="P447" s="12" t="s">
        <v>1421</v>
      </c>
      <c r="Q447" s="57" t="str">
        <f>_xlfn.XLOOKUP(PSPOINTS[[#This Row],[PayScaleCode]],'19_PayScales'!N:N,'19_PayScales'!O:O)</f>
        <v>NJC Outer</v>
      </c>
      <c r="R447" s="12">
        <v>16</v>
      </c>
      <c r="S447" s="12">
        <v>16</v>
      </c>
      <c r="T447" s="12">
        <v>16</v>
      </c>
      <c r="U447" s="12" t="b">
        <v>0</v>
      </c>
      <c r="V447" s="15" t="b">
        <v>1</v>
      </c>
      <c r="W447" s="164">
        <v>45748</v>
      </c>
      <c r="X447" s="140"/>
      <c r="Y447" s="163">
        <v>34488</v>
      </c>
    </row>
    <row r="448" spans="1:25" hidden="1" x14ac:dyDescent="0.25">
      <c r="A448" s="158" t="str">
        <f>PSPOINTS[[#This Row],[PayScaleCode]]&amp;PSPOINTS[[#This Row],[RateDateFrom]]</f>
        <v>NJC_OUT45748</v>
      </c>
      <c r="B448" s="57">
        <f t="shared" si="6"/>
        <v>0</v>
      </c>
      <c r="C448" s="57" t="str">
        <f>PSPOINTS[[#This Row],[PayScaleCode]]&amp;PSPOINTS[[#This Row],[PayScalePointCode]]&amp;PSPOINTS[[#This Row],[RateDateFrom]]</f>
        <v>NJC_OUT1745748</v>
      </c>
      <c r="D448" s="57">
        <f>COUNTIF(PSPOINTS[Pay Scale String Duplicates],PSPOINTS[[#This Row],[Pay Scale String Duplicates]])-1</f>
        <v>0</v>
      </c>
      <c r="E448" s="57">
        <f>IF((MONTH(_xlfn.XLOOKUP(PSPOINTS[[#This Row],[PayScaleCode]],'19_PayScales'!N:N,'19_PayScales'!R:R)))=MONTH(PSPOINTS[[#This Row],[RateDateFrom]]),0,1)</f>
        <v>0</v>
      </c>
      <c r="F448" s="57">
        <f>IF(ISBLANK(PSPOINTS[[#This Row],[RateDateTo]]),0,IF(PSPOINTS[[#This Row],[RateDateFrom]]&lt;PSPOINTS[[#This Row],[RateDateTo]],0,1))</f>
        <v>0</v>
      </c>
      <c r="G448" s="57" cm="1">
        <f t="array" aca="1" ref="G448" ca="1">IF(CELL("format",PSPOINTS[[#This Row],[RateDateFrom]])="D1",0,1)+IF(CELL("format",PSPOINTS[[#This Row],[RateDateTo]])="D1",0,1)</f>
        <v>0</v>
      </c>
      <c r="H448" s="57">
        <f>IF(OR(PSPOINTS[[#This Row],[Hourly]]=TRUE,PSPOINTS[[#This Row],[Hourly]]=FALSE),IF(OR(PSPOINTS[[#This Row],[PayScalePointEnabled]]=TRUE,PSPOINTS[[#This Row],[PayScalePointEnabled]]=FALSE),0,1),1)</f>
        <v>0</v>
      </c>
      <c r="I448" s="57">
        <f>IF(LEN(PSPOINTS[[#This Row],[PayScalePointCode]])&lt;100,0,1)</f>
        <v>0</v>
      </c>
      <c r="J448" s="57">
        <f>IF(LEN(PSPOINTS[[#This Row],[PayScalePointTitle]])&lt;100,0,1)</f>
        <v>0</v>
      </c>
      <c r="K448" s="57">
        <f>(COUNTBLANK(PSPOINTS[[#This Row],[PayScalePointCode]:[RateDateFrom]])+COUNTBLANK(PSPOINTS[[#This Row],[PayScaleRate]]))</f>
        <v>0</v>
      </c>
      <c r="L448" s="120">
        <f>IF(SUBSTITUTE(TEXT(PSPOINTS[[#This Row],[PayScaleCode]],10)," ","")=TEXT(PSPOINTS[[#This Row],[PayScaleCode]],10),0,1)+IF(SUBSTITUTE(TEXT(PSPOINTS[[#This Row],[PayScalePointCode]],10)," ","")=TEXT(PSPOINTS[[#This Row],[PayScalePointCode]],10),0,1)</f>
        <v>0</v>
      </c>
      <c r="M448" s="57">
        <f ca="1">SUM(PSPOINTS[[#This Row],[Scale Point Issue]:[Space in Code]])</f>
        <v>0</v>
      </c>
      <c r="N448" s="57" t="s">
        <v>1412</v>
      </c>
      <c r="P448" s="12" t="s">
        <v>1421</v>
      </c>
      <c r="Q448" s="57" t="str">
        <f>_xlfn.XLOOKUP(PSPOINTS[[#This Row],[PayScaleCode]],'19_PayScales'!N:N,'19_PayScales'!O:O)</f>
        <v>NJC Outer</v>
      </c>
      <c r="R448" s="12">
        <v>17</v>
      </c>
      <c r="S448" s="12">
        <v>17</v>
      </c>
      <c r="T448" s="12">
        <v>17</v>
      </c>
      <c r="U448" s="12" t="b">
        <v>0</v>
      </c>
      <c r="V448" s="15" t="b">
        <v>1</v>
      </c>
      <c r="W448" s="164">
        <v>45748</v>
      </c>
      <c r="X448" s="140"/>
      <c r="Y448" s="163">
        <v>34998</v>
      </c>
    </row>
    <row r="449" spans="1:25" hidden="1" x14ac:dyDescent="0.25">
      <c r="A449" s="158" t="str">
        <f>PSPOINTS[[#This Row],[PayScaleCode]]&amp;PSPOINTS[[#This Row],[RateDateFrom]]</f>
        <v>NJC_OUT45748</v>
      </c>
      <c r="B449" s="57">
        <f t="shared" si="6"/>
        <v>0</v>
      </c>
      <c r="C449" s="57" t="str">
        <f>PSPOINTS[[#This Row],[PayScaleCode]]&amp;PSPOINTS[[#This Row],[PayScalePointCode]]&amp;PSPOINTS[[#This Row],[RateDateFrom]]</f>
        <v>NJC_OUT1845748</v>
      </c>
      <c r="D449" s="57">
        <f>COUNTIF(PSPOINTS[Pay Scale String Duplicates],PSPOINTS[[#This Row],[Pay Scale String Duplicates]])-1</f>
        <v>0</v>
      </c>
      <c r="E449" s="57">
        <f>IF((MONTH(_xlfn.XLOOKUP(PSPOINTS[[#This Row],[PayScaleCode]],'19_PayScales'!N:N,'19_PayScales'!R:R)))=MONTH(PSPOINTS[[#This Row],[RateDateFrom]]),0,1)</f>
        <v>0</v>
      </c>
      <c r="F449" s="57">
        <f>IF(ISBLANK(PSPOINTS[[#This Row],[RateDateTo]]),0,IF(PSPOINTS[[#This Row],[RateDateFrom]]&lt;PSPOINTS[[#This Row],[RateDateTo]],0,1))</f>
        <v>0</v>
      </c>
      <c r="G449" s="57" cm="1">
        <f t="array" aca="1" ref="G449" ca="1">IF(CELL("format",PSPOINTS[[#This Row],[RateDateFrom]])="D1",0,1)+IF(CELL("format",PSPOINTS[[#This Row],[RateDateTo]])="D1",0,1)</f>
        <v>0</v>
      </c>
      <c r="H449" s="57">
        <f>IF(OR(PSPOINTS[[#This Row],[Hourly]]=TRUE,PSPOINTS[[#This Row],[Hourly]]=FALSE),IF(OR(PSPOINTS[[#This Row],[PayScalePointEnabled]]=TRUE,PSPOINTS[[#This Row],[PayScalePointEnabled]]=FALSE),0,1),1)</f>
        <v>0</v>
      </c>
      <c r="I449" s="57">
        <f>IF(LEN(PSPOINTS[[#This Row],[PayScalePointCode]])&lt;100,0,1)</f>
        <v>0</v>
      </c>
      <c r="J449" s="57">
        <f>IF(LEN(PSPOINTS[[#This Row],[PayScalePointTitle]])&lt;100,0,1)</f>
        <v>0</v>
      </c>
      <c r="K449" s="57">
        <f>(COUNTBLANK(PSPOINTS[[#This Row],[PayScalePointCode]:[RateDateFrom]])+COUNTBLANK(PSPOINTS[[#This Row],[PayScaleRate]]))</f>
        <v>0</v>
      </c>
      <c r="L449" s="120">
        <f>IF(SUBSTITUTE(TEXT(PSPOINTS[[#This Row],[PayScaleCode]],10)," ","")=TEXT(PSPOINTS[[#This Row],[PayScaleCode]],10),0,1)+IF(SUBSTITUTE(TEXT(PSPOINTS[[#This Row],[PayScalePointCode]],10)," ","")=TEXT(PSPOINTS[[#This Row],[PayScalePointCode]],10),0,1)</f>
        <v>0</v>
      </c>
      <c r="M449" s="57">
        <f ca="1">SUM(PSPOINTS[[#This Row],[Scale Point Issue]:[Space in Code]])</f>
        <v>0</v>
      </c>
      <c r="N449" s="57" t="s">
        <v>1412</v>
      </c>
      <c r="P449" s="12" t="s">
        <v>1421</v>
      </c>
      <c r="Q449" s="57" t="str">
        <f>_xlfn.XLOOKUP(PSPOINTS[[#This Row],[PayScaleCode]],'19_PayScales'!N:N,'19_PayScales'!O:O)</f>
        <v>NJC Outer</v>
      </c>
      <c r="R449" s="12">
        <v>18</v>
      </c>
      <c r="S449" s="12">
        <v>18</v>
      </c>
      <c r="T449" s="12">
        <v>18</v>
      </c>
      <c r="U449" s="12" t="b">
        <v>0</v>
      </c>
      <c r="V449" s="15" t="b">
        <v>1</v>
      </c>
      <c r="W449" s="164">
        <v>45748</v>
      </c>
      <c r="X449" s="140"/>
      <c r="Y449" s="163">
        <v>35520</v>
      </c>
    </row>
    <row r="450" spans="1:25" hidden="1" x14ac:dyDescent="0.25">
      <c r="A450" s="158" t="str">
        <f>PSPOINTS[[#This Row],[PayScaleCode]]&amp;PSPOINTS[[#This Row],[RateDateFrom]]</f>
        <v>NJC_OUT45748</v>
      </c>
      <c r="B450" s="57">
        <f t="shared" si="6"/>
        <v>0</v>
      </c>
      <c r="C450" s="57" t="str">
        <f>PSPOINTS[[#This Row],[PayScaleCode]]&amp;PSPOINTS[[#This Row],[PayScalePointCode]]&amp;PSPOINTS[[#This Row],[RateDateFrom]]</f>
        <v>NJC_OUT1945748</v>
      </c>
      <c r="D450" s="57">
        <f>COUNTIF(PSPOINTS[Pay Scale String Duplicates],PSPOINTS[[#This Row],[Pay Scale String Duplicates]])-1</f>
        <v>0</v>
      </c>
      <c r="E450" s="57">
        <f>IF((MONTH(_xlfn.XLOOKUP(PSPOINTS[[#This Row],[PayScaleCode]],'19_PayScales'!N:N,'19_PayScales'!R:R)))=MONTH(PSPOINTS[[#This Row],[RateDateFrom]]),0,1)</f>
        <v>0</v>
      </c>
      <c r="F450" s="57">
        <f>IF(ISBLANK(PSPOINTS[[#This Row],[RateDateTo]]),0,IF(PSPOINTS[[#This Row],[RateDateFrom]]&lt;PSPOINTS[[#This Row],[RateDateTo]],0,1))</f>
        <v>0</v>
      </c>
      <c r="G450" s="57" cm="1">
        <f t="array" aca="1" ref="G450" ca="1">IF(CELL("format",PSPOINTS[[#This Row],[RateDateFrom]])="D1",0,1)+IF(CELL("format",PSPOINTS[[#This Row],[RateDateTo]])="D1",0,1)</f>
        <v>0</v>
      </c>
      <c r="H450" s="57">
        <f>IF(OR(PSPOINTS[[#This Row],[Hourly]]=TRUE,PSPOINTS[[#This Row],[Hourly]]=FALSE),IF(OR(PSPOINTS[[#This Row],[PayScalePointEnabled]]=TRUE,PSPOINTS[[#This Row],[PayScalePointEnabled]]=FALSE),0,1),1)</f>
        <v>0</v>
      </c>
      <c r="I450" s="57">
        <f>IF(LEN(PSPOINTS[[#This Row],[PayScalePointCode]])&lt;100,0,1)</f>
        <v>0</v>
      </c>
      <c r="J450" s="57">
        <f>IF(LEN(PSPOINTS[[#This Row],[PayScalePointTitle]])&lt;100,0,1)</f>
        <v>0</v>
      </c>
      <c r="K450" s="57">
        <f>(COUNTBLANK(PSPOINTS[[#This Row],[PayScalePointCode]:[RateDateFrom]])+COUNTBLANK(PSPOINTS[[#This Row],[PayScaleRate]]))</f>
        <v>0</v>
      </c>
      <c r="L450" s="120">
        <f>IF(SUBSTITUTE(TEXT(PSPOINTS[[#This Row],[PayScaleCode]],10)," ","")=TEXT(PSPOINTS[[#This Row],[PayScaleCode]],10),0,1)+IF(SUBSTITUTE(TEXT(PSPOINTS[[#This Row],[PayScalePointCode]],10)," ","")=TEXT(PSPOINTS[[#This Row],[PayScalePointCode]],10),0,1)</f>
        <v>0</v>
      </c>
      <c r="M450" s="57">
        <f ca="1">SUM(PSPOINTS[[#This Row],[Scale Point Issue]:[Space in Code]])</f>
        <v>0</v>
      </c>
      <c r="N450" s="57" t="s">
        <v>1412</v>
      </c>
      <c r="P450" s="12" t="s">
        <v>1421</v>
      </c>
      <c r="Q450" s="57" t="str">
        <f>_xlfn.XLOOKUP(PSPOINTS[[#This Row],[PayScaleCode]],'19_PayScales'!N:N,'19_PayScales'!O:O)</f>
        <v>NJC Outer</v>
      </c>
      <c r="R450" s="12">
        <v>19</v>
      </c>
      <c r="S450" s="12">
        <v>19</v>
      </c>
      <c r="T450" s="12">
        <v>19</v>
      </c>
      <c r="U450" s="12" t="b">
        <v>0</v>
      </c>
      <c r="V450" s="15" t="b">
        <v>1</v>
      </c>
      <c r="W450" s="164">
        <v>45748</v>
      </c>
      <c r="X450" s="140"/>
      <c r="Y450" s="163">
        <v>36048</v>
      </c>
    </row>
    <row r="451" spans="1:25" hidden="1" x14ac:dyDescent="0.25">
      <c r="A451" s="158" t="str">
        <f>PSPOINTS[[#This Row],[PayScaleCode]]&amp;PSPOINTS[[#This Row],[RateDateFrom]]</f>
        <v>NJC_OUT45748</v>
      </c>
      <c r="B451" s="57">
        <f t="shared" si="6"/>
        <v>0</v>
      </c>
      <c r="C451" s="57" t="str">
        <f>PSPOINTS[[#This Row],[PayScaleCode]]&amp;PSPOINTS[[#This Row],[PayScalePointCode]]&amp;PSPOINTS[[#This Row],[RateDateFrom]]</f>
        <v>NJC_OUT2045748</v>
      </c>
      <c r="D451" s="57">
        <f>COUNTIF(PSPOINTS[Pay Scale String Duplicates],PSPOINTS[[#This Row],[Pay Scale String Duplicates]])-1</f>
        <v>0</v>
      </c>
      <c r="E451" s="57">
        <f>IF((MONTH(_xlfn.XLOOKUP(PSPOINTS[[#This Row],[PayScaleCode]],'19_PayScales'!N:N,'19_PayScales'!R:R)))=MONTH(PSPOINTS[[#This Row],[RateDateFrom]]),0,1)</f>
        <v>0</v>
      </c>
      <c r="F451" s="57">
        <f>IF(ISBLANK(PSPOINTS[[#This Row],[RateDateTo]]),0,IF(PSPOINTS[[#This Row],[RateDateFrom]]&lt;PSPOINTS[[#This Row],[RateDateTo]],0,1))</f>
        <v>0</v>
      </c>
      <c r="G451" s="57" cm="1">
        <f t="array" aca="1" ref="G451" ca="1">IF(CELL("format",PSPOINTS[[#This Row],[RateDateFrom]])="D1",0,1)+IF(CELL("format",PSPOINTS[[#This Row],[RateDateTo]])="D1",0,1)</f>
        <v>0</v>
      </c>
      <c r="H451" s="57">
        <f>IF(OR(PSPOINTS[[#This Row],[Hourly]]=TRUE,PSPOINTS[[#This Row],[Hourly]]=FALSE),IF(OR(PSPOINTS[[#This Row],[PayScalePointEnabled]]=TRUE,PSPOINTS[[#This Row],[PayScalePointEnabled]]=FALSE),0,1),1)</f>
        <v>0</v>
      </c>
      <c r="I451" s="57">
        <f>IF(LEN(PSPOINTS[[#This Row],[PayScalePointCode]])&lt;100,0,1)</f>
        <v>0</v>
      </c>
      <c r="J451" s="57">
        <f>IF(LEN(PSPOINTS[[#This Row],[PayScalePointTitle]])&lt;100,0,1)</f>
        <v>0</v>
      </c>
      <c r="K451" s="57">
        <f>(COUNTBLANK(PSPOINTS[[#This Row],[PayScalePointCode]:[RateDateFrom]])+COUNTBLANK(PSPOINTS[[#This Row],[PayScaleRate]]))</f>
        <v>0</v>
      </c>
      <c r="L451" s="120">
        <f>IF(SUBSTITUTE(TEXT(PSPOINTS[[#This Row],[PayScaleCode]],10)," ","")=TEXT(PSPOINTS[[#This Row],[PayScaleCode]],10),0,1)+IF(SUBSTITUTE(TEXT(PSPOINTS[[#This Row],[PayScalePointCode]],10)," ","")=TEXT(PSPOINTS[[#This Row],[PayScalePointCode]],10),0,1)</f>
        <v>0</v>
      </c>
      <c r="M451" s="57">
        <f ca="1">SUM(PSPOINTS[[#This Row],[Scale Point Issue]:[Space in Code]])</f>
        <v>0</v>
      </c>
      <c r="N451" s="57" t="s">
        <v>1412</v>
      </c>
      <c r="P451" s="12" t="s">
        <v>1421</v>
      </c>
      <c r="Q451" s="57" t="str">
        <f>_xlfn.XLOOKUP(PSPOINTS[[#This Row],[PayScaleCode]],'19_PayScales'!N:N,'19_PayScales'!O:O)</f>
        <v>NJC Outer</v>
      </c>
      <c r="R451" s="12">
        <v>20</v>
      </c>
      <c r="S451" s="12">
        <v>20</v>
      </c>
      <c r="T451" s="12">
        <v>20</v>
      </c>
      <c r="U451" s="12" t="b">
        <v>0</v>
      </c>
      <c r="V451" s="15" t="b">
        <v>1</v>
      </c>
      <c r="W451" s="164">
        <v>45748</v>
      </c>
      <c r="X451" s="140"/>
      <c r="Y451" s="163">
        <v>36585</v>
      </c>
    </row>
    <row r="452" spans="1:25" hidden="1" x14ac:dyDescent="0.25">
      <c r="A452" s="158" t="str">
        <f>PSPOINTS[[#This Row],[PayScaleCode]]&amp;PSPOINTS[[#This Row],[RateDateFrom]]</f>
        <v>NJC_OUT45748</v>
      </c>
      <c r="B452" s="57">
        <f t="shared" si="6"/>
        <v>0</v>
      </c>
      <c r="C452" s="57" t="str">
        <f>PSPOINTS[[#This Row],[PayScaleCode]]&amp;PSPOINTS[[#This Row],[PayScalePointCode]]&amp;PSPOINTS[[#This Row],[RateDateFrom]]</f>
        <v>NJC_OUT2145748</v>
      </c>
      <c r="D452" s="57">
        <f>COUNTIF(PSPOINTS[Pay Scale String Duplicates],PSPOINTS[[#This Row],[Pay Scale String Duplicates]])-1</f>
        <v>0</v>
      </c>
      <c r="E452" s="57">
        <f>IF((MONTH(_xlfn.XLOOKUP(PSPOINTS[[#This Row],[PayScaleCode]],'19_PayScales'!N:N,'19_PayScales'!R:R)))=MONTH(PSPOINTS[[#This Row],[RateDateFrom]]),0,1)</f>
        <v>0</v>
      </c>
      <c r="F452" s="57">
        <f>IF(ISBLANK(PSPOINTS[[#This Row],[RateDateTo]]),0,IF(PSPOINTS[[#This Row],[RateDateFrom]]&lt;PSPOINTS[[#This Row],[RateDateTo]],0,1))</f>
        <v>0</v>
      </c>
      <c r="G452" s="57" cm="1">
        <f t="array" aca="1" ref="G452" ca="1">IF(CELL("format",PSPOINTS[[#This Row],[RateDateFrom]])="D1",0,1)+IF(CELL("format",PSPOINTS[[#This Row],[RateDateTo]])="D1",0,1)</f>
        <v>0</v>
      </c>
      <c r="H452" s="57">
        <f>IF(OR(PSPOINTS[[#This Row],[Hourly]]=TRUE,PSPOINTS[[#This Row],[Hourly]]=FALSE),IF(OR(PSPOINTS[[#This Row],[PayScalePointEnabled]]=TRUE,PSPOINTS[[#This Row],[PayScalePointEnabled]]=FALSE),0,1),1)</f>
        <v>0</v>
      </c>
      <c r="I452" s="57">
        <f>IF(LEN(PSPOINTS[[#This Row],[PayScalePointCode]])&lt;100,0,1)</f>
        <v>0</v>
      </c>
      <c r="J452" s="57">
        <f>IF(LEN(PSPOINTS[[#This Row],[PayScalePointTitle]])&lt;100,0,1)</f>
        <v>0</v>
      </c>
      <c r="K452" s="57">
        <f>(COUNTBLANK(PSPOINTS[[#This Row],[PayScalePointCode]:[RateDateFrom]])+COUNTBLANK(PSPOINTS[[#This Row],[PayScaleRate]]))</f>
        <v>0</v>
      </c>
      <c r="L452" s="120">
        <f>IF(SUBSTITUTE(TEXT(PSPOINTS[[#This Row],[PayScaleCode]],10)," ","")=TEXT(PSPOINTS[[#This Row],[PayScaleCode]],10),0,1)+IF(SUBSTITUTE(TEXT(PSPOINTS[[#This Row],[PayScalePointCode]],10)," ","")=TEXT(PSPOINTS[[#This Row],[PayScalePointCode]],10),0,1)</f>
        <v>0</v>
      </c>
      <c r="M452" s="57">
        <f ca="1">SUM(PSPOINTS[[#This Row],[Scale Point Issue]:[Space in Code]])</f>
        <v>0</v>
      </c>
      <c r="N452" s="57" t="s">
        <v>1412</v>
      </c>
      <c r="P452" s="12" t="s">
        <v>1421</v>
      </c>
      <c r="Q452" s="57" t="str">
        <f>_xlfn.XLOOKUP(PSPOINTS[[#This Row],[PayScaleCode]],'19_PayScales'!N:N,'19_PayScales'!O:O)</f>
        <v>NJC Outer</v>
      </c>
      <c r="R452" s="12">
        <v>21</v>
      </c>
      <c r="S452" s="12">
        <v>21</v>
      </c>
      <c r="T452" s="12">
        <v>21</v>
      </c>
      <c r="U452" s="12" t="b">
        <v>0</v>
      </c>
      <c r="V452" s="15" t="b">
        <v>1</v>
      </c>
      <c r="W452" s="164">
        <v>45748</v>
      </c>
      <c r="X452" s="140"/>
      <c r="Y452" s="163">
        <v>37134</v>
      </c>
    </row>
    <row r="453" spans="1:25" hidden="1" x14ac:dyDescent="0.25">
      <c r="A453" s="158" t="str">
        <f>PSPOINTS[[#This Row],[PayScaleCode]]&amp;PSPOINTS[[#This Row],[RateDateFrom]]</f>
        <v>NJC_OUT45748</v>
      </c>
      <c r="B453" s="57">
        <f t="shared" si="6"/>
        <v>0</v>
      </c>
      <c r="C453" s="57" t="str">
        <f>PSPOINTS[[#This Row],[PayScaleCode]]&amp;PSPOINTS[[#This Row],[PayScalePointCode]]&amp;PSPOINTS[[#This Row],[RateDateFrom]]</f>
        <v>NJC_OUT2245748</v>
      </c>
      <c r="D453" s="57">
        <f>COUNTIF(PSPOINTS[Pay Scale String Duplicates],PSPOINTS[[#This Row],[Pay Scale String Duplicates]])-1</f>
        <v>0</v>
      </c>
      <c r="E453" s="57">
        <f>IF((MONTH(_xlfn.XLOOKUP(PSPOINTS[[#This Row],[PayScaleCode]],'19_PayScales'!N:N,'19_PayScales'!R:R)))=MONTH(PSPOINTS[[#This Row],[RateDateFrom]]),0,1)</f>
        <v>0</v>
      </c>
      <c r="F453" s="57">
        <f>IF(ISBLANK(PSPOINTS[[#This Row],[RateDateTo]]),0,IF(PSPOINTS[[#This Row],[RateDateFrom]]&lt;PSPOINTS[[#This Row],[RateDateTo]],0,1))</f>
        <v>0</v>
      </c>
      <c r="G453" s="57" cm="1">
        <f t="array" aca="1" ref="G453" ca="1">IF(CELL("format",PSPOINTS[[#This Row],[RateDateFrom]])="D1",0,1)+IF(CELL("format",PSPOINTS[[#This Row],[RateDateTo]])="D1",0,1)</f>
        <v>0</v>
      </c>
      <c r="H453" s="57">
        <f>IF(OR(PSPOINTS[[#This Row],[Hourly]]=TRUE,PSPOINTS[[#This Row],[Hourly]]=FALSE),IF(OR(PSPOINTS[[#This Row],[PayScalePointEnabled]]=TRUE,PSPOINTS[[#This Row],[PayScalePointEnabled]]=FALSE),0,1),1)</f>
        <v>0</v>
      </c>
      <c r="I453" s="57">
        <f>IF(LEN(PSPOINTS[[#This Row],[PayScalePointCode]])&lt;100,0,1)</f>
        <v>0</v>
      </c>
      <c r="J453" s="57">
        <f>IF(LEN(PSPOINTS[[#This Row],[PayScalePointTitle]])&lt;100,0,1)</f>
        <v>0</v>
      </c>
      <c r="K453" s="57">
        <f>(COUNTBLANK(PSPOINTS[[#This Row],[PayScalePointCode]:[RateDateFrom]])+COUNTBLANK(PSPOINTS[[#This Row],[PayScaleRate]]))</f>
        <v>0</v>
      </c>
      <c r="L453" s="120">
        <f>IF(SUBSTITUTE(TEXT(PSPOINTS[[#This Row],[PayScaleCode]],10)," ","")=TEXT(PSPOINTS[[#This Row],[PayScaleCode]],10),0,1)+IF(SUBSTITUTE(TEXT(PSPOINTS[[#This Row],[PayScalePointCode]],10)," ","")=TEXT(PSPOINTS[[#This Row],[PayScalePointCode]],10),0,1)</f>
        <v>0</v>
      </c>
      <c r="M453" s="57">
        <f ca="1">SUM(PSPOINTS[[#This Row],[Scale Point Issue]:[Space in Code]])</f>
        <v>0</v>
      </c>
      <c r="N453" s="57" t="s">
        <v>1412</v>
      </c>
      <c r="P453" s="12" t="s">
        <v>1421</v>
      </c>
      <c r="Q453" s="57" t="str">
        <f>_xlfn.XLOOKUP(PSPOINTS[[#This Row],[PayScaleCode]],'19_PayScales'!N:N,'19_PayScales'!O:O)</f>
        <v>NJC Outer</v>
      </c>
      <c r="R453" s="12">
        <v>22</v>
      </c>
      <c r="S453" s="12">
        <v>22</v>
      </c>
      <c r="T453" s="12">
        <v>22</v>
      </c>
      <c r="U453" s="12" t="b">
        <v>0</v>
      </c>
      <c r="V453" s="15" t="b">
        <v>1</v>
      </c>
      <c r="W453" s="164">
        <v>45748</v>
      </c>
      <c r="X453" s="140"/>
      <c r="Y453" s="163">
        <v>37692</v>
      </c>
    </row>
    <row r="454" spans="1:25" hidden="1" x14ac:dyDescent="0.25">
      <c r="A454" s="158" t="str">
        <f>PSPOINTS[[#This Row],[PayScaleCode]]&amp;PSPOINTS[[#This Row],[RateDateFrom]]</f>
        <v>NJC_OUT45748</v>
      </c>
      <c r="B454" s="57">
        <f t="shared" ref="B454:B496" si="7">IF(A454=A453,SUM(T454-T453)-1,T454-1)</f>
        <v>0</v>
      </c>
      <c r="C454" s="57" t="str">
        <f>PSPOINTS[[#This Row],[PayScaleCode]]&amp;PSPOINTS[[#This Row],[PayScalePointCode]]&amp;PSPOINTS[[#This Row],[RateDateFrom]]</f>
        <v>NJC_OUT2345748</v>
      </c>
      <c r="D454" s="57">
        <f>COUNTIF(PSPOINTS[Pay Scale String Duplicates],PSPOINTS[[#This Row],[Pay Scale String Duplicates]])-1</f>
        <v>0</v>
      </c>
      <c r="E454" s="57">
        <f>IF((MONTH(_xlfn.XLOOKUP(PSPOINTS[[#This Row],[PayScaleCode]],'19_PayScales'!N:N,'19_PayScales'!R:R)))=MONTH(PSPOINTS[[#This Row],[RateDateFrom]]),0,1)</f>
        <v>0</v>
      </c>
      <c r="F454" s="57">
        <f>IF(ISBLANK(PSPOINTS[[#This Row],[RateDateTo]]),0,IF(PSPOINTS[[#This Row],[RateDateFrom]]&lt;PSPOINTS[[#This Row],[RateDateTo]],0,1))</f>
        <v>0</v>
      </c>
      <c r="G454" s="57" cm="1">
        <f t="array" aca="1" ref="G454" ca="1">IF(CELL("format",PSPOINTS[[#This Row],[RateDateFrom]])="D1",0,1)+IF(CELL("format",PSPOINTS[[#This Row],[RateDateTo]])="D1",0,1)</f>
        <v>0</v>
      </c>
      <c r="H454" s="57">
        <f>IF(OR(PSPOINTS[[#This Row],[Hourly]]=TRUE,PSPOINTS[[#This Row],[Hourly]]=FALSE),IF(OR(PSPOINTS[[#This Row],[PayScalePointEnabled]]=TRUE,PSPOINTS[[#This Row],[PayScalePointEnabled]]=FALSE),0,1),1)</f>
        <v>0</v>
      </c>
      <c r="I454" s="57">
        <f>IF(LEN(PSPOINTS[[#This Row],[PayScalePointCode]])&lt;100,0,1)</f>
        <v>0</v>
      </c>
      <c r="J454" s="57">
        <f>IF(LEN(PSPOINTS[[#This Row],[PayScalePointTitle]])&lt;100,0,1)</f>
        <v>0</v>
      </c>
      <c r="K454" s="57">
        <f>(COUNTBLANK(PSPOINTS[[#This Row],[PayScalePointCode]:[RateDateFrom]])+COUNTBLANK(PSPOINTS[[#This Row],[PayScaleRate]]))</f>
        <v>0</v>
      </c>
      <c r="L454" s="120">
        <f>IF(SUBSTITUTE(TEXT(PSPOINTS[[#This Row],[PayScaleCode]],10)," ","")=TEXT(PSPOINTS[[#This Row],[PayScaleCode]],10),0,1)+IF(SUBSTITUTE(TEXT(PSPOINTS[[#This Row],[PayScalePointCode]],10)," ","")=TEXT(PSPOINTS[[#This Row],[PayScalePointCode]],10),0,1)</f>
        <v>0</v>
      </c>
      <c r="M454" s="57">
        <f ca="1">SUM(PSPOINTS[[#This Row],[Scale Point Issue]:[Space in Code]])</f>
        <v>0</v>
      </c>
      <c r="N454" s="57" t="s">
        <v>1412</v>
      </c>
      <c r="P454" s="12" t="s">
        <v>1421</v>
      </c>
      <c r="Q454" s="57" t="str">
        <f>_xlfn.XLOOKUP(PSPOINTS[[#This Row],[PayScaleCode]],'19_PayScales'!N:N,'19_PayScales'!O:O)</f>
        <v>NJC Outer</v>
      </c>
      <c r="R454" s="12">
        <v>23</v>
      </c>
      <c r="S454" s="12">
        <v>23</v>
      </c>
      <c r="T454" s="12">
        <v>23</v>
      </c>
      <c r="U454" s="12" t="b">
        <v>0</v>
      </c>
      <c r="V454" s="15" t="b">
        <v>1</v>
      </c>
      <c r="W454" s="164">
        <v>45748</v>
      </c>
      <c r="X454" s="140"/>
      <c r="Y454" s="163">
        <v>38256</v>
      </c>
    </row>
    <row r="455" spans="1:25" hidden="1" x14ac:dyDescent="0.25">
      <c r="A455" s="158" t="str">
        <f>PSPOINTS[[#This Row],[PayScaleCode]]&amp;PSPOINTS[[#This Row],[RateDateFrom]]</f>
        <v>NJC_OUT45748</v>
      </c>
      <c r="B455" s="57">
        <f t="shared" si="7"/>
        <v>0</v>
      </c>
      <c r="C455" s="57" t="str">
        <f>PSPOINTS[[#This Row],[PayScaleCode]]&amp;PSPOINTS[[#This Row],[PayScalePointCode]]&amp;PSPOINTS[[#This Row],[RateDateFrom]]</f>
        <v>NJC_OUT2445748</v>
      </c>
      <c r="D455" s="57">
        <f>COUNTIF(PSPOINTS[Pay Scale String Duplicates],PSPOINTS[[#This Row],[Pay Scale String Duplicates]])-1</f>
        <v>0</v>
      </c>
      <c r="E455" s="57">
        <f>IF((MONTH(_xlfn.XLOOKUP(PSPOINTS[[#This Row],[PayScaleCode]],'19_PayScales'!N:N,'19_PayScales'!R:R)))=MONTH(PSPOINTS[[#This Row],[RateDateFrom]]),0,1)</f>
        <v>0</v>
      </c>
      <c r="F455" s="57">
        <f>IF(ISBLANK(PSPOINTS[[#This Row],[RateDateTo]]),0,IF(PSPOINTS[[#This Row],[RateDateFrom]]&lt;PSPOINTS[[#This Row],[RateDateTo]],0,1))</f>
        <v>0</v>
      </c>
      <c r="G455" s="57" cm="1">
        <f t="array" aca="1" ref="G455" ca="1">IF(CELL("format",PSPOINTS[[#This Row],[RateDateFrom]])="D1",0,1)+IF(CELL("format",PSPOINTS[[#This Row],[RateDateTo]])="D1",0,1)</f>
        <v>0</v>
      </c>
      <c r="H455" s="57">
        <f>IF(OR(PSPOINTS[[#This Row],[Hourly]]=TRUE,PSPOINTS[[#This Row],[Hourly]]=FALSE),IF(OR(PSPOINTS[[#This Row],[PayScalePointEnabled]]=TRUE,PSPOINTS[[#This Row],[PayScalePointEnabled]]=FALSE),0,1),1)</f>
        <v>0</v>
      </c>
      <c r="I455" s="57">
        <f>IF(LEN(PSPOINTS[[#This Row],[PayScalePointCode]])&lt;100,0,1)</f>
        <v>0</v>
      </c>
      <c r="J455" s="57">
        <f>IF(LEN(PSPOINTS[[#This Row],[PayScalePointTitle]])&lt;100,0,1)</f>
        <v>0</v>
      </c>
      <c r="K455" s="57">
        <f>(COUNTBLANK(PSPOINTS[[#This Row],[PayScalePointCode]:[RateDateFrom]])+COUNTBLANK(PSPOINTS[[#This Row],[PayScaleRate]]))</f>
        <v>0</v>
      </c>
      <c r="L455" s="120">
        <f>IF(SUBSTITUTE(TEXT(PSPOINTS[[#This Row],[PayScaleCode]],10)," ","")=TEXT(PSPOINTS[[#This Row],[PayScaleCode]],10),0,1)+IF(SUBSTITUTE(TEXT(PSPOINTS[[#This Row],[PayScalePointCode]],10)," ","")=TEXT(PSPOINTS[[#This Row],[PayScalePointCode]],10),0,1)</f>
        <v>0</v>
      </c>
      <c r="M455" s="57">
        <f ca="1">SUM(PSPOINTS[[#This Row],[Scale Point Issue]:[Space in Code]])</f>
        <v>0</v>
      </c>
      <c r="N455" s="57" t="s">
        <v>1412</v>
      </c>
      <c r="P455" s="12" t="s">
        <v>1421</v>
      </c>
      <c r="Q455" s="57" t="str">
        <f>_xlfn.XLOOKUP(PSPOINTS[[#This Row],[PayScaleCode]],'19_PayScales'!N:N,'19_PayScales'!O:O)</f>
        <v>NJC Outer</v>
      </c>
      <c r="R455" s="12">
        <v>24</v>
      </c>
      <c r="S455" s="12">
        <v>24</v>
      </c>
      <c r="T455" s="12">
        <v>24</v>
      </c>
      <c r="U455" s="12" t="b">
        <v>0</v>
      </c>
      <c r="V455" s="15" t="b">
        <v>1</v>
      </c>
      <c r="W455" s="164">
        <v>45748</v>
      </c>
      <c r="X455" s="140"/>
      <c r="Y455" s="163">
        <v>38739</v>
      </c>
    </row>
    <row r="456" spans="1:25" hidden="1" x14ac:dyDescent="0.25">
      <c r="A456" s="158" t="str">
        <f>PSPOINTS[[#This Row],[PayScaleCode]]&amp;PSPOINTS[[#This Row],[RateDateFrom]]</f>
        <v>NJC_OUT45748</v>
      </c>
      <c r="B456" s="57">
        <f t="shared" si="7"/>
        <v>0</v>
      </c>
      <c r="C456" s="57" t="str">
        <f>PSPOINTS[[#This Row],[PayScaleCode]]&amp;PSPOINTS[[#This Row],[PayScalePointCode]]&amp;PSPOINTS[[#This Row],[RateDateFrom]]</f>
        <v>NJC_OUT2545748</v>
      </c>
      <c r="D456" s="57">
        <f>COUNTIF(PSPOINTS[Pay Scale String Duplicates],PSPOINTS[[#This Row],[Pay Scale String Duplicates]])-1</f>
        <v>0</v>
      </c>
      <c r="E456" s="57">
        <f>IF((MONTH(_xlfn.XLOOKUP(PSPOINTS[[#This Row],[PayScaleCode]],'19_PayScales'!N:N,'19_PayScales'!R:R)))=MONTH(PSPOINTS[[#This Row],[RateDateFrom]]),0,1)</f>
        <v>0</v>
      </c>
      <c r="F456" s="57">
        <f>IF(ISBLANK(PSPOINTS[[#This Row],[RateDateTo]]),0,IF(PSPOINTS[[#This Row],[RateDateFrom]]&lt;PSPOINTS[[#This Row],[RateDateTo]],0,1))</f>
        <v>0</v>
      </c>
      <c r="G456" s="57" cm="1">
        <f t="array" aca="1" ref="G456" ca="1">IF(CELL("format",PSPOINTS[[#This Row],[RateDateFrom]])="D1",0,1)+IF(CELL("format",PSPOINTS[[#This Row],[RateDateTo]])="D1",0,1)</f>
        <v>0</v>
      </c>
      <c r="H456" s="57">
        <f>IF(OR(PSPOINTS[[#This Row],[Hourly]]=TRUE,PSPOINTS[[#This Row],[Hourly]]=FALSE),IF(OR(PSPOINTS[[#This Row],[PayScalePointEnabled]]=TRUE,PSPOINTS[[#This Row],[PayScalePointEnabled]]=FALSE),0,1),1)</f>
        <v>0</v>
      </c>
      <c r="I456" s="57">
        <f>IF(LEN(PSPOINTS[[#This Row],[PayScalePointCode]])&lt;100,0,1)</f>
        <v>0</v>
      </c>
      <c r="J456" s="57">
        <f>IF(LEN(PSPOINTS[[#This Row],[PayScalePointTitle]])&lt;100,0,1)</f>
        <v>0</v>
      </c>
      <c r="K456" s="57">
        <f>(COUNTBLANK(PSPOINTS[[#This Row],[PayScalePointCode]:[RateDateFrom]])+COUNTBLANK(PSPOINTS[[#This Row],[PayScaleRate]]))</f>
        <v>0</v>
      </c>
      <c r="L456" s="120">
        <f>IF(SUBSTITUTE(TEXT(PSPOINTS[[#This Row],[PayScaleCode]],10)," ","")=TEXT(PSPOINTS[[#This Row],[PayScaleCode]],10),0,1)+IF(SUBSTITUTE(TEXT(PSPOINTS[[#This Row],[PayScalePointCode]],10)," ","")=TEXT(PSPOINTS[[#This Row],[PayScalePointCode]],10),0,1)</f>
        <v>0</v>
      </c>
      <c r="M456" s="57">
        <f ca="1">SUM(PSPOINTS[[#This Row],[Scale Point Issue]:[Space in Code]])</f>
        <v>0</v>
      </c>
      <c r="N456" s="57" t="s">
        <v>1412</v>
      </c>
      <c r="P456" s="12" t="s">
        <v>1421</v>
      </c>
      <c r="Q456" s="57" t="str">
        <f>_xlfn.XLOOKUP(PSPOINTS[[#This Row],[PayScaleCode]],'19_PayScales'!N:N,'19_PayScales'!O:O)</f>
        <v>NJC Outer</v>
      </c>
      <c r="R456" s="12">
        <v>25</v>
      </c>
      <c r="S456" s="12">
        <v>25</v>
      </c>
      <c r="T456" s="12">
        <v>25</v>
      </c>
      <c r="U456" s="12" t="b">
        <v>0</v>
      </c>
      <c r="V456" s="15" t="b">
        <v>1</v>
      </c>
      <c r="W456" s="164">
        <v>45748</v>
      </c>
      <c r="X456" s="140"/>
      <c r="Y456" s="163">
        <v>39276</v>
      </c>
    </row>
    <row r="457" spans="1:25" hidden="1" x14ac:dyDescent="0.25">
      <c r="A457" s="158" t="str">
        <f>PSPOINTS[[#This Row],[PayScaleCode]]&amp;PSPOINTS[[#This Row],[RateDateFrom]]</f>
        <v>NJC_OUT45748</v>
      </c>
      <c r="B457" s="57">
        <f t="shared" si="7"/>
        <v>0</v>
      </c>
      <c r="C457" s="57" t="str">
        <f>PSPOINTS[[#This Row],[PayScaleCode]]&amp;PSPOINTS[[#This Row],[PayScalePointCode]]&amp;PSPOINTS[[#This Row],[RateDateFrom]]</f>
        <v>NJC_OUT2645748</v>
      </c>
      <c r="D457" s="57">
        <f>COUNTIF(PSPOINTS[Pay Scale String Duplicates],PSPOINTS[[#This Row],[Pay Scale String Duplicates]])-1</f>
        <v>0</v>
      </c>
      <c r="E457" s="57">
        <f>IF((MONTH(_xlfn.XLOOKUP(PSPOINTS[[#This Row],[PayScaleCode]],'19_PayScales'!N:N,'19_PayScales'!R:R)))=MONTH(PSPOINTS[[#This Row],[RateDateFrom]]),0,1)</f>
        <v>0</v>
      </c>
      <c r="F457" s="57">
        <f>IF(ISBLANK(PSPOINTS[[#This Row],[RateDateTo]]),0,IF(PSPOINTS[[#This Row],[RateDateFrom]]&lt;PSPOINTS[[#This Row],[RateDateTo]],0,1))</f>
        <v>0</v>
      </c>
      <c r="G457" s="57" cm="1">
        <f t="array" aca="1" ref="G457" ca="1">IF(CELL("format",PSPOINTS[[#This Row],[RateDateFrom]])="D1",0,1)+IF(CELL("format",PSPOINTS[[#This Row],[RateDateTo]])="D1",0,1)</f>
        <v>0</v>
      </c>
      <c r="H457" s="57">
        <f>IF(OR(PSPOINTS[[#This Row],[Hourly]]=TRUE,PSPOINTS[[#This Row],[Hourly]]=FALSE),IF(OR(PSPOINTS[[#This Row],[PayScalePointEnabled]]=TRUE,PSPOINTS[[#This Row],[PayScalePointEnabled]]=FALSE),0,1),1)</f>
        <v>0</v>
      </c>
      <c r="I457" s="57">
        <f>IF(LEN(PSPOINTS[[#This Row],[PayScalePointCode]])&lt;100,0,1)</f>
        <v>0</v>
      </c>
      <c r="J457" s="57">
        <f>IF(LEN(PSPOINTS[[#This Row],[PayScalePointTitle]])&lt;100,0,1)</f>
        <v>0</v>
      </c>
      <c r="K457" s="57">
        <f>(COUNTBLANK(PSPOINTS[[#This Row],[PayScalePointCode]:[RateDateFrom]])+COUNTBLANK(PSPOINTS[[#This Row],[PayScaleRate]]))</f>
        <v>0</v>
      </c>
      <c r="L457" s="120">
        <f>IF(SUBSTITUTE(TEXT(PSPOINTS[[#This Row],[PayScaleCode]],10)," ","")=TEXT(PSPOINTS[[#This Row],[PayScaleCode]],10),0,1)+IF(SUBSTITUTE(TEXT(PSPOINTS[[#This Row],[PayScalePointCode]],10)," ","")=TEXT(PSPOINTS[[#This Row],[PayScalePointCode]],10),0,1)</f>
        <v>0</v>
      </c>
      <c r="M457" s="57">
        <f ca="1">SUM(PSPOINTS[[#This Row],[Scale Point Issue]:[Space in Code]])</f>
        <v>0</v>
      </c>
      <c r="N457" s="57" t="s">
        <v>1412</v>
      </c>
      <c r="P457" s="12" t="s">
        <v>1421</v>
      </c>
      <c r="Q457" s="57" t="str">
        <f>_xlfn.XLOOKUP(PSPOINTS[[#This Row],[PayScaleCode]],'19_PayScales'!N:N,'19_PayScales'!O:O)</f>
        <v>NJC Outer</v>
      </c>
      <c r="R457" s="12">
        <v>26</v>
      </c>
      <c r="S457" s="12">
        <v>26</v>
      </c>
      <c r="T457" s="12">
        <v>26</v>
      </c>
      <c r="U457" s="12" t="b">
        <v>0</v>
      </c>
      <c r="V457" s="15" t="b">
        <v>1</v>
      </c>
      <c r="W457" s="164">
        <v>45748</v>
      </c>
      <c r="X457" s="140"/>
      <c r="Y457" s="163">
        <v>40182</v>
      </c>
    </row>
    <row r="458" spans="1:25" hidden="1" x14ac:dyDescent="0.25">
      <c r="A458" s="158" t="str">
        <f>PSPOINTS[[#This Row],[PayScaleCode]]&amp;PSPOINTS[[#This Row],[RateDateFrom]]</f>
        <v>NJC_OUT45748</v>
      </c>
      <c r="B458" s="57">
        <f t="shared" si="7"/>
        <v>0</v>
      </c>
      <c r="C458" s="57" t="str">
        <f>PSPOINTS[[#This Row],[PayScaleCode]]&amp;PSPOINTS[[#This Row],[PayScalePointCode]]&amp;PSPOINTS[[#This Row],[RateDateFrom]]</f>
        <v>NJC_OUT2745748</v>
      </c>
      <c r="D458" s="57">
        <f>COUNTIF(PSPOINTS[Pay Scale String Duplicates],PSPOINTS[[#This Row],[Pay Scale String Duplicates]])-1</f>
        <v>0</v>
      </c>
      <c r="E458" s="57">
        <f>IF((MONTH(_xlfn.XLOOKUP(PSPOINTS[[#This Row],[PayScaleCode]],'19_PayScales'!N:N,'19_PayScales'!R:R)))=MONTH(PSPOINTS[[#This Row],[RateDateFrom]]),0,1)</f>
        <v>0</v>
      </c>
      <c r="F458" s="57">
        <f>IF(ISBLANK(PSPOINTS[[#This Row],[RateDateTo]]),0,IF(PSPOINTS[[#This Row],[RateDateFrom]]&lt;PSPOINTS[[#This Row],[RateDateTo]],0,1))</f>
        <v>0</v>
      </c>
      <c r="G458" s="57" cm="1">
        <f t="array" aca="1" ref="G458" ca="1">IF(CELL("format",PSPOINTS[[#This Row],[RateDateFrom]])="D1",0,1)+IF(CELL("format",PSPOINTS[[#This Row],[RateDateTo]])="D1",0,1)</f>
        <v>0</v>
      </c>
      <c r="H458" s="57">
        <f>IF(OR(PSPOINTS[[#This Row],[Hourly]]=TRUE,PSPOINTS[[#This Row],[Hourly]]=FALSE),IF(OR(PSPOINTS[[#This Row],[PayScalePointEnabled]]=TRUE,PSPOINTS[[#This Row],[PayScalePointEnabled]]=FALSE),0,1),1)</f>
        <v>0</v>
      </c>
      <c r="I458" s="57">
        <f>IF(LEN(PSPOINTS[[#This Row],[PayScalePointCode]])&lt;100,0,1)</f>
        <v>0</v>
      </c>
      <c r="J458" s="57">
        <f>IF(LEN(PSPOINTS[[#This Row],[PayScalePointTitle]])&lt;100,0,1)</f>
        <v>0</v>
      </c>
      <c r="K458" s="57">
        <f>(COUNTBLANK(PSPOINTS[[#This Row],[PayScalePointCode]:[RateDateFrom]])+COUNTBLANK(PSPOINTS[[#This Row],[PayScaleRate]]))</f>
        <v>0</v>
      </c>
      <c r="L458" s="120">
        <f>IF(SUBSTITUTE(TEXT(PSPOINTS[[#This Row],[PayScaleCode]],10)," ","")=TEXT(PSPOINTS[[#This Row],[PayScaleCode]],10),0,1)+IF(SUBSTITUTE(TEXT(PSPOINTS[[#This Row],[PayScalePointCode]],10)," ","")=TEXT(PSPOINTS[[#This Row],[PayScalePointCode]],10),0,1)</f>
        <v>0</v>
      </c>
      <c r="M458" s="57">
        <f ca="1">SUM(PSPOINTS[[#This Row],[Scale Point Issue]:[Space in Code]])</f>
        <v>0</v>
      </c>
      <c r="N458" s="57" t="s">
        <v>1412</v>
      </c>
      <c r="P458" s="12" t="s">
        <v>1421</v>
      </c>
      <c r="Q458" s="57" t="str">
        <f>_xlfn.XLOOKUP(PSPOINTS[[#This Row],[PayScaleCode]],'19_PayScales'!N:N,'19_PayScales'!O:O)</f>
        <v>NJC Outer</v>
      </c>
      <c r="R458" s="12">
        <v>27</v>
      </c>
      <c r="S458" s="12">
        <v>27</v>
      </c>
      <c r="T458" s="12">
        <v>27</v>
      </c>
      <c r="U458" s="12" t="b">
        <v>0</v>
      </c>
      <c r="V458" s="15" t="b">
        <v>1</v>
      </c>
      <c r="W458" s="164">
        <v>45748</v>
      </c>
      <c r="X458" s="140"/>
      <c r="Y458" s="163">
        <v>41133</v>
      </c>
    </row>
    <row r="459" spans="1:25" hidden="1" x14ac:dyDescent="0.25">
      <c r="A459" s="158" t="str">
        <f>PSPOINTS[[#This Row],[PayScaleCode]]&amp;PSPOINTS[[#This Row],[RateDateFrom]]</f>
        <v>NJC_OUT45748</v>
      </c>
      <c r="B459" s="57">
        <f t="shared" si="7"/>
        <v>0</v>
      </c>
      <c r="C459" s="57" t="str">
        <f>PSPOINTS[[#This Row],[PayScaleCode]]&amp;PSPOINTS[[#This Row],[PayScalePointCode]]&amp;PSPOINTS[[#This Row],[RateDateFrom]]</f>
        <v>NJC_OUT2845748</v>
      </c>
      <c r="D459" s="57">
        <f>COUNTIF(PSPOINTS[Pay Scale String Duplicates],PSPOINTS[[#This Row],[Pay Scale String Duplicates]])-1</f>
        <v>0</v>
      </c>
      <c r="E459" s="57">
        <f>IF((MONTH(_xlfn.XLOOKUP(PSPOINTS[[#This Row],[PayScaleCode]],'19_PayScales'!N:N,'19_PayScales'!R:R)))=MONTH(PSPOINTS[[#This Row],[RateDateFrom]]),0,1)</f>
        <v>0</v>
      </c>
      <c r="F459" s="57">
        <f>IF(ISBLANK(PSPOINTS[[#This Row],[RateDateTo]]),0,IF(PSPOINTS[[#This Row],[RateDateFrom]]&lt;PSPOINTS[[#This Row],[RateDateTo]],0,1))</f>
        <v>0</v>
      </c>
      <c r="G459" s="57" cm="1">
        <f t="array" aca="1" ref="G459" ca="1">IF(CELL("format",PSPOINTS[[#This Row],[RateDateFrom]])="D1",0,1)+IF(CELL("format",PSPOINTS[[#This Row],[RateDateTo]])="D1",0,1)</f>
        <v>0</v>
      </c>
      <c r="H459" s="57">
        <f>IF(OR(PSPOINTS[[#This Row],[Hourly]]=TRUE,PSPOINTS[[#This Row],[Hourly]]=FALSE),IF(OR(PSPOINTS[[#This Row],[PayScalePointEnabled]]=TRUE,PSPOINTS[[#This Row],[PayScalePointEnabled]]=FALSE),0,1),1)</f>
        <v>0</v>
      </c>
      <c r="I459" s="57">
        <f>IF(LEN(PSPOINTS[[#This Row],[PayScalePointCode]])&lt;100,0,1)</f>
        <v>0</v>
      </c>
      <c r="J459" s="57">
        <f>IF(LEN(PSPOINTS[[#This Row],[PayScalePointTitle]])&lt;100,0,1)</f>
        <v>0</v>
      </c>
      <c r="K459" s="57">
        <f>(COUNTBLANK(PSPOINTS[[#This Row],[PayScalePointCode]:[RateDateFrom]])+COUNTBLANK(PSPOINTS[[#This Row],[PayScaleRate]]))</f>
        <v>0</v>
      </c>
      <c r="L459" s="120">
        <f>IF(SUBSTITUTE(TEXT(PSPOINTS[[#This Row],[PayScaleCode]],10)," ","")=TEXT(PSPOINTS[[#This Row],[PayScaleCode]],10),0,1)+IF(SUBSTITUTE(TEXT(PSPOINTS[[#This Row],[PayScalePointCode]],10)," ","")=TEXT(PSPOINTS[[#This Row],[PayScalePointCode]],10),0,1)</f>
        <v>0</v>
      </c>
      <c r="M459" s="57">
        <f ca="1">SUM(PSPOINTS[[#This Row],[Scale Point Issue]:[Space in Code]])</f>
        <v>0</v>
      </c>
      <c r="N459" s="57" t="s">
        <v>1412</v>
      </c>
      <c r="P459" s="12" t="s">
        <v>1421</v>
      </c>
      <c r="Q459" s="57" t="str">
        <f>_xlfn.XLOOKUP(PSPOINTS[[#This Row],[PayScaleCode]],'19_PayScales'!N:N,'19_PayScales'!O:O)</f>
        <v>NJC Outer</v>
      </c>
      <c r="R459" s="12">
        <v>28</v>
      </c>
      <c r="S459" s="12">
        <v>28</v>
      </c>
      <c r="T459" s="12">
        <v>28</v>
      </c>
      <c r="U459" s="12" t="b">
        <v>0</v>
      </c>
      <c r="V459" s="15" t="b">
        <v>1</v>
      </c>
      <c r="W459" s="164">
        <v>45748</v>
      </c>
      <c r="X459" s="140"/>
      <c r="Y459" s="163">
        <v>42060</v>
      </c>
    </row>
    <row r="460" spans="1:25" hidden="1" x14ac:dyDescent="0.25">
      <c r="A460" s="158" t="str">
        <f>PSPOINTS[[#This Row],[PayScaleCode]]&amp;PSPOINTS[[#This Row],[RateDateFrom]]</f>
        <v>NJC_OUT45748</v>
      </c>
      <c r="B460" s="57">
        <f t="shared" si="7"/>
        <v>0</v>
      </c>
      <c r="C460" s="57" t="str">
        <f>PSPOINTS[[#This Row],[PayScaleCode]]&amp;PSPOINTS[[#This Row],[PayScalePointCode]]&amp;PSPOINTS[[#This Row],[RateDateFrom]]</f>
        <v>NJC_OUT2945748</v>
      </c>
      <c r="D460" s="57">
        <f>COUNTIF(PSPOINTS[Pay Scale String Duplicates],PSPOINTS[[#This Row],[Pay Scale String Duplicates]])-1</f>
        <v>0</v>
      </c>
      <c r="E460" s="57">
        <f>IF((MONTH(_xlfn.XLOOKUP(PSPOINTS[[#This Row],[PayScaleCode]],'19_PayScales'!N:N,'19_PayScales'!R:R)))=MONTH(PSPOINTS[[#This Row],[RateDateFrom]]),0,1)</f>
        <v>0</v>
      </c>
      <c r="F460" s="57">
        <f>IF(ISBLANK(PSPOINTS[[#This Row],[RateDateTo]]),0,IF(PSPOINTS[[#This Row],[RateDateFrom]]&lt;PSPOINTS[[#This Row],[RateDateTo]],0,1))</f>
        <v>0</v>
      </c>
      <c r="G460" s="57" cm="1">
        <f t="array" aca="1" ref="G460" ca="1">IF(CELL("format",PSPOINTS[[#This Row],[RateDateFrom]])="D1",0,1)+IF(CELL("format",PSPOINTS[[#This Row],[RateDateTo]])="D1",0,1)</f>
        <v>0</v>
      </c>
      <c r="H460" s="57">
        <f>IF(OR(PSPOINTS[[#This Row],[Hourly]]=TRUE,PSPOINTS[[#This Row],[Hourly]]=FALSE),IF(OR(PSPOINTS[[#This Row],[PayScalePointEnabled]]=TRUE,PSPOINTS[[#This Row],[PayScalePointEnabled]]=FALSE),0,1),1)</f>
        <v>0</v>
      </c>
      <c r="I460" s="57">
        <f>IF(LEN(PSPOINTS[[#This Row],[PayScalePointCode]])&lt;100,0,1)</f>
        <v>0</v>
      </c>
      <c r="J460" s="57">
        <f>IF(LEN(PSPOINTS[[#This Row],[PayScalePointTitle]])&lt;100,0,1)</f>
        <v>0</v>
      </c>
      <c r="K460" s="57">
        <f>(COUNTBLANK(PSPOINTS[[#This Row],[PayScalePointCode]:[RateDateFrom]])+COUNTBLANK(PSPOINTS[[#This Row],[PayScaleRate]]))</f>
        <v>0</v>
      </c>
      <c r="L460" s="120">
        <f>IF(SUBSTITUTE(TEXT(PSPOINTS[[#This Row],[PayScaleCode]],10)," ","")=TEXT(PSPOINTS[[#This Row],[PayScaleCode]],10),0,1)+IF(SUBSTITUTE(TEXT(PSPOINTS[[#This Row],[PayScalePointCode]],10)," ","")=TEXT(PSPOINTS[[#This Row],[PayScalePointCode]],10),0,1)</f>
        <v>0</v>
      </c>
      <c r="M460" s="57">
        <f ca="1">SUM(PSPOINTS[[#This Row],[Scale Point Issue]:[Space in Code]])</f>
        <v>0</v>
      </c>
      <c r="N460" s="57" t="s">
        <v>1412</v>
      </c>
      <c r="P460" s="12" t="s">
        <v>1421</v>
      </c>
      <c r="Q460" s="57" t="str">
        <f>_xlfn.XLOOKUP(PSPOINTS[[#This Row],[PayScaleCode]],'19_PayScales'!N:N,'19_PayScales'!O:O)</f>
        <v>NJC Outer</v>
      </c>
      <c r="R460" s="12">
        <v>29</v>
      </c>
      <c r="S460" s="12">
        <v>29</v>
      </c>
      <c r="T460" s="12">
        <v>29</v>
      </c>
      <c r="U460" s="12" t="b">
        <v>0</v>
      </c>
      <c r="V460" s="15" t="b">
        <v>1</v>
      </c>
      <c r="W460" s="164">
        <v>45748</v>
      </c>
      <c r="X460" s="140"/>
      <c r="Y460" s="163">
        <v>42771</v>
      </c>
    </row>
    <row r="461" spans="1:25" hidden="1" x14ac:dyDescent="0.25">
      <c r="A461" s="158" t="str">
        <f>PSPOINTS[[#This Row],[PayScaleCode]]&amp;PSPOINTS[[#This Row],[RateDateFrom]]</f>
        <v>NJC_OUT45748</v>
      </c>
      <c r="B461" s="57">
        <f t="shared" si="7"/>
        <v>0</v>
      </c>
      <c r="C461" s="57" t="str">
        <f>PSPOINTS[[#This Row],[PayScaleCode]]&amp;PSPOINTS[[#This Row],[PayScalePointCode]]&amp;PSPOINTS[[#This Row],[RateDateFrom]]</f>
        <v>NJC_OUT3045748</v>
      </c>
      <c r="D461" s="57">
        <f>COUNTIF(PSPOINTS[Pay Scale String Duplicates],PSPOINTS[[#This Row],[Pay Scale String Duplicates]])-1</f>
        <v>0</v>
      </c>
      <c r="E461" s="57">
        <f>IF((MONTH(_xlfn.XLOOKUP(PSPOINTS[[#This Row],[PayScaleCode]],'19_PayScales'!N:N,'19_PayScales'!R:R)))=MONTH(PSPOINTS[[#This Row],[RateDateFrom]]),0,1)</f>
        <v>0</v>
      </c>
      <c r="F461" s="57">
        <f>IF(ISBLANK(PSPOINTS[[#This Row],[RateDateTo]]),0,IF(PSPOINTS[[#This Row],[RateDateFrom]]&lt;PSPOINTS[[#This Row],[RateDateTo]],0,1))</f>
        <v>0</v>
      </c>
      <c r="G461" s="57" cm="1">
        <f t="array" aca="1" ref="G461" ca="1">IF(CELL("format",PSPOINTS[[#This Row],[RateDateFrom]])="D1",0,1)+IF(CELL("format",PSPOINTS[[#This Row],[RateDateTo]])="D1",0,1)</f>
        <v>0</v>
      </c>
      <c r="H461" s="57">
        <f>IF(OR(PSPOINTS[[#This Row],[Hourly]]=TRUE,PSPOINTS[[#This Row],[Hourly]]=FALSE),IF(OR(PSPOINTS[[#This Row],[PayScalePointEnabled]]=TRUE,PSPOINTS[[#This Row],[PayScalePointEnabled]]=FALSE),0,1),1)</f>
        <v>0</v>
      </c>
      <c r="I461" s="57">
        <f>IF(LEN(PSPOINTS[[#This Row],[PayScalePointCode]])&lt;100,0,1)</f>
        <v>0</v>
      </c>
      <c r="J461" s="57">
        <f>IF(LEN(PSPOINTS[[#This Row],[PayScalePointTitle]])&lt;100,0,1)</f>
        <v>0</v>
      </c>
      <c r="K461" s="57">
        <f>(COUNTBLANK(PSPOINTS[[#This Row],[PayScalePointCode]:[RateDateFrom]])+COUNTBLANK(PSPOINTS[[#This Row],[PayScaleRate]]))</f>
        <v>0</v>
      </c>
      <c r="L461" s="120">
        <f>IF(SUBSTITUTE(TEXT(PSPOINTS[[#This Row],[PayScaleCode]],10)," ","")=TEXT(PSPOINTS[[#This Row],[PayScaleCode]],10),0,1)+IF(SUBSTITUTE(TEXT(PSPOINTS[[#This Row],[PayScalePointCode]],10)," ","")=TEXT(PSPOINTS[[#This Row],[PayScalePointCode]],10),0,1)</f>
        <v>0</v>
      </c>
      <c r="M461" s="57">
        <f ca="1">SUM(PSPOINTS[[#This Row],[Scale Point Issue]:[Space in Code]])</f>
        <v>0</v>
      </c>
      <c r="N461" s="57" t="s">
        <v>1412</v>
      </c>
      <c r="P461" s="12" t="s">
        <v>1421</v>
      </c>
      <c r="Q461" s="57" t="str">
        <f>_xlfn.XLOOKUP(PSPOINTS[[#This Row],[PayScaleCode]],'19_PayScales'!N:N,'19_PayScales'!O:O)</f>
        <v>NJC Outer</v>
      </c>
      <c r="R461" s="12">
        <v>30</v>
      </c>
      <c r="S461" s="12">
        <v>30</v>
      </c>
      <c r="T461" s="12">
        <v>30</v>
      </c>
      <c r="U461" s="12" t="b">
        <v>0</v>
      </c>
      <c r="V461" s="15" t="b">
        <v>1</v>
      </c>
      <c r="W461" s="164">
        <v>45748</v>
      </c>
      <c r="X461" s="140"/>
      <c r="Y461" s="163">
        <v>43680</v>
      </c>
    </row>
    <row r="462" spans="1:25" hidden="1" x14ac:dyDescent="0.25">
      <c r="A462" s="158" t="str">
        <f>PSPOINTS[[#This Row],[PayScaleCode]]&amp;PSPOINTS[[#This Row],[RateDateFrom]]</f>
        <v>NJC_OUT45748</v>
      </c>
      <c r="B462" s="57">
        <f t="shared" si="7"/>
        <v>0</v>
      </c>
      <c r="C462" s="57" t="str">
        <f>PSPOINTS[[#This Row],[PayScaleCode]]&amp;PSPOINTS[[#This Row],[PayScalePointCode]]&amp;PSPOINTS[[#This Row],[RateDateFrom]]</f>
        <v>NJC_OUT3145748</v>
      </c>
      <c r="D462" s="57">
        <f>COUNTIF(PSPOINTS[Pay Scale String Duplicates],PSPOINTS[[#This Row],[Pay Scale String Duplicates]])-1</f>
        <v>0</v>
      </c>
      <c r="E462" s="57">
        <f>IF((MONTH(_xlfn.XLOOKUP(PSPOINTS[[#This Row],[PayScaleCode]],'19_PayScales'!N:N,'19_PayScales'!R:R)))=MONTH(PSPOINTS[[#This Row],[RateDateFrom]]),0,1)</f>
        <v>0</v>
      </c>
      <c r="F462" s="57">
        <f>IF(ISBLANK(PSPOINTS[[#This Row],[RateDateTo]]),0,IF(PSPOINTS[[#This Row],[RateDateFrom]]&lt;PSPOINTS[[#This Row],[RateDateTo]],0,1))</f>
        <v>0</v>
      </c>
      <c r="G462" s="57" cm="1">
        <f t="array" aca="1" ref="G462" ca="1">IF(CELL("format",PSPOINTS[[#This Row],[RateDateFrom]])="D1",0,1)+IF(CELL("format",PSPOINTS[[#This Row],[RateDateTo]])="D1",0,1)</f>
        <v>0</v>
      </c>
      <c r="H462" s="57">
        <f>IF(OR(PSPOINTS[[#This Row],[Hourly]]=TRUE,PSPOINTS[[#This Row],[Hourly]]=FALSE),IF(OR(PSPOINTS[[#This Row],[PayScalePointEnabled]]=TRUE,PSPOINTS[[#This Row],[PayScalePointEnabled]]=FALSE),0,1),1)</f>
        <v>0</v>
      </c>
      <c r="I462" s="57">
        <f>IF(LEN(PSPOINTS[[#This Row],[PayScalePointCode]])&lt;100,0,1)</f>
        <v>0</v>
      </c>
      <c r="J462" s="57">
        <f>IF(LEN(PSPOINTS[[#This Row],[PayScalePointTitle]])&lt;100,0,1)</f>
        <v>0</v>
      </c>
      <c r="K462" s="57">
        <f>(COUNTBLANK(PSPOINTS[[#This Row],[PayScalePointCode]:[RateDateFrom]])+COUNTBLANK(PSPOINTS[[#This Row],[PayScaleRate]]))</f>
        <v>0</v>
      </c>
      <c r="L462" s="120">
        <f>IF(SUBSTITUTE(TEXT(PSPOINTS[[#This Row],[PayScaleCode]],10)," ","")=TEXT(PSPOINTS[[#This Row],[PayScaleCode]],10),0,1)+IF(SUBSTITUTE(TEXT(PSPOINTS[[#This Row],[PayScalePointCode]],10)," ","")=TEXT(PSPOINTS[[#This Row],[PayScalePointCode]],10),0,1)</f>
        <v>0</v>
      </c>
      <c r="M462" s="57">
        <f ca="1">SUM(PSPOINTS[[#This Row],[Scale Point Issue]:[Space in Code]])</f>
        <v>0</v>
      </c>
      <c r="N462" s="57" t="s">
        <v>1412</v>
      </c>
      <c r="P462" s="12" t="s">
        <v>1421</v>
      </c>
      <c r="Q462" s="57" t="str">
        <f>_xlfn.XLOOKUP(PSPOINTS[[#This Row],[PayScaleCode]],'19_PayScales'!N:N,'19_PayScales'!O:O)</f>
        <v>NJC Outer</v>
      </c>
      <c r="R462" s="12">
        <v>31</v>
      </c>
      <c r="S462" s="12">
        <v>31</v>
      </c>
      <c r="T462" s="12">
        <v>31</v>
      </c>
      <c r="U462" s="12" t="b">
        <v>0</v>
      </c>
      <c r="V462" s="15" t="b">
        <v>1</v>
      </c>
      <c r="W462" s="164">
        <v>45748</v>
      </c>
      <c r="X462" s="140"/>
      <c r="Y462" s="163">
        <v>44685</v>
      </c>
    </row>
    <row r="463" spans="1:25" hidden="1" x14ac:dyDescent="0.25">
      <c r="A463" s="158" t="str">
        <f>PSPOINTS[[#This Row],[PayScaleCode]]&amp;PSPOINTS[[#This Row],[RateDateFrom]]</f>
        <v>NJC_OUT45748</v>
      </c>
      <c r="B463" s="57">
        <f t="shared" si="7"/>
        <v>0</v>
      </c>
      <c r="C463" s="57" t="str">
        <f>PSPOINTS[[#This Row],[PayScaleCode]]&amp;PSPOINTS[[#This Row],[PayScalePointCode]]&amp;PSPOINTS[[#This Row],[RateDateFrom]]</f>
        <v>NJC_OUT3245748</v>
      </c>
      <c r="D463" s="57">
        <f>COUNTIF(PSPOINTS[Pay Scale String Duplicates],PSPOINTS[[#This Row],[Pay Scale String Duplicates]])-1</f>
        <v>0</v>
      </c>
      <c r="E463" s="57">
        <f>IF((MONTH(_xlfn.XLOOKUP(PSPOINTS[[#This Row],[PayScaleCode]],'19_PayScales'!N:N,'19_PayScales'!R:R)))=MONTH(PSPOINTS[[#This Row],[RateDateFrom]]),0,1)</f>
        <v>0</v>
      </c>
      <c r="F463" s="57">
        <f>IF(ISBLANK(PSPOINTS[[#This Row],[RateDateTo]]),0,IF(PSPOINTS[[#This Row],[RateDateFrom]]&lt;PSPOINTS[[#This Row],[RateDateTo]],0,1))</f>
        <v>0</v>
      </c>
      <c r="G463" s="57" cm="1">
        <f t="array" aca="1" ref="G463" ca="1">IF(CELL("format",PSPOINTS[[#This Row],[RateDateFrom]])="D1",0,1)+IF(CELL("format",PSPOINTS[[#This Row],[RateDateTo]])="D1",0,1)</f>
        <v>0</v>
      </c>
      <c r="H463" s="57">
        <f>IF(OR(PSPOINTS[[#This Row],[Hourly]]=TRUE,PSPOINTS[[#This Row],[Hourly]]=FALSE),IF(OR(PSPOINTS[[#This Row],[PayScalePointEnabled]]=TRUE,PSPOINTS[[#This Row],[PayScalePointEnabled]]=FALSE),0,1),1)</f>
        <v>0</v>
      </c>
      <c r="I463" s="57">
        <f>IF(LEN(PSPOINTS[[#This Row],[PayScalePointCode]])&lt;100,0,1)</f>
        <v>0</v>
      </c>
      <c r="J463" s="57">
        <f>IF(LEN(PSPOINTS[[#This Row],[PayScalePointTitle]])&lt;100,0,1)</f>
        <v>0</v>
      </c>
      <c r="K463" s="57">
        <f>(COUNTBLANK(PSPOINTS[[#This Row],[PayScalePointCode]:[RateDateFrom]])+COUNTBLANK(PSPOINTS[[#This Row],[PayScaleRate]]))</f>
        <v>0</v>
      </c>
      <c r="L463" s="120">
        <f>IF(SUBSTITUTE(TEXT(PSPOINTS[[#This Row],[PayScaleCode]],10)," ","")=TEXT(PSPOINTS[[#This Row],[PayScaleCode]],10),0,1)+IF(SUBSTITUTE(TEXT(PSPOINTS[[#This Row],[PayScalePointCode]],10)," ","")=TEXT(PSPOINTS[[#This Row],[PayScalePointCode]],10),0,1)</f>
        <v>0</v>
      </c>
      <c r="M463" s="57">
        <f ca="1">SUM(PSPOINTS[[#This Row],[Scale Point Issue]:[Space in Code]])</f>
        <v>0</v>
      </c>
      <c r="N463" s="57" t="s">
        <v>1412</v>
      </c>
      <c r="P463" s="12" t="s">
        <v>1421</v>
      </c>
      <c r="Q463" s="57" t="str">
        <f>_xlfn.XLOOKUP(PSPOINTS[[#This Row],[PayScaleCode]],'19_PayScales'!N:N,'19_PayScales'!O:O)</f>
        <v>NJC Outer</v>
      </c>
      <c r="R463" s="12">
        <v>32</v>
      </c>
      <c r="S463" s="12">
        <v>32</v>
      </c>
      <c r="T463" s="12">
        <v>32</v>
      </c>
      <c r="U463" s="12" t="b">
        <v>0</v>
      </c>
      <c r="V463" s="15" t="b">
        <v>1</v>
      </c>
      <c r="W463" s="164">
        <v>45748</v>
      </c>
      <c r="X463" s="140"/>
      <c r="Y463" s="163">
        <v>45750</v>
      </c>
    </row>
    <row r="464" spans="1:25" hidden="1" x14ac:dyDescent="0.25">
      <c r="A464" s="158" t="str">
        <f>PSPOINTS[[#This Row],[PayScaleCode]]&amp;PSPOINTS[[#This Row],[RateDateFrom]]</f>
        <v>NJC_OUT45748</v>
      </c>
      <c r="B464" s="57">
        <f t="shared" si="7"/>
        <v>0</v>
      </c>
      <c r="C464" s="57" t="str">
        <f>PSPOINTS[[#This Row],[PayScaleCode]]&amp;PSPOINTS[[#This Row],[PayScalePointCode]]&amp;PSPOINTS[[#This Row],[RateDateFrom]]</f>
        <v>NJC_OUT3345748</v>
      </c>
      <c r="D464" s="57">
        <f>COUNTIF(PSPOINTS[Pay Scale String Duplicates],PSPOINTS[[#This Row],[Pay Scale String Duplicates]])-1</f>
        <v>0</v>
      </c>
      <c r="E464" s="57">
        <f>IF((MONTH(_xlfn.XLOOKUP(PSPOINTS[[#This Row],[PayScaleCode]],'19_PayScales'!N:N,'19_PayScales'!R:R)))=MONTH(PSPOINTS[[#This Row],[RateDateFrom]]),0,1)</f>
        <v>0</v>
      </c>
      <c r="F464" s="57">
        <f>IF(ISBLANK(PSPOINTS[[#This Row],[RateDateTo]]),0,IF(PSPOINTS[[#This Row],[RateDateFrom]]&lt;PSPOINTS[[#This Row],[RateDateTo]],0,1))</f>
        <v>0</v>
      </c>
      <c r="G464" s="57" cm="1">
        <f t="array" aca="1" ref="G464" ca="1">IF(CELL("format",PSPOINTS[[#This Row],[RateDateFrom]])="D1",0,1)+IF(CELL("format",PSPOINTS[[#This Row],[RateDateTo]])="D1",0,1)</f>
        <v>0</v>
      </c>
      <c r="H464" s="57">
        <f>IF(OR(PSPOINTS[[#This Row],[Hourly]]=TRUE,PSPOINTS[[#This Row],[Hourly]]=FALSE),IF(OR(PSPOINTS[[#This Row],[PayScalePointEnabled]]=TRUE,PSPOINTS[[#This Row],[PayScalePointEnabled]]=FALSE),0,1),1)</f>
        <v>0</v>
      </c>
      <c r="I464" s="57">
        <f>IF(LEN(PSPOINTS[[#This Row],[PayScalePointCode]])&lt;100,0,1)</f>
        <v>0</v>
      </c>
      <c r="J464" s="57">
        <f>IF(LEN(PSPOINTS[[#This Row],[PayScalePointTitle]])&lt;100,0,1)</f>
        <v>0</v>
      </c>
      <c r="K464" s="57">
        <f>(COUNTBLANK(PSPOINTS[[#This Row],[PayScalePointCode]:[RateDateFrom]])+COUNTBLANK(PSPOINTS[[#This Row],[PayScaleRate]]))</f>
        <v>0</v>
      </c>
      <c r="L464" s="120">
        <f>IF(SUBSTITUTE(TEXT(PSPOINTS[[#This Row],[PayScaleCode]],10)," ","")=TEXT(PSPOINTS[[#This Row],[PayScaleCode]],10),0,1)+IF(SUBSTITUTE(TEXT(PSPOINTS[[#This Row],[PayScalePointCode]],10)," ","")=TEXT(PSPOINTS[[#This Row],[PayScalePointCode]],10),0,1)</f>
        <v>0</v>
      </c>
      <c r="M464" s="57">
        <f ca="1">SUM(PSPOINTS[[#This Row],[Scale Point Issue]:[Space in Code]])</f>
        <v>0</v>
      </c>
      <c r="N464" s="57" t="s">
        <v>1412</v>
      </c>
      <c r="P464" s="12" t="s">
        <v>1421</v>
      </c>
      <c r="Q464" s="57" t="str">
        <f>_xlfn.XLOOKUP(PSPOINTS[[#This Row],[PayScaleCode]],'19_PayScales'!N:N,'19_PayScales'!O:O)</f>
        <v>NJC Outer</v>
      </c>
      <c r="R464" s="12">
        <v>33</v>
      </c>
      <c r="S464" s="12">
        <v>33</v>
      </c>
      <c r="T464" s="12">
        <v>33</v>
      </c>
      <c r="U464" s="12" t="b">
        <v>0</v>
      </c>
      <c r="V464" s="15" t="b">
        <v>1</v>
      </c>
      <c r="W464" s="164">
        <v>45748</v>
      </c>
      <c r="X464" s="140"/>
      <c r="Y464" s="163">
        <v>46968</v>
      </c>
    </row>
    <row r="465" spans="1:25" hidden="1" x14ac:dyDescent="0.25">
      <c r="A465" s="158" t="str">
        <f>PSPOINTS[[#This Row],[PayScaleCode]]&amp;PSPOINTS[[#This Row],[RateDateFrom]]</f>
        <v>NJC_OUT45748</v>
      </c>
      <c r="B465" s="57">
        <f t="shared" si="7"/>
        <v>0</v>
      </c>
      <c r="C465" s="57" t="str">
        <f>PSPOINTS[[#This Row],[PayScaleCode]]&amp;PSPOINTS[[#This Row],[PayScalePointCode]]&amp;PSPOINTS[[#This Row],[RateDateFrom]]</f>
        <v>NJC_OUT3445748</v>
      </c>
      <c r="D465" s="57">
        <f>COUNTIF(PSPOINTS[Pay Scale String Duplicates],PSPOINTS[[#This Row],[Pay Scale String Duplicates]])-1</f>
        <v>0</v>
      </c>
      <c r="E465" s="57">
        <f>IF((MONTH(_xlfn.XLOOKUP(PSPOINTS[[#This Row],[PayScaleCode]],'19_PayScales'!N:N,'19_PayScales'!R:R)))=MONTH(PSPOINTS[[#This Row],[RateDateFrom]]),0,1)</f>
        <v>0</v>
      </c>
      <c r="F465" s="57">
        <f>IF(ISBLANK(PSPOINTS[[#This Row],[RateDateTo]]),0,IF(PSPOINTS[[#This Row],[RateDateFrom]]&lt;PSPOINTS[[#This Row],[RateDateTo]],0,1))</f>
        <v>0</v>
      </c>
      <c r="G465" s="57" cm="1">
        <f t="array" aca="1" ref="G465" ca="1">IF(CELL("format",PSPOINTS[[#This Row],[RateDateFrom]])="D1",0,1)+IF(CELL("format",PSPOINTS[[#This Row],[RateDateTo]])="D1",0,1)</f>
        <v>0</v>
      </c>
      <c r="H465" s="57">
        <f>IF(OR(PSPOINTS[[#This Row],[Hourly]]=TRUE,PSPOINTS[[#This Row],[Hourly]]=FALSE),IF(OR(PSPOINTS[[#This Row],[PayScalePointEnabled]]=TRUE,PSPOINTS[[#This Row],[PayScalePointEnabled]]=FALSE),0,1),1)</f>
        <v>0</v>
      </c>
      <c r="I465" s="57">
        <f>IF(LEN(PSPOINTS[[#This Row],[PayScalePointCode]])&lt;100,0,1)</f>
        <v>0</v>
      </c>
      <c r="J465" s="57">
        <f>IF(LEN(PSPOINTS[[#This Row],[PayScalePointTitle]])&lt;100,0,1)</f>
        <v>0</v>
      </c>
      <c r="K465" s="57">
        <f>(COUNTBLANK(PSPOINTS[[#This Row],[PayScalePointCode]:[RateDateFrom]])+COUNTBLANK(PSPOINTS[[#This Row],[PayScaleRate]]))</f>
        <v>0</v>
      </c>
      <c r="L465" s="120">
        <f>IF(SUBSTITUTE(TEXT(PSPOINTS[[#This Row],[PayScaleCode]],10)," ","")=TEXT(PSPOINTS[[#This Row],[PayScaleCode]],10),0,1)+IF(SUBSTITUTE(TEXT(PSPOINTS[[#This Row],[PayScalePointCode]],10)," ","")=TEXT(PSPOINTS[[#This Row],[PayScalePointCode]],10),0,1)</f>
        <v>0</v>
      </c>
      <c r="M465" s="57">
        <f ca="1">SUM(PSPOINTS[[#This Row],[Scale Point Issue]:[Space in Code]])</f>
        <v>0</v>
      </c>
      <c r="N465" s="57" t="s">
        <v>1412</v>
      </c>
      <c r="P465" s="12" t="s">
        <v>1421</v>
      </c>
      <c r="Q465" s="57" t="str">
        <f>_xlfn.XLOOKUP(PSPOINTS[[#This Row],[PayScaleCode]],'19_PayScales'!N:N,'19_PayScales'!O:O)</f>
        <v>NJC Outer</v>
      </c>
      <c r="R465" s="12">
        <v>34</v>
      </c>
      <c r="S465" s="12">
        <v>34</v>
      </c>
      <c r="T465" s="12">
        <v>34</v>
      </c>
      <c r="U465" s="12" t="b">
        <v>0</v>
      </c>
      <c r="V465" s="15" t="b">
        <v>1</v>
      </c>
      <c r="W465" s="164">
        <v>45748</v>
      </c>
      <c r="X465" s="140"/>
      <c r="Y465" s="163">
        <v>48003</v>
      </c>
    </row>
    <row r="466" spans="1:25" hidden="1" x14ac:dyDescent="0.25">
      <c r="A466" s="158" t="str">
        <f>PSPOINTS[[#This Row],[PayScaleCode]]&amp;PSPOINTS[[#This Row],[RateDateFrom]]</f>
        <v>NJC_OUT45748</v>
      </c>
      <c r="B466" s="57">
        <f t="shared" si="7"/>
        <v>0</v>
      </c>
      <c r="C466" s="57" t="str">
        <f>PSPOINTS[[#This Row],[PayScaleCode]]&amp;PSPOINTS[[#This Row],[PayScalePointCode]]&amp;PSPOINTS[[#This Row],[RateDateFrom]]</f>
        <v>NJC_OUT3545748</v>
      </c>
      <c r="D466" s="57">
        <f>COUNTIF(PSPOINTS[Pay Scale String Duplicates],PSPOINTS[[#This Row],[Pay Scale String Duplicates]])-1</f>
        <v>0</v>
      </c>
      <c r="E466" s="57">
        <f>IF((MONTH(_xlfn.XLOOKUP(PSPOINTS[[#This Row],[PayScaleCode]],'19_PayScales'!N:N,'19_PayScales'!R:R)))=MONTH(PSPOINTS[[#This Row],[RateDateFrom]]),0,1)</f>
        <v>0</v>
      </c>
      <c r="F466" s="57">
        <f>IF(ISBLANK(PSPOINTS[[#This Row],[RateDateTo]]),0,IF(PSPOINTS[[#This Row],[RateDateFrom]]&lt;PSPOINTS[[#This Row],[RateDateTo]],0,1))</f>
        <v>0</v>
      </c>
      <c r="G466" s="57" cm="1">
        <f t="array" aca="1" ref="G466" ca="1">IF(CELL("format",PSPOINTS[[#This Row],[RateDateFrom]])="D1",0,1)+IF(CELL("format",PSPOINTS[[#This Row],[RateDateTo]])="D1",0,1)</f>
        <v>0</v>
      </c>
      <c r="H466" s="57">
        <f>IF(OR(PSPOINTS[[#This Row],[Hourly]]=TRUE,PSPOINTS[[#This Row],[Hourly]]=FALSE),IF(OR(PSPOINTS[[#This Row],[PayScalePointEnabled]]=TRUE,PSPOINTS[[#This Row],[PayScalePointEnabled]]=FALSE),0,1),1)</f>
        <v>0</v>
      </c>
      <c r="I466" s="57">
        <f>IF(LEN(PSPOINTS[[#This Row],[PayScalePointCode]])&lt;100,0,1)</f>
        <v>0</v>
      </c>
      <c r="J466" s="57">
        <f>IF(LEN(PSPOINTS[[#This Row],[PayScalePointTitle]])&lt;100,0,1)</f>
        <v>0</v>
      </c>
      <c r="K466" s="57">
        <f>(COUNTBLANK(PSPOINTS[[#This Row],[PayScalePointCode]:[RateDateFrom]])+COUNTBLANK(PSPOINTS[[#This Row],[PayScaleRate]]))</f>
        <v>0</v>
      </c>
      <c r="L466" s="120">
        <f>IF(SUBSTITUTE(TEXT(PSPOINTS[[#This Row],[PayScaleCode]],10)," ","")=TEXT(PSPOINTS[[#This Row],[PayScaleCode]],10),0,1)+IF(SUBSTITUTE(TEXT(PSPOINTS[[#This Row],[PayScalePointCode]],10)," ","")=TEXT(PSPOINTS[[#This Row],[PayScalePointCode]],10),0,1)</f>
        <v>0</v>
      </c>
      <c r="M466" s="57">
        <f ca="1">SUM(PSPOINTS[[#This Row],[Scale Point Issue]:[Space in Code]])</f>
        <v>0</v>
      </c>
      <c r="N466" s="57" t="s">
        <v>1412</v>
      </c>
      <c r="P466" s="12" t="s">
        <v>1421</v>
      </c>
      <c r="Q466" s="57" t="str">
        <f>_xlfn.XLOOKUP(PSPOINTS[[#This Row],[PayScaleCode]],'19_PayScales'!N:N,'19_PayScales'!O:O)</f>
        <v>NJC Outer</v>
      </c>
      <c r="R466" s="12">
        <v>35</v>
      </c>
      <c r="S466" s="12">
        <v>35</v>
      </c>
      <c r="T466" s="12">
        <v>35</v>
      </c>
      <c r="U466" s="12" t="b">
        <v>0</v>
      </c>
      <c r="V466" s="15" t="b">
        <v>1</v>
      </c>
      <c r="W466" s="164">
        <v>45748</v>
      </c>
      <c r="X466" s="140"/>
      <c r="Y466" s="163">
        <v>49056</v>
      </c>
    </row>
    <row r="467" spans="1:25" hidden="1" x14ac:dyDescent="0.25">
      <c r="A467" s="158" t="str">
        <f>PSPOINTS[[#This Row],[PayScaleCode]]&amp;PSPOINTS[[#This Row],[RateDateFrom]]</f>
        <v>NJC_OUT45748</v>
      </c>
      <c r="B467" s="57">
        <f t="shared" si="7"/>
        <v>0</v>
      </c>
      <c r="C467" s="57" t="str">
        <f>PSPOINTS[[#This Row],[PayScaleCode]]&amp;PSPOINTS[[#This Row],[PayScalePointCode]]&amp;PSPOINTS[[#This Row],[RateDateFrom]]</f>
        <v>NJC_OUT3645748</v>
      </c>
      <c r="D467" s="57">
        <f>COUNTIF(PSPOINTS[Pay Scale String Duplicates],PSPOINTS[[#This Row],[Pay Scale String Duplicates]])-1</f>
        <v>0</v>
      </c>
      <c r="E467" s="57">
        <f>IF((MONTH(_xlfn.XLOOKUP(PSPOINTS[[#This Row],[PayScaleCode]],'19_PayScales'!N:N,'19_PayScales'!R:R)))=MONTH(PSPOINTS[[#This Row],[RateDateFrom]]),0,1)</f>
        <v>0</v>
      </c>
      <c r="F467" s="57">
        <f>IF(ISBLANK(PSPOINTS[[#This Row],[RateDateTo]]),0,IF(PSPOINTS[[#This Row],[RateDateFrom]]&lt;PSPOINTS[[#This Row],[RateDateTo]],0,1))</f>
        <v>0</v>
      </c>
      <c r="G467" s="57" cm="1">
        <f t="array" aca="1" ref="G467" ca="1">IF(CELL("format",PSPOINTS[[#This Row],[RateDateFrom]])="D1",0,1)+IF(CELL("format",PSPOINTS[[#This Row],[RateDateTo]])="D1",0,1)</f>
        <v>0</v>
      </c>
      <c r="H467" s="57">
        <f>IF(OR(PSPOINTS[[#This Row],[Hourly]]=TRUE,PSPOINTS[[#This Row],[Hourly]]=FALSE),IF(OR(PSPOINTS[[#This Row],[PayScalePointEnabled]]=TRUE,PSPOINTS[[#This Row],[PayScalePointEnabled]]=FALSE),0,1),1)</f>
        <v>0</v>
      </c>
      <c r="I467" s="57">
        <f>IF(LEN(PSPOINTS[[#This Row],[PayScalePointCode]])&lt;100,0,1)</f>
        <v>0</v>
      </c>
      <c r="J467" s="57">
        <f>IF(LEN(PSPOINTS[[#This Row],[PayScalePointTitle]])&lt;100,0,1)</f>
        <v>0</v>
      </c>
      <c r="K467" s="57">
        <f>(COUNTBLANK(PSPOINTS[[#This Row],[PayScalePointCode]:[RateDateFrom]])+COUNTBLANK(PSPOINTS[[#This Row],[PayScaleRate]]))</f>
        <v>0</v>
      </c>
      <c r="L467" s="120">
        <f>IF(SUBSTITUTE(TEXT(PSPOINTS[[#This Row],[PayScaleCode]],10)," ","")=TEXT(PSPOINTS[[#This Row],[PayScaleCode]],10),0,1)+IF(SUBSTITUTE(TEXT(PSPOINTS[[#This Row],[PayScalePointCode]],10)," ","")=TEXT(PSPOINTS[[#This Row],[PayScalePointCode]],10),0,1)</f>
        <v>0</v>
      </c>
      <c r="M467" s="57">
        <f ca="1">SUM(PSPOINTS[[#This Row],[Scale Point Issue]:[Space in Code]])</f>
        <v>0</v>
      </c>
      <c r="N467" s="57" t="s">
        <v>1412</v>
      </c>
      <c r="P467" s="12" t="s">
        <v>1421</v>
      </c>
      <c r="Q467" s="57" t="str">
        <f>_xlfn.XLOOKUP(PSPOINTS[[#This Row],[PayScaleCode]],'19_PayScales'!N:N,'19_PayScales'!O:O)</f>
        <v>NJC Outer</v>
      </c>
      <c r="R467" s="12">
        <v>36</v>
      </c>
      <c r="S467" s="12">
        <v>36</v>
      </c>
      <c r="T467" s="12">
        <v>36</v>
      </c>
      <c r="U467" s="12" t="b">
        <v>0</v>
      </c>
      <c r="V467" s="15" t="b">
        <v>1</v>
      </c>
      <c r="W467" s="164">
        <v>45748</v>
      </c>
      <c r="X467" s="140"/>
      <c r="Y467" s="163">
        <v>50085</v>
      </c>
    </row>
    <row r="468" spans="1:25" hidden="1" x14ac:dyDescent="0.25">
      <c r="A468" s="158" t="str">
        <f>PSPOINTS[[#This Row],[PayScaleCode]]&amp;PSPOINTS[[#This Row],[RateDateFrom]]</f>
        <v>NJC_OUT45748</v>
      </c>
      <c r="B468" s="57">
        <f t="shared" si="7"/>
        <v>0</v>
      </c>
      <c r="C468" s="57" t="str">
        <f>PSPOINTS[[#This Row],[PayScaleCode]]&amp;PSPOINTS[[#This Row],[PayScalePointCode]]&amp;PSPOINTS[[#This Row],[RateDateFrom]]</f>
        <v>NJC_OUT3745748</v>
      </c>
      <c r="D468" s="57">
        <f>COUNTIF(PSPOINTS[Pay Scale String Duplicates],PSPOINTS[[#This Row],[Pay Scale String Duplicates]])-1</f>
        <v>0</v>
      </c>
      <c r="E468" s="57">
        <f>IF((MONTH(_xlfn.XLOOKUP(PSPOINTS[[#This Row],[PayScaleCode]],'19_PayScales'!N:N,'19_PayScales'!R:R)))=MONTH(PSPOINTS[[#This Row],[RateDateFrom]]),0,1)</f>
        <v>0</v>
      </c>
      <c r="F468" s="57">
        <f>IF(ISBLANK(PSPOINTS[[#This Row],[RateDateTo]]),0,IF(PSPOINTS[[#This Row],[RateDateFrom]]&lt;PSPOINTS[[#This Row],[RateDateTo]],0,1))</f>
        <v>0</v>
      </c>
      <c r="G468" s="57" cm="1">
        <f t="array" aca="1" ref="G468" ca="1">IF(CELL("format",PSPOINTS[[#This Row],[RateDateFrom]])="D1",0,1)+IF(CELL("format",PSPOINTS[[#This Row],[RateDateTo]])="D1",0,1)</f>
        <v>0</v>
      </c>
      <c r="H468" s="57">
        <f>IF(OR(PSPOINTS[[#This Row],[Hourly]]=TRUE,PSPOINTS[[#This Row],[Hourly]]=FALSE),IF(OR(PSPOINTS[[#This Row],[PayScalePointEnabled]]=TRUE,PSPOINTS[[#This Row],[PayScalePointEnabled]]=FALSE),0,1),1)</f>
        <v>0</v>
      </c>
      <c r="I468" s="57">
        <f>IF(LEN(PSPOINTS[[#This Row],[PayScalePointCode]])&lt;100,0,1)</f>
        <v>0</v>
      </c>
      <c r="J468" s="57">
        <f>IF(LEN(PSPOINTS[[#This Row],[PayScalePointTitle]])&lt;100,0,1)</f>
        <v>0</v>
      </c>
      <c r="K468" s="57">
        <f>(COUNTBLANK(PSPOINTS[[#This Row],[PayScalePointCode]:[RateDateFrom]])+COUNTBLANK(PSPOINTS[[#This Row],[PayScaleRate]]))</f>
        <v>0</v>
      </c>
      <c r="L468" s="120">
        <f>IF(SUBSTITUTE(TEXT(PSPOINTS[[#This Row],[PayScaleCode]],10)," ","")=TEXT(PSPOINTS[[#This Row],[PayScaleCode]],10),0,1)+IF(SUBSTITUTE(TEXT(PSPOINTS[[#This Row],[PayScalePointCode]],10)," ","")=TEXT(PSPOINTS[[#This Row],[PayScalePointCode]],10),0,1)</f>
        <v>0</v>
      </c>
      <c r="M468" s="57">
        <f ca="1">SUM(PSPOINTS[[#This Row],[Scale Point Issue]:[Space in Code]])</f>
        <v>0</v>
      </c>
      <c r="N468" s="57" t="s">
        <v>1412</v>
      </c>
      <c r="P468" s="12" t="s">
        <v>1421</v>
      </c>
      <c r="Q468" s="57" t="str">
        <f>_xlfn.XLOOKUP(PSPOINTS[[#This Row],[PayScaleCode]],'19_PayScales'!N:N,'19_PayScales'!O:O)</f>
        <v>NJC Outer</v>
      </c>
      <c r="R468" s="12">
        <v>37</v>
      </c>
      <c r="S468" s="12">
        <v>37</v>
      </c>
      <c r="T468" s="12">
        <v>37</v>
      </c>
      <c r="U468" s="12" t="b">
        <v>0</v>
      </c>
      <c r="V468" s="15" t="b">
        <v>1</v>
      </c>
      <c r="W468" s="164">
        <v>45748</v>
      </c>
      <c r="X468" s="140"/>
      <c r="Y468" s="163">
        <v>51138</v>
      </c>
    </row>
    <row r="469" spans="1:25" hidden="1" x14ac:dyDescent="0.25">
      <c r="A469" s="158" t="str">
        <f>PSPOINTS[[#This Row],[PayScaleCode]]&amp;PSPOINTS[[#This Row],[RateDateFrom]]</f>
        <v>NJC_OUT45748</v>
      </c>
      <c r="B469" s="57">
        <f t="shared" si="7"/>
        <v>0</v>
      </c>
      <c r="C469" s="57" t="str">
        <f>PSPOINTS[[#This Row],[PayScaleCode]]&amp;PSPOINTS[[#This Row],[PayScalePointCode]]&amp;PSPOINTS[[#This Row],[RateDateFrom]]</f>
        <v>NJC_OUT3845748</v>
      </c>
      <c r="D469" s="57">
        <f>COUNTIF(PSPOINTS[Pay Scale String Duplicates],PSPOINTS[[#This Row],[Pay Scale String Duplicates]])-1</f>
        <v>0</v>
      </c>
      <c r="E469" s="57">
        <f>IF((MONTH(_xlfn.XLOOKUP(PSPOINTS[[#This Row],[PayScaleCode]],'19_PayScales'!N:N,'19_PayScales'!R:R)))=MONTH(PSPOINTS[[#This Row],[RateDateFrom]]),0,1)</f>
        <v>0</v>
      </c>
      <c r="F469" s="57">
        <f>IF(ISBLANK(PSPOINTS[[#This Row],[RateDateTo]]),0,IF(PSPOINTS[[#This Row],[RateDateFrom]]&lt;PSPOINTS[[#This Row],[RateDateTo]],0,1))</f>
        <v>0</v>
      </c>
      <c r="G469" s="57" cm="1">
        <f t="array" aca="1" ref="G469" ca="1">IF(CELL("format",PSPOINTS[[#This Row],[RateDateFrom]])="D1",0,1)+IF(CELL("format",PSPOINTS[[#This Row],[RateDateTo]])="D1",0,1)</f>
        <v>0</v>
      </c>
      <c r="H469" s="57">
        <f>IF(OR(PSPOINTS[[#This Row],[Hourly]]=TRUE,PSPOINTS[[#This Row],[Hourly]]=FALSE),IF(OR(PSPOINTS[[#This Row],[PayScalePointEnabled]]=TRUE,PSPOINTS[[#This Row],[PayScalePointEnabled]]=FALSE),0,1),1)</f>
        <v>0</v>
      </c>
      <c r="I469" s="57">
        <f>IF(LEN(PSPOINTS[[#This Row],[PayScalePointCode]])&lt;100,0,1)</f>
        <v>0</v>
      </c>
      <c r="J469" s="57">
        <f>IF(LEN(PSPOINTS[[#This Row],[PayScalePointTitle]])&lt;100,0,1)</f>
        <v>0</v>
      </c>
      <c r="K469" s="57">
        <f>(COUNTBLANK(PSPOINTS[[#This Row],[PayScalePointCode]:[RateDateFrom]])+COUNTBLANK(PSPOINTS[[#This Row],[PayScaleRate]]))</f>
        <v>0</v>
      </c>
      <c r="L469" s="120">
        <f>IF(SUBSTITUTE(TEXT(PSPOINTS[[#This Row],[PayScaleCode]],10)," ","")=TEXT(PSPOINTS[[#This Row],[PayScaleCode]],10),0,1)+IF(SUBSTITUTE(TEXT(PSPOINTS[[#This Row],[PayScalePointCode]],10)," ","")=TEXT(PSPOINTS[[#This Row],[PayScalePointCode]],10),0,1)</f>
        <v>0</v>
      </c>
      <c r="M469" s="57">
        <f ca="1">SUM(PSPOINTS[[#This Row],[Scale Point Issue]:[Space in Code]])</f>
        <v>0</v>
      </c>
      <c r="N469" s="57" t="s">
        <v>1412</v>
      </c>
      <c r="P469" s="12" t="s">
        <v>1421</v>
      </c>
      <c r="Q469" s="57" t="str">
        <f>_xlfn.XLOOKUP(PSPOINTS[[#This Row],[PayScaleCode]],'19_PayScales'!N:N,'19_PayScales'!O:O)</f>
        <v>NJC Outer</v>
      </c>
      <c r="R469" s="12">
        <v>38</v>
      </c>
      <c r="S469" s="12">
        <v>38</v>
      </c>
      <c r="T469" s="12">
        <v>38</v>
      </c>
      <c r="U469" s="12" t="b">
        <v>0</v>
      </c>
      <c r="V469" s="15" t="b">
        <v>1</v>
      </c>
      <c r="W469" s="164">
        <v>45748</v>
      </c>
      <c r="X469" s="140"/>
      <c r="Y469" s="163">
        <v>52194</v>
      </c>
    </row>
    <row r="470" spans="1:25" hidden="1" x14ac:dyDescent="0.25">
      <c r="A470" s="158" t="str">
        <f>PSPOINTS[[#This Row],[PayScaleCode]]&amp;PSPOINTS[[#This Row],[RateDateFrom]]</f>
        <v>NJC_OUT45748</v>
      </c>
      <c r="B470" s="57">
        <f t="shared" si="7"/>
        <v>0</v>
      </c>
      <c r="C470" s="57" t="str">
        <f>PSPOINTS[[#This Row],[PayScaleCode]]&amp;PSPOINTS[[#This Row],[PayScalePointCode]]&amp;PSPOINTS[[#This Row],[RateDateFrom]]</f>
        <v>NJC_OUT3945748</v>
      </c>
      <c r="D470" s="57">
        <f>COUNTIF(PSPOINTS[Pay Scale String Duplicates],PSPOINTS[[#This Row],[Pay Scale String Duplicates]])-1</f>
        <v>0</v>
      </c>
      <c r="E470" s="57">
        <f>IF((MONTH(_xlfn.XLOOKUP(PSPOINTS[[#This Row],[PayScaleCode]],'19_PayScales'!N:N,'19_PayScales'!R:R)))=MONTH(PSPOINTS[[#This Row],[RateDateFrom]]),0,1)</f>
        <v>0</v>
      </c>
      <c r="F470" s="57">
        <f>IF(ISBLANK(PSPOINTS[[#This Row],[RateDateTo]]),0,IF(PSPOINTS[[#This Row],[RateDateFrom]]&lt;PSPOINTS[[#This Row],[RateDateTo]],0,1))</f>
        <v>0</v>
      </c>
      <c r="G470" s="57" cm="1">
        <f t="array" aca="1" ref="G470" ca="1">IF(CELL("format",PSPOINTS[[#This Row],[RateDateFrom]])="D1",0,1)+IF(CELL("format",PSPOINTS[[#This Row],[RateDateTo]])="D1",0,1)</f>
        <v>0</v>
      </c>
      <c r="H470" s="57">
        <f>IF(OR(PSPOINTS[[#This Row],[Hourly]]=TRUE,PSPOINTS[[#This Row],[Hourly]]=FALSE),IF(OR(PSPOINTS[[#This Row],[PayScalePointEnabled]]=TRUE,PSPOINTS[[#This Row],[PayScalePointEnabled]]=FALSE),0,1),1)</f>
        <v>0</v>
      </c>
      <c r="I470" s="57">
        <f>IF(LEN(PSPOINTS[[#This Row],[PayScalePointCode]])&lt;100,0,1)</f>
        <v>0</v>
      </c>
      <c r="J470" s="57">
        <f>IF(LEN(PSPOINTS[[#This Row],[PayScalePointTitle]])&lt;100,0,1)</f>
        <v>0</v>
      </c>
      <c r="K470" s="57">
        <f>(COUNTBLANK(PSPOINTS[[#This Row],[PayScalePointCode]:[RateDateFrom]])+COUNTBLANK(PSPOINTS[[#This Row],[PayScaleRate]]))</f>
        <v>0</v>
      </c>
      <c r="L470" s="120">
        <f>IF(SUBSTITUTE(TEXT(PSPOINTS[[#This Row],[PayScaleCode]],10)," ","")=TEXT(PSPOINTS[[#This Row],[PayScaleCode]],10),0,1)+IF(SUBSTITUTE(TEXT(PSPOINTS[[#This Row],[PayScalePointCode]],10)," ","")=TEXT(PSPOINTS[[#This Row],[PayScalePointCode]],10),0,1)</f>
        <v>0</v>
      </c>
      <c r="M470" s="57">
        <f ca="1">SUM(PSPOINTS[[#This Row],[Scale Point Issue]:[Space in Code]])</f>
        <v>0</v>
      </c>
      <c r="N470" s="57" t="s">
        <v>1412</v>
      </c>
      <c r="P470" s="12" t="s">
        <v>1421</v>
      </c>
      <c r="Q470" s="57" t="str">
        <f>_xlfn.XLOOKUP(PSPOINTS[[#This Row],[PayScaleCode]],'19_PayScales'!N:N,'19_PayScales'!O:O)</f>
        <v>NJC Outer</v>
      </c>
      <c r="R470" s="12">
        <v>39</v>
      </c>
      <c r="S470" s="12">
        <v>39</v>
      </c>
      <c r="T470" s="12">
        <v>39</v>
      </c>
      <c r="U470" s="12" t="b">
        <v>0</v>
      </c>
      <c r="V470" s="15" t="b">
        <v>1</v>
      </c>
      <c r="W470" s="164">
        <v>45748</v>
      </c>
      <c r="X470" s="140"/>
      <c r="Y470" s="163">
        <v>53172</v>
      </c>
    </row>
    <row r="471" spans="1:25" hidden="1" x14ac:dyDescent="0.25">
      <c r="A471" s="158" t="str">
        <f>PSPOINTS[[#This Row],[PayScaleCode]]&amp;PSPOINTS[[#This Row],[RateDateFrom]]</f>
        <v>NJC_OUT45748</v>
      </c>
      <c r="B471" s="57">
        <f t="shared" si="7"/>
        <v>0</v>
      </c>
      <c r="C471" s="57" t="str">
        <f>PSPOINTS[[#This Row],[PayScaleCode]]&amp;PSPOINTS[[#This Row],[PayScalePointCode]]&amp;PSPOINTS[[#This Row],[RateDateFrom]]</f>
        <v>NJC_OUT4045748</v>
      </c>
      <c r="D471" s="57">
        <f>COUNTIF(PSPOINTS[Pay Scale String Duplicates],PSPOINTS[[#This Row],[Pay Scale String Duplicates]])-1</f>
        <v>0</v>
      </c>
      <c r="E471" s="57">
        <f>IF((MONTH(_xlfn.XLOOKUP(PSPOINTS[[#This Row],[PayScaleCode]],'19_PayScales'!N:N,'19_PayScales'!R:R)))=MONTH(PSPOINTS[[#This Row],[RateDateFrom]]),0,1)</f>
        <v>0</v>
      </c>
      <c r="F471" s="57">
        <f>IF(ISBLANK(PSPOINTS[[#This Row],[RateDateTo]]),0,IF(PSPOINTS[[#This Row],[RateDateFrom]]&lt;PSPOINTS[[#This Row],[RateDateTo]],0,1))</f>
        <v>0</v>
      </c>
      <c r="G471" s="57" cm="1">
        <f t="array" aca="1" ref="G471" ca="1">IF(CELL("format",PSPOINTS[[#This Row],[RateDateFrom]])="D1",0,1)+IF(CELL("format",PSPOINTS[[#This Row],[RateDateTo]])="D1",0,1)</f>
        <v>0</v>
      </c>
      <c r="H471" s="57">
        <f>IF(OR(PSPOINTS[[#This Row],[Hourly]]=TRUE,PSPOINTS[[#This Row],[Hourly]]=FALSE),IF(OR(PSPOINTS[[#This Row],[PayScalePointEnabled]]=TRUE,PSPOINTS[[#This Row],[PayScalePointEnabled]]=FALSE),0,1),1)</f>
        <v>0</v>
      </c>
      <c r="I471" s="57">
        <f>IF(LEN(PSPOINTS[[#This Row],[PayScalePointCode]])&lt;100,0,1)</f>
        <v>0</v>
      </c>
      <c r="J471" s="57">
        <f>IF(LEN(PSPOINTS[[#This Row],[PayScalePointTitle]])&lt;100,0,1)</f>
        <v>0</v>
      </c>
      <c r="K471" s="57">
        <f>(COUNTBLANK(PSPOINTS[[#This Row],[PayScalePointCode]:[RateDateFrom]])+COUNTBLANK(PSPOINTS[[#This Row],[PayScaleRate]]))</f>
        <v>0</v>
      </c>
      <c r="L471" s="120">
        <f>IF(SUBSTITUTE(TEXT(PSPOINTS[[#This Row],[PayScaleCode]],10)," ","")=TEXT(PSPOINTS[[#This Row],[PayScaleCode]],10),0,1)+IF(SUBSTITUTE(TEXT(PSPOINTS[[#This Row],[PayScalePointCode]],10)," ","")=TEXT(PSPOINTS[[#This Row],[PayScalePointCode]],10),0,1)</f>
        <v>0</v>
      </c>
      <c r="M471" s="57">
        <f ca="1">SUM(PSPOINTS[[#This Row],[Scale Point Issue]:[Space in Code]])</f>
        <v>0</v>
      </c>
      <c r="N471" s="57" t="s">
        <v>1412</v>
      </c>
      <c r="P471" s="12" t="s">
        <v>1421</v>
      </c>
      <c r="Q471" s="57" t="str">
        <f>_xlfn.XLOOKUP(PSPOINTS[[#This Row],[PayScaleCode]],'19_PayScales'!N:N,'19_PayScales'!O:O)</f>
        <v>NJC Outer</v>
      </c>
      <c r="R471" s="12">
        <v>40</v>
      </c>
      <c r="S471" s="12">
        <v>40</v>
      </c>
      <c r="T471" s="12">
        <v>40</v>
      </c>
      <c r="U471" s="12" t="b">
        <v>0</v>
      </c>
      <c r="V471" s="15" t="b">
        <v>1</v>
      </c>
      <c r="W471" s="164">
        <v>45748</v>
      </c>
      <c r="X471" s="140"/>
      <c r="Y471" s="163">
        <v>54267</v>
      </c>
    </row>
    <row r="472" spans="1:25" hidden="1" x14ac:dyDescent="0.25">
      <c r="A472" s="158" t="str">
        <f>PSPOINTS[[#This Row],[PayScaleCode]]&amp;PSPOINTS[[#This Row],[RateDateFrom]]</f>
        <v>NJC_OUT45748</v>
      </c>
      <c r="B472" s="57">
        <f t="shared" si="7"/>
        <v>0</v>
      </c>
      <c r="C472" s="57" t="str">
        <f>PSPOINTS[[#This Row],[PayScaleCode]]&amp;PSPOINTS[[#This Row],[PayScalePointCode]]&amp;PSPOINTS[[#This Row],[RateDateFrom]]</f>
        <v>NJC_OUT4145748</v>
      </c>
      <c r="D472" s="57">
        <f>COUNTIF(PSPOINTS[Pay Scale String Duplicates],PSPOINTS[[#This Row],[Pay Scale String Duplicates]])-1</f>
        <v>0</v>
      </c>
      <c r="E472" s="57">
        <f>IF((MONTH(_xlfn.XLOOKUP(PSPOINTS[[#This Row],[PayScaleCode]],'19_PayScales'!N:N,'19_PayScales'!R:R)))=MONTH(PSPOINTS[[#This Row],[RateDateFrom]]),0,1)</f>
        <v>0</v>
      </c>
      <c r="F472" s="57">
        <f>IF(ISBLANK(PSPOINTS[[#This Row],[RateDateTo]]),0,IF(PSPOINTS[[#This Row],[RateDateFrom]]&lt;PSPOINTS[[#This Row],[RateDateTo]],0,1))</f>
        <v>0</v>
      </c>
      <c r="G472" s="57" cm="1">
        <f t="array" aca="1" ref="G472" ca="1">IF(CELL("format",PSPOINTS[[#This Row],[RateDateFrom]])="D1",0,1)+IF(CELL("format",PSPOINTS[[#This Row],[RateDateTo]])="D1",0,1)</f>
        <v>0</v>
      </c>
      <c r="H472" s="57">
        <f>IF(OR(PSPOINTS[[#This Row],[Hourly]]=TRUE,PSPOINTS[[#This Row],[Hourly]]=FALSE),IF(OR(PSPOINTS[[#This Row],[PayScalePointEnabled]]=TRUE,PSPOINTS[[#This Row],[PayScalePointEnabled]]=FALSE),0,1),1)</f>
        <v>0</v>
      </c>
      <c r="I472" s="57">
        <f>IF(LEN(PSPOINTS[[#This Row],[PayScalePointCode]])&lt;100,0,1)</f>
        <v>0</v>
      </c>
      <c r="J472" s="57">
        <f>IF(LEN(PSPOINTS[[#This Row],[PayScalePointTitle]])&lt;100,0,1)</f>
        <v>0</v>
      </c>
      <c r="K472" s="57">
        <f>(COUNTBLANK(PSPOINTS[[#This Row],[PayScalePointCode]:[RateDateFrom]])+COUNTBLANK(PSPOINTS[[#This Row],[PayScaleRate]]))</f>
        <v>0</v>
      </c>
      <c r="L472" s="120">
        <f>IF(SUBSTITUTE(TEXT(PSPOINTS[[#This Row],[PayScaleCode]],10)," ","")=TEXT(PSPOINTS[[#This Row],[PayScaleCode]],10),0,1)+IF(SUBSTITUTE(TEXT(PSPOINTS[[#This Row],[PayScalePointCode]],10)," ","")=TEXT(PSPOINTS[[#This Row],[PayScalePointCode]],10),0,1)</f>
        <v>0</v>
      </c>
      <c r="M472" s="57">
        <f ca="1">SUM(PSPOINTS[[#This Row],[Scale Point Issue]:[Space in Code]])</f>
        <v>0</v>
      </c>
      <c r="N472" s="57" t="s">
        <v>1412</v>
      </c>
      <c r="P472" s="12" t="s">
        <v>1421</v>
      </c>
      <c r="Q472" s="57" t="str">
        <f>_xlfn.XLOOKUP(PSPOINTS[[#This Row],[PayScaleCode]],'19_PayScales'!N:N,'19_PayScales'!O:O)</f>
        <v>NJC Outer</v>
      </c>
      <c r="R472" s="12">
        <v>41</v>
      </c>
      <c r="S472" s="12">
        <v>41</v>
      </c>
      <c r="T472" s="12">
        <v>41</v>
      </c>
      <c r="U472" s="12" t="b">
        <v>0</v>
      </c>
      <c r="V472" s="15" t="b">
        <v>1</v>
      </c>
      <c r="W472" s="164">
        <v>45748</v>
      </c>
      <c r="X472" s="140"/>
      <c r="Y472" s="163">
        <v>55323</v>
      </c>
    </row>
    <row r="473" spans="1:25" hidden="1" x14ac:dyDescent="0.25">
      <c r="A473" s="158" t="str">
        <f>PSPOINTS[[#This Row],[PayScaleCode]]&amp;PSPOINTS[[#This Row],[RateDateFrom]]</f>
        <v>NJC_OUT45748</v>
      </c>
      <c r="B473" s="57">
        <f t="shared" si="7"/>
        <v>0</v>
      </c>
      <c r="C473" s="57" t="str">
        <f>PSPOINTS[[#This Row],[PayScaleCode]]&amp;PSPOINTS[[#This Row],[PayScalePointCode]]&amp;PSPOINTS[[#This Row],[RateDateFrom]]</f>
        <v>NJC_OUT4245748</v>
      </c>
      <c r="D473" s="57">
        <f>COUNTIF(PSPOINTS[Pay Scale String Duplicates],PSPOINTS[[#This Row],[Pay Scale String Duplicates]])-1</f>
        <v>0</v>
      </c>
      <c r="E473" s="57">
        <f>IF((MONTH(_xlfn.XLOOKUP(PSPOINTS[[#This Row],[PayScaleCode]],'19_PayScales'!N:N,'19_PayScales'!R:R)))=MONTH(PSPOINTS[[#This Row],[RateDateFrom]]),0,1)</f>
        <v>0</v>
      </c>
      <c r="F473" s="57">
        <f>IF(ISBLANK(PSPOINTS[[#This Row],[RateDateTo]]),0,IF(PSPOINTS[[#This Row],[RateDateFrom]]&lt;PSPOINTS[[#This Row],[RateDateTo]],0,1))</f>
        <v>0</v>
      </c>
      <c r="G473" s="57" cm="1">
        <f t="array" aca="1" ref="G473" ca="1">IF(CELL("format",PSPOINTS[[#This Row],[RateDateFrom]])="D1",0,1)+IF(CELL("format",PSPOINTS[[#This Row],[RateDateTo]])="D1",0,1)</f>
        <v>0</v>
      </c>
      <c r="H473" s="57">
        <f>IF(OR(PSPOINTS[[#This Row],[Hourly]]=TRUE,PSPOINTS[[#This Row],[Hourly]]=FALSE),IF(OR(PSPOINTS[[#This Row],[PayScalePointEnabled]]=TRUE,PSPOINTS[[#This Row],[PayScalePointEnabled]]=FALSE),0,1),1)</f>
        <v>0</v>
      </c>
      <c r="I473" s="57">
        <f>IF(LEN(PSPOINTS[[#This Row],[PayScalePointCode]])&lt;100,0,1)</f>
        <v>0</v>
      </c>
      <c r="J473" s="57">
        <f>IF(LEN(PSPOINTS[[#This Row],[PayScalePointTitle]])&lt;100,0,1)</f>
        <v>0</v>
      </c>
      <c r="K473" s="57">
        <f>(COUNTBLANK(PSPOINTS[[#This Row],[PayScalePointCode]:[RateDateFrom]])+COUNTBLANK(PSPOINTS[[#This Row],[PayScaleRate]]))</f>
        <v>0</v>
      </c>
      <c r="L473" s="120">
        <f>IF(SUBSTITUTE(TEXT(PSPOINTS[[#This Row],[PayScaleCode]],10)," ","")=TEXT(PSPOINTS[[#This Row],[PayScaleCode]],10),0,1)+IF(SUBSTITUTE(TEXT(PSPOINTS[[#This Row],[PayScalePointCode]],10)," ","")=TEXT(PSPOINTS[[#This Row],[PayScalePointCode]],10),0,1)</f>
        <v>0</v>
      </c>
      <c r="M473" s="57">
        <f ca="1">SUM(PSPOINTS[[#This Row],[Scale Point Issue]:[Space in Code]])</f>
        <v>0</v>
      </c>
      <c r="N473" s="57" t="s">
        <v>1412</v>
      </c>
      <c r="P473" s="12" t="s">
        <v>1421</v>
      </c>
      <c r="Q473" s="57" t="str">
        <f>_xlfn.XLOOKUP(PSPOINTS[[#This Row],[PayScaleCode]],'19_PayScales'!N:N,'19_PayScales'!O:O)</f>
        <v>NJC Outer</v>
      </c>
      <c r="R473" s="12">
        <v>42</v>
      </c>
      <c r="S473" s="12">
        <v>42</v>
      </c>
      <c r="T473" s="12">
        <v>42</v>
      </c>
      <c r="U473" s="12" t="b">
        <v>0</v>
      </c>
      <c r="V473" s="15" t="b">
        <v>1</v>
      </c>
      <c r="W473" s="164">
        <v>45748</v>
      </c>
      <c r="X473" s="140"/>
      <c r="Y473" s="163">
        <v>56376</v>
      </c>
    </row>
    <row r="474" spans="1:25" hidden="1" x14ac:dyDescent="0.25">
      <c r="A474" s="158" t="str">
        <f>PSPOINTS[[#This Row],[PayScaleCode]]&amp;PSPOINTS[[#This Row],[RateDateFrom]]</f>
        <v>NJC_OUT45748</v>
      </c>
      <c r="B474" s="57">
        <f t="shared" si="7"/>
        <v>0</v>
      </c>
      <c r="C474" s="57" t="str">
        <f>PSPOINTS[[#This Row],[PayScaleCode]]&amp;PSPOINTS[[#This Row],[PayScalePointCode]]&amp;PSPOINTS[[#This Row],[RateDateFrom]]</f>
        <v>NJC_OUT4345748</v>
      </c>
      <c r="D474" s="57">
        <f>COUNTIF(PSPOINTS[Pay Scale String Duplicates],PSPOINTS[[#This Row],[Pay Scale String Duplicates]])-1</f>
        <v>0</v>
      </c>
      <c r="E474" s="57">
        <f>IF((MONTH(_xlfn.XLOOKUP(PSPOINTS[[#This Row],[PayScaleCode]],'19_PayScales'!N:N,'19_PayScales'!R:R)))=MONTH(PSPOINTS[[#This Row],[RateDateFrom]]),0,1)</f>
        <v>0</v>
      </c>
      <c r="F474" s="57">
        <f>IF(ISBLANK(PSPOINTS[[#This Row],[RateDateTo]]),0,IF(PSPOINTS[[#This Row],[RateDateFrom]]&lt;PSPOINTS[[#This Row],[RateDateTo]],0,1))</f>
        <v>0</v>
      </c>
      <c r="G474" s="57" cm="1">
        <f t="array" aca="1" ref="G474" ca="1">IF(CELL("format",PSPOINTS[[#This Row],[RateDateFrom]])="D1",0,1)+IF(CELL("format",PSPOINTS[[#This Row],[RateDateTo]])="D1",0,1)</f>
        <v>0</v>
      </c>
      <c r="H474" s="57">
        <f>IF(OR(PSPOINTS[[#This Row],[Hourly]]=TRUE,PSPOINTS[[#This Row],[Hourly]]=FALSE),IF(OR(PSPOINTS[[#This Row],[PayScalePointEnabled]]=TRUE,PSPOINTS[[#This Row],[PayScalePointEnabled]]=FALSE),0,1),1)</f>
        <v>0</v>
      </c>
      <c r="I474" s="57">
        <f>IF(LEN(PSPOINTS[[#This Row],[PayScalePointCode]])&lt;100,0,1)</f>
        <v>0</v>
      </c>
      <c r="J474" s="57">
        <f>IF(LEN(PSPOINTS[[#This Row],[PayScalePointTitle]])&lt;100,0,1)</f>
        <v>0</v>
      </c>
      <c r="K474" s="57">
        <f>(COUNTBLANK(PSPOINTS[[#This Row],[PayScalePointCode]:[RateDateFrom]])+COUNTBLANK(PSPOINTS[[#This Row],[PayScaleRate]]))</f>
        <v>0</v>
      </c>
      <c r="L474" s="120">
        <f>IF(SUBSTITUTE(TEXT(PSPOINTS[[#This Row],[PayScaleCode]],10)," ","")=TEXT(PSPOINTS[[#This Row],[PayScaleCode]],10),0,1)+IF(SUBSTITUTE(TEXT(PSPOINTS[[#This Row],[PayScalePointCode]],10)," ","")=TEXT(PSPOINTS[[#This Row],[PayScalePointCode]],10),0,1)</f>
        <v>0</v>
      </c>
      <c r="M474" s="57">
        <f ca="1">SUM(PSPOINTS[[#This Row],[Scale Point Issue]:[Space in Code]])</f>
        <v>0</v>
      </c>
      <c r="N474" s="57" t="s">
        <v>1412</v>
      </c>
      <c r="P474" s="12" t="s">
        <v>1421</v>
      </c>
      <c r="Q474" s="57" t="str">
        <f>_xlfn.XLOOKUP(PSPOINTS[[#This Row],[PayScaleCode]],'19_PayScales'!N:N,'19_PayScales'!O:O)</f>
        <v>NJC Outer</v>
      </c>
      <c r="R474" s="12">
        <v>43</v>
      </c>
      <c r="S474" s="12">
        <v>43</v>
      </c>
      <c r="T474" s="12">
        <v>43</v>
      </c>
      <c r="U474" s="12" t="b">
        <v>0</v>
      </c>
      <c r="V474" s="15" t="b">
        <v>1</v>
      </c>
      <c r="W474" s="164">
        <v>45748</v>
      </c>
      <c r="X474" s="140"/>
      <c r="Y474" s="163">
        <v>57402</v>
      </c>
    </row>
    <row r="475" spans="1:25" hidden="1" x14ac:dyDescent="0.25">
      <c r="A475" s="158" t="str">
        <f>PSPOINTS[[#This Row],[PayScaleCode]]&amp;PSPOINTS[[#This Row],[RateDateFrom]]</f>
        <v>NJC_OUT45748</v>
      </c>
      <c r="B475" s="57">
        <f t="shared" si="7"/>
        <v>0</v>
      </c>
      <c r="C475" s="57" t="str">
        <f>PSPOINTS[[#This Row],[PayScaleCode]]&amp;PSPOINTS[[#This Row],[PayScalePointCode]]&amp;PSPOINTS[[#This Row],[RateDateFrom]]</f>
        <v>NJC_OUT4445748</v>
      </c>
      <c r="D475" s="57">
        <f>COUNTIF(PSPOINTS[Pay Scale String Duplicates],PSPOINTS[[#This Row],[Pay Scale String Duplicates]])-1</f>
        <v>0</v>
      </c>
      <c r="E475" s="57">
        <f>IF((MONTH(_xlfn.XLOOKUP(PSPOINTS[[#This Row],[PayScaleCode]],'19_PayScales'!N:N,'19_PayScales'!R:R)))=MONTH(PSPOINTS[[#This Row],[RateDateFrom]]),0,1)</f>
        <v>0</v>
      </c>
      <c r="F475" s="57">
        <f>IF(ISBLANK(PSPOINTS[[#This Row],[RateDateTo]]),0,IF(PSPOINTS[[#This Row],[RateDateFrom]]&lt;PSPOINTS[[#This Row],[RateDateTo]],0,1))</f>
        <v>0</v>
      </c>
      <c r="G475" s="57" cm="1">
        <f t="array" aca="1" ref="G475" ca="1">IF(CELL("format",PSPOINTS[[#This Row],[RateDateFrom]])="D1",0,1)+IF(CELL("format",PSPOINTS[[#This Row],[RateDateTo]])="D1",0,1)</f>
        <v>0</v>
      </c>
      <c r="H475" s="57">
        <f>IF(OR(PSPOINTS[[#This Row],[Hourly]]=TRUE,PSPOINTS[[#This Row],[Hourly]]=FALSE),IF(OR(PSPOINTS[[#This Row],[PayScalePointEnabled]]=TRUE,PSPOINTS[[#This Row],[PayScalePointEnabled]]=FALSE),0,1),1)</f>
        <v>0</v>
      </c>
      <c r="I475" s="57">
        <f>IF(LEN(PSPOINTS[[#This Row],[PayScalePointCode]])&lt;100,0,1)</f>
        <v>0</v>
      </c>
      <c r="J475" s="57">
        <f>IF(LEN(PSPOINTS[[#This Row],[PayScalePointTitle]])&lt;100,0,1)</f>
        <v>0</v>
      </c>
      <c r="K475" s="57">
        <f>(COUNTBLANK(PSPOINTS[[#This Row],[PayScalePointCode]:[RateDateFrom]])+COUNTBLANK(PSPOINTS[[#This Row],[PayScaleRate]]))</f>
        <v>0</v>
      </c>
      <c r="L475" s="120">
        <f>IF(SUBSTITUTE(TEXT(PSPOINTS[[#This Row],[PayScaleCode]],10)," ","")=TEXT(PSPOINTS[[#This Row],[PayScaleCode]],10),0,1)+IF(SUBSTITUTE(TEXT(PSPOINTS[[#This Row],[PayScalePointCode]],10)," ","")=TEXT(PSPOINTS[[#This Row],[PayScalePointCode]],10),0,1)</f>
        <v>0</v>
      </c>
      <c r="M475" s="57">
        <f ca="1">SUM(PSPOINTS[[#This Row],[Scale Point Issue]:[Space in Code]])</f>
        <v>0</v>
      </c>
      <c r="N475" s="57" t="s">
        <v>1412</v>
      </c>
      <c r="P475" s="12" t="s">
        <v>1421</v>
      </c>
      <c r="Q475" s="57" t="str">
        <f>_xlfn.XLOOKUP(PSPOINTS[[#This Row],[PayScaleCode]],'19_PayScales'!N:N,'19_PayScales'!O:O)</f>
        <v>NJC Outer</v>
      </c>
      <c r="R475" s="12">
        <v>44</v>
      </c>
      <c r="S475" s="12">
        <v>44</v>
      </c>
      <c r="T475" s="12">
        <v>44</v>
      </c>
      <c r="U475" s="12" t="b">
        <v>0</v>
      </c>
      <c r="V475" s="15" t="b">
        <v>1</v>
      </c>
      <c r="W475" s="164">
        <v>45748</v>
      </c>
      <c r="X475" s="140"/>
      <c r="Y475" s="163">
        <v>58461</v>
      </c>
    </row>
    <row r="476" spans="1:25" hidden="1" x14ac:dyDescent="0.25">
      <c r="A476" s="158" t="str">
        <f>PSPOINTS[[#This Row],[PayScaleCode]]&amp;PSPOINTS[[#This Row],[RateDateFrom]]</f>
        <v>NJC_OUT45748</v>
      </c>
      <c r="B476" s="57">
        <f t="shared" si="7"/>
        <v>0</v>
      </c>
      <c r="C476" s="57" t="str">
        <f>PSPOINTS[[#This Row],[PayScaleCode]]&amp;PSPOINTS[[#This Row],[PayScalePointCode]]&amp;PSPOINTS[[#This Row],[RateDateFrom]]</f>
        <v>NJC_OUT4545748</v>
      </c>
      <c r="D476" s="57">
        <f>COUNTIF(PSPOINTS[Pay Scale String Duplicates],PSPOINTS[[#This Row],[Pay Scale String Duplicates]])-1</f>
        <v>0</v>
      </c>
      <c r="E476" s="57">
        <f>IF((MONTH(_xlfn.XLOOKUP(PSPOINTS[[#This Row],[PayScaleCode]],'19_PayScales'!N:N,'19_PayScales'!R:R)))=MONTH(PSPOINTS[[#This Row],[RateDateFrom]]),0,1)</f>
        <v>0</v>
      </c>
      <c r="F476" s="57">
        <f>IF(ISBLANK(PSPOINTS[[#This Row],[RateDateTo]]),0,IF(PSPOINTS[[#This Row],[RateDateFrom]]&lt;PSPOINTS[[#This Row],[RateDateTo]],0,1))</f>
        <v>0</v>
      </c>
      <c r="G476" s="57" cm="1">
        <f t="array" aca="1" ref="G476" ca="1">IF(CELL("format",PSPOINTS[[#This Row],[RateDateFrom]])="D1",0,1)+IF(CELL("format",PSPOINTS[[#This Row],[RateDateTo]])="D1",0,1)</f>
        <v>0</v>
      </c>
      <c r="H476" s="57">
        <f>IF(OR(PSPOINTS[[#This Row],[Hourly]]=TRUE,PSPOINTS[[#This Row],[Hourly]]=FALSE),IF(OR(PSPOINTS[[#This Row],[PayScalePointEnabled]]=TRUE,PSPOINTS[[#This Row],[PayScalePointEnabled]]=FALSE),0,1),1)</f>
        <v>0</v>
      </c>
      <c r="I476" s="57">
        <f>IF(LEN(PSPOINTS[[#This Row],[PayScalePointCode]])&lt;100,0,1)</f>
        <v>0</v>
      </c>
      <c r="J476" s="57">
        <f>IF(LEN(PSPOINTS[[#This Row],[PayScalePointTitle]])&lt;100,0,1)</f>
        <v>0</v>
      </c>
      <c r="K476" s="57">
        <f>(COUNTBLANK(PSPOINTS[[#This Row],[PayScalePointCode]:[RateDateFrom]])+COUNTBLANK(PSPOINTS[[#This Row],[PayScaleRate]]))</f>
        <v>0</v>
      </c>
      <c r="L476" s="120">
        <f>IF(SUBSTITUTE(TEXT(PSPOINTS[[#This Row],[PayScaleCode]],10)," ","")=TEXT(PSPOINTS[[#This Row],[PayScaleCode]],10),0,1)+IF(SUBSTITUTE(TEXT(PSPOINTS[[#This Row],[PayScalePointCode]],10)," ","")=TEXT(PSPOINTS[[#This Row],[PayScalePointCode]],10),0,1)</f>
        <v>0</v>
      </c>
      <c r="M476" s="57">
        <f ca="1">SUM(PSPOINTS[[#This Row],[Scale Point Issue]:[Space in Code]])</f>
        <v>0</v>
      </c>
      <c r="N476" s="57" t="s">
        <v>1412</v>
      </c>
      <c r="P476" s="12" t="s">
        <v>1421</v>
      </c>
      <c r="Q476" s="57" t="str">
        <f>_xlfn.XLOOKUP(PSPOINTS[[#This Row],[PayScaleCode]],'19_PayScales'!N:N,'19_PayScales'!O:O)</f>
        <v>NJC Outer</v>
      </c>
      <c r="R476" s="12">
        <v>45</v>
      </c>
      <c r="S476" s="12">
        <v>45</v>
      </c>
      <c r="T476" s="12">
        <v>45</v>
      </c>
      <c r="U476" s="12" t="b">
        <v>0</v>
      </c>
      <c r="V476" s="15" t="b">
        <v>1</v>
      </c>
      <c r="W476" s="164">
        <v>45748</v>
      </c>
      <c r="X476" s="140"/>
      <c r="Y476" s="163">
        <v>59511</v>
      </c>
    </row>
    <row r="477" spans="1:25" hidden="1" x14ac:dyDescent="0.25">
      <c r="A477" s="158" t="str">
        <f>PSPOINTS[[#This Row],[PayScaleCode]]&amp;PSPOINTS[[#This Row],[RateDateFrom]]</f>
        <v>NJC_OUT45748</v>
      </c>
      <c r="B477" s="57">
        <f t="shared" si="7"/>
        <v>0</v>
      </c>
      <c r="C477" s="57" t="str">
        <f>PSPOINTS[[#This Row],[PayScaleCode]]&amp;PSPOINTS[[#This Row],[PayScalePointCode]]&amp;PSPOINTS[[#This Row],[RateDateFrom]]</f>
        <v>NJC_OUT4645748</v>
      </c>
      <c r="D477" s="57">
        <f>COUNTIF(PSPOINTS[Pay Scale String Duplicates],PSPOINTS[[#This Row],[Pay Scale String Duplicates]])-1</f>
        <v>0</v>
      </c>
      <c r="E477" s="57">
        <f>IF((MONTH(_xlfn.XLOOKUP(PSPOINTS[[#This Row],[PayScaleCode]],'19_PayScales'!N:N,'19_PayScales'!R:R)))=MONTH(PSPOINTS[[#This Row],[RateDateFrom]]),0,1)</f>
        <v>0</v>
      </c>
      <c r="F477" s="57">
        <f>IF(ISBLANK(PSPOINTS[[#This Row],[RateDateTo]]),0,IF(PSPOINTS[[#This Row],[RateDateFrom]]&lt;PSPOINTS[[#This Row],[RateDateTo]],0,1))</f>
        <v>0</v>
      </c>
      <c r="G477" s="57" cm="1">
        <f t="array" aca="1" ref="G477" ca="1">IF(CELL("format",PSPOINTS[[#This Row],[RateDateFrom]])="D1",0,1)+IF(CELL("format",PSPOINTS[[#This Row],[RateDateTo]])="D1",0,1)</f>
        <v>0</v>
      </c>
      <c r="H477" s="57">
        <f>IF(OR(PSPOINTS[[#This Row],[Hourly]]=TRUE,PSPOINTS[[#This Row],[Hourly]]=FALSE),IF(OR(PSPOINTS[[#This Row],[PayScalePointEnabled]]=TRUE,PSPOINTS[[#This Row],[PayScalePointEnabled]]=FALSE),0,1),1)</f>
        <v>0</v>
      </c>
      <c r="I477" s="57">
        <f>IF(LEN(PSPOINTS[[#This Row],[PayScalePointCode]])&lt;100,0,1)</f>
        <v>0</v>
      </c>
      <c r="J477" s="57">
        <f>IF(LEN(PSPOINTS[[#This Row],[PayScalePointTitle]])&lt;100,0,1)</f>
        <v>0</v>
      </c>
      <c r="K477" s="57">
        <f>(COUNTBLANK(PSPOINTS[[#This Row],[PayScalePointCode]:[RateDateFrom]])+COUNTBLANK(PSPOINTS[[#This Row],[PayScaleRate]]))</f>
        <v>0</v>
      </c>
      <c r="L477" s="120">
        <f>IF(SUBSTITUTE(TEXT(PSPOINTS[[#This Row],[PayScaleCode]],10)," ","")=TEXT(PSPOINTS[[#This Row],[PayScaleCode]],10),0,1)+IF(SUBSTITUTE(TEXT(PSPOINTS[[#This Row],[PayScalePointCode]],10)," ","")=TEXT(PSPOINTS[[#This Row],[PayScalePointCode]],10),0,1)</f>
        <v>0</v>
      </c>
      <c r="M477" s="57">
        <f ca="1">SUM(PSPOINTS[[#This Row],[Scale Point Issue]:[Space in Code]])</f>
        <v>0</v>
      </c>
      <c r="N477" s="57" t="s">
        <v>1412</v>
      </c>
      <c r="P477" s="12" t="s">
        <v>1421</v>
      </c>
      <c r="Q477" s="57" t="str">
        <f>_xlfn.XLOOKUP(PSPOINTS[[#This Row],[PayScaleCode]],'19_PayScales'!N:N,'19_PayScales'!O:O)</f>
        <v>NJC Outer</v>
      </c>
      <c r="R477" s="12">
        <v>46</v>
      </c>
      <c r="S477" s="12">
        <v>46</v>
      </c>
      <c r="T477" s="12">
        <v>46</v>
      </c>
      <c r="U477" s="12" t="b">
        <v>0</v>
      </c>
      <c r="V477" s="15" t="b">
        <v>1</v>
      </c>
      <c r="W477" s="164">
        <v>45748</v>
      </c>
      <c r="X477" s="140"/>
      <c r="Y477" s="163">
        <v>60573</v>
      </c>
    </row>
    <row r="478" spans="1:25" hidden="1" x14ac:dyDescent="0.25">
      <c r="A478" s="158" t="str">
        <f>PSPOINTS[[#This Row],[PayScaleCode]]&amp;PSPOINTS[[#This Row],[RateDateFrom]]</f>
        <v>NJC_OUT45748</v>
      </c>
      <c r="B478" s="57">
        <f t="shared" si="7"/>
        <v>0</v>
      </c>
      <c r="C478" s="57" t="str">
        <f>PSPOINTS[[#This Row],[PayScaleCode]]&amp;PSPOINTS[[#This Row],[PayScalePointCode]]&amp;PSPOINTS[[#This Row],[RateDateFrom]]</f>
        <v>NJC_OUT4745748</v>
      </c>
      <c r="D478" s="57">
        <f>COUNTIF(PSPOINTS[Pay Scale String Duplicates],PSPOINTS[[#This Row],[Pay Scale String Duplicates]])-1</f>
        <v>0</v>
      </c>
      <c r="E478" s="57">
        <f>IF((MONTH(_xlfn.XLOOKUP(PSPOINTS[[#This Row],[PayScaleCode]],'19_PayScales'!N:N,'19_PayScales'!R:R)))=MONTH(PSPOINTS[[#This Row],[RateDateFrom]]),0,1)</f>
        <v>0</v>
      </c>
      <c r="F478" s="57">
        <f>IF(ISBLANK(PSPOINTS[[#This Row],[RateDateTo]]),0,IF(PSPOINTS[[#This Row],[RateDateFrom]]&lt;PSPOINTS[[#This Row],[RateDateTo]],0,1))</f>
        <v>0</v>
      </c>
      <c r="G478" s="57" cm="1">
        <f t="array" aca="1" ref="G478" ca="1">IF(CELL("format",PSPOINTS[[#This Row],[RateDateFrom]])="D1",0,1)+IF(CELL("format",PSPOINTS[[#This Row],[RateDateTo]])="D1",0,1)</f>
        <v>0</v>
      </c>
      <c r="H478" s="57">
        <f>IF(OR(PSPOINTS[[#This Row],[Hourly]]=TRUE,PSPOINTS[[#This Row],[Hourly]]=FALSE),IF(OR(PSPOINTS[[#This Row],[PayScalePointEnabled]]=TRUE,PSPOINTS[[#This Row],[PayScalePointEnabled]]=FALSE),0,1),1)</f>
        <v>0</v>
      </c>
      <c r="I478" s="57">
        <f>IF(LEN(PSPOINTS[[#This Row],[PayScalePointCode]])&lt;100,0,1)</f>
        <v>0</v>
      </c>
      <c r="J478" s="57">
        <f>IF(LEN(PSPOINTS[[#This Row],[PayScalePointTitle]])&lt;100,0,1)</f>
        <v>0</v>
      </c>
      <c r="K478" s="57">
        <f>(COUNTBLANK(PSPOINTS[[#This Row],[PayScalePointCode]:[RateDateFrom]])+COUNTBLANK(PSPOINTS[[#This Row],[PayScaleRate]]))</f>
        <v>0</v>
      </c>
      <c r="L478" s="120">
        <f>IF(SUBSTITUTE(TEXT(PSPOINTS[[#This Row],[PayScaleCode]],10)," ","")=TEXT(PSPOINTS[[#This Row],[PayScaleCode]],10),0,1)+IF(SUBSTITUTE(TEXT(PSPOINTS[[#This Row],[PayScalePointCode]],10)," ","")=TEXT(PSPOINTS[[#This Row],[PayScalePointCode]],10),0,1)</f>
        <v>0</v>
      </c>
      <c r="M478" s="57">
        <f ca="1">SUM(PSPOINTS[[#This Row],[Scale Point Issue]:[Space in Code]])</f>
        <v>0</v>
      </c>
      <c r="N478" s="57" t="s">
        <v>1412</v>
      </c>
      <c r="P478" s="12" t="s">
        <v>1421</v>
      </c>
      <c r="Q478" s="57" t="str">
        <f>_xlfn.XLOOKUP(PSPOINTS[[#This Row],[PayScaleCode]],'19_PayScales'!N:N,'19_PayScales'!O:O)</f>
        <v>NJC Outer</v>
      </c>
      <c r="R478" s="12">
        <v>47</v>
      </c>
      <c r="S478" s="12">
        <v>47</v>
      </c>
      <c r="T478" s="12">
        <v>47</v>
      </c>
      <c r="U478" s="12" t="b">
        <v>0</v>
      </c>
      <c r="V478" s="15" t="b">
        <v>1</v>
      </c>
      <c r="W478" s="164">
        <v>45748</v>
      </c>
      <c r="X478" s="140"/>
      <c r="Y478" s="163">
        <v>61653</v>
      </c>
    </row>
    <row r="479" spans="1:25" hidden="1" x14ac:dyDescent="0.25">
      <c r="A479" s="158" t="str">
        <f>PSPOINTS[[#This Row],[PayScaleCode]]&amp;PSPOINTS[[#This Row],[RateDateFrom]]</f>
        <v>NJC_OUT45748</v>
      </c>
      <c r="B479" s="57">
        <f t="shared" si="7"/>
        <v>0</v>
      </c>
      <c r="C479" s="57" t="str">
        <f>PSPOINTS[[#This Row],[PayScaleCode]]&amp;PSPOINTS[[#This Row],[PayScalePointCode]]&amp;PSPOINTS[[#This Row],[RateDateFrom]]</f>
        <v>NJC_OUT4845748</v>
      </c>
      <c r="D479" s="57">
        <f>COUNTIF(PSPOINTS[Pay Scale String Duplicates],PSPOINTS[[#This Row],[Pay Scale String Duplicates]])-1</f>
        <v>0</v>
      </c>
      <c r="E479" s="57">
        <f>IF((MONTH(_xlfn.XLOOKUP(PSPOINTS[[#This Row],[PayScaleCode]],'19_PayScales'!N:N,'19_PayScales'!R:R)))=MONTH(PSPOINTS[[#This Row],[RateDateFrom]]),0,1)</f>
        <v>0</v>
      </c>
      <c r="F479" s="57">
        <f>IF(ISBLANK(PSPOINTS[[#This Row],[RateDateTo]]),0,IF(PSPOINTS[[#This Row],[RateDateFrom]]&lt;PSPOINTS[[#This Row],[RateDateTo]],0,1))</f>
        <v>0</v>
      </c>
      <c r="G479" s="57" cm="1">
        <f t="array" aca="1" ref="G479" ca="1">IF(CELL("format",PSPOINTS[[#This Row],[RateDateFrom]])="D1",0,1)+IF(CELL("format",PSPOINTS[[#This Row],[RateDateTo]])="D1",0,1)</f>
        <v>0</v>
      </c>
      <c r="H479" s="57">
        <f>IF(OR(PSPOINTS[[#This Row],[Hourly]]=TRUE,PSPOINTS[[#This Row],[Hourly]]=FALSE),IF(OR(PSPOINTS[[#This Row],[PayScalePointEnabled]]=TRUE,PSPOINTS[[#This Row],[PayScalePointEnabled]]=FALSE),0,1),1)</f>
        <v>0</v>
      </c>
      <c r="I479" s="57">
        <f>IF(LEN(PSPOINTS[[#This Row],[PayScalePointCode]])&lt;100,0,1)</f>
        <v>0</v>
      </c>
      <c r="J479" s="57">
        <f>IF(LEN(PSPOINTS[[#This Row],[PayScalePointTitle]])&lt;100,0,1)</f>
        <v>0</v>
      </c>
      <c r="K479" s="57">
        <f>(COUNTBLANK(PSPOINTS[[#This Row],[PayScalePointCode]:[RateDateFrom]])+COUNTBLANK(PSPOINTS[[#This Row],[PayScaleRate]]))</f>
        <v>0</v>
      </c>
      <c r="L479" s="120">
        <f>IF(SUBSTITUTE(TEXT(PSPOINTS[[#This Row],[PayScaleCode]],10)," ","")=TEXT(PSPOINTS[[#This Row],[PayScaleCode]],10),0,1)+IF(SUBSTITUTE(TEXT(PSPOINTS[[#This Row],[PayScalePointCode]],10)," ","")=TEXT(PSPOINTS[[#This Row],[PayScalePointCode]],10),0,1)</f>
        <v>0</v>
      </c>
      <c r="M479" s="57">
        <f ca="1">SUM(PSPOINTS[[#This Row],[Scale Point Issue]:[Space in Code]])</f>
        <v>0</v>
      </c>
      <c r="N479" s="57" t="s">
        <v>1412</v>
      </c>
      <c r="P479" s="12" t="s">
        <v>1421</v>
      </c>
      <c r="Q479" s="57" t="str">
        <f>_xlfn.XLOOKUP(PSPOINTS[[#This Row],[PayScaleCode]],'19_PayScales'!N:N,'19_PayScales'!O:O)</f>
        <v>NJC Outer</v>
      </c>
      <c r="R479" s="12">
        <v>48</v>
      </c>
      <c r="S479" s="12">
        <v>48</v>
      </c>
      <c r="T479" s="12">
        <v>48</v>
      </c>
      <c r="U479" s="12" t="b">
        <v>0</v>
      </c>
      <c r="V479" s="15" t="b">
        <v>1</v>
      </c>
      <c r="W479" s="164">
        <v>45748</v>
      </c>
      <c r="X479" s="140"/>
      <c r="Y479" s="163">
        <v>62766</v>
      </c>
    </row>
    <row r="480" spans="1:25" hidden="1" x14ac:dyDescent="0.25">
      <c r="A480" s="158" t="str">
        <f>PSPOINTS[[#This Row],[PayScaleCode]]&amp;PSPOINTS[[#This Row],[RateDateFrom]]</f>
        <v>NJC_OUT45748</v>
      </c>
      <c r="B480" s="57">
        <f t="shared" si="7"/>
        <v>0</v>
      </c>
      <c r="C480" s="57" t="str">
        <f>PSPOINTS[[#This Row],[PayScaleCode]]&amp;PSPOINTS[[#This Row],[PayScalePointCode]]&amp;PSPOINTS[[#This Row],[RateDateFrom]]</f>
        <v>NJC_OUT4945748</v>
      </c>
      <c r="D480" s="57">
        <f>COUNTIF(PSPOINTS[Pay Scale String Duplicates],PSPOINTS[[#This Row],[Pay Scale String Duplicates]])-1</f>
        <v>0</v>
      </c>
      <c r="E480" s="57">
        <f>IF((MONTH(_xlfn.XLOOKUP(PSPOINTS[[#This Row],[PayScaleCode]],'19_PayScales'!N:N,'19_PayScales'!R:R)))=MONTH(PSPOINTS[[#This Row],[RateDateFrom]]),0,1)</f>
        <v>0</v>
      </c>
      <c r="F480" s="57">
        <f>IF(ISBLANK(PSPOINTS[[#This Row],[RateDateTo]]),0,IF(PSPOINTS[[#This Row],[RateDateFrom]]&lt;PSPOINTS[[#This Row],[RateDateTo]],0,1))</f>
        <v>0</v>
      </c>
      <c r="G480" s="57" cm="1">
        <f t="array" aca="1" ref="G480" ca="1">IF(CELL("format",PSPOINTS[[#This Row],[RateDateFrom]])="D1",0,1)+IF(CELL("format",PSPOINTS[[#This Row],[RateDateTo]])="D1",0,1)</f>
        <v>0</v>
      </c>
      <c r="H480" s="57">
        <f>IF(OR(PSPOINTS[[#This Row],[Hourly]]=TRUE,PSPOINTS[[#This Row],[Hourly]]=FALSE),IF(OR(PSPOINTS[[#This Row],[PayScalePointEnabled]]=TRUE,PSPOINTS[[#This Row],[PayScalePointEnabled]]=FALSE),0,1),1)</f>
        <v>0</v>
      </c>
      <c r="I480" s="57">
        <f>IF(LEN(PSPOINTS[[#This Row],[PayScalePointCode]])&lt;100,0,1)</f>
        <v>0</v>
      </c>
      <c r="J480" s="57">
        <f>IF(LEN(PSPOINTS[[#This Row],[PayScalePointTitle]])&lt;100,0,1)</f>
        <v>0</v>
      </c>
      <c r="K480" s="57">
        <f>(COUNTBLANK(PSPOINTS[[#This Row],[PayScalePointCode]:[RateDateFrom]])+COUNTBLANK(PSPOINTS[[#This Row],[PayScaleRate]]))</f>
        <v>0</v>
      </c>
      <c r="L480" s="120">
        <f>IF(SUBSTITUTE(TEXT(PSPOINTS[[#This Row],[PayScaleCode]],10)," ","")=TEXT(PSPOINTS[[#This Row],[PayScaleCode]],10),0,1)+IF(SUBSTITUTE(TEXT(PSPOINTS[[#This Row],[PayScalePointCode]],10)," ","")=TEXT(PSPOINTS[[#This Row],[PayScalePointCode]],10),0,1)</f>
        <v>0</v>
      </c>
      <c r="M480" s="57">
        <f ca="1">SUM(PSPOINTS[[#This Row],[Scale Point Issue]:[Space in Code]])</f>
        <v>0</v>
      </c>
      <c r="N480" s="57" t="s">
        <v>1412</v>
      </c>
      <c r="P480" s="12" t="s">
        <v>1421</v>
      </c>
      <c r="Q480" s="57" t="str">
        <f>_xlfn.XLOOKUP(PSPOINTS[[#This Row],[PayScaleCode]],'19_PayScales'!N:N,'19_PayScales'!O:O)</f>
        <v>NJC Outer</v>
      </c>
      <c r="R480" s="12">
        <v>49</v>
      </c>
      <c r="S480" s="12">
        <v>49</v>
      </c>
      <c r="T480" s="12">
        <v>49</v>
      </c>
      <c r="U480" s="12" t="b">
        <v>0</v>
      </c>
      <c r="V480" s="15" t="b">
        <v>1</v>
      </c>
      <c r="W480" s="164">
        <v>45748</v>
      </c>
      <c r="X480" s="140"/>
      <c r="Y480" s="163">
        <v>63966</v>
      </c>
    </row>
    <row r="481" spans="1:25" hidden="1" x14ac:dyDescent="0.25">
      <c r="A481" s="158" t="str">
        <f>PSPOINTS[[#This Row],[PayScaleCode]]&amp;PSPOINTS[[#This Row],[RateDateFrom]]</f>
        <v>NJC_OUT45748</v>
      </c>
      <c r="B481" s="57">
        <f t="shared" si="7"/>
        <v>0</v>
      </c>
      <c r="C481" s="57" t="str">
        <f>PSPOINTS[[#This Row],[PayScaleCode]]&amp;PSPOINTS[[#This Row],[PayScalePointCode]]&amp;PSPOINTS[[#This Row],[RateDateFrom]]</f>
        <v>NJC_OUT5045748</v>
      </c>
      <c r="D481" s="57">
        <f>COUNTIF(PSPOINTS[Pay Scale String Duplicates],PSPOINTS[[#This Row],[Pay Scale String Duplicates]])-1</f>
        <v>0</v>
      </c>
      <c r="E481" s="57">
        <f>IF((MONTH(_xlfn.XLOOKUP(PSPOINTS[[#This Row],[PayScaleCode]],'19_PayScales'!N:N,'19_PayScales'!R:R)))=MONTH(PSPOINTS[[#This Row],[RateDateFrom]]),0,1)</f>
        <v>0</v>
      </c>
      <c r="F481" s="57">
        <f>IF(ISBLANK(PSPOINTS[[#This Row],[RateDateTo]]),0,IF(PSPOINTS[[#This Row],[RateDateFrom]]&lt;PSPOINTS[[#This Row],[RateDateTo]],0,1))</f>
        <v>0</v>
      </c>
      <c r="G481" s="57" cm="1">
        <f t="array" aca="1" ref="G481" ca="1">IF(CELL("format",PSPOINTS[[#This Row],[RateDateFrom]])="D1",0,1)+IF(CELL("format",PSPOINTS[[#This Row],[RateDateTo]])="D1",0,1)</f>
        <v>0</v>
      </c>
      <c r="H481" s="57">
        <f>IF(OR(PSPOINTS[[#This Row],[Hourly]]=TRUE,PSPOINTS[[#This Row],[Hourly]]=FALSE),IF(OR(PSPOINTS[[#This Row],[PayScalePointEnabled]]=TRUE,PSPOINTS[[#This Row],[PayScalePointEnabled]]=FALSE),0,1),1)</f>
        <v>0</v>
      </c>
      <c r="I481" s="57">
        <f>IF(LEN(PSPOINTS[[#This Row],[PayScalePointCode]])&lt;100,0,1)</f>
        <v>0</v>
      </c>
      <c r="J481" s="57">
        <f>IF(LEN(PSPOINTS[[#This Row],[PayScalePointTitle]])&lt;100,0,1)</f>
        <v>0</v>
      </c>
      <c r="K481" s="57">
        <f>(COUNTBLANK(PSPOINTS[[#This Row],[PayScalePointCode]:[RateDateFrom]])+COUNTBLANK(PSPOINTS[[#This Row],[PayScaleRate]]))</f>
        <v>0</v>
      </c>
      <c r="L481" s="120">
        <f>IF(SUBSTITUTE(TEXT(PSPOINTS[[#This Row],[PayScaleCode]],10)," ","")=TEXT(PSPOINTS[[#This Row],[PayScaleCode]],10),0,1)+IF(SUBSTITUTE(TEXT(PSPOINTS[[#This Row],[PayScalePointCode]],10)," ","")=TEXT(PSPOINTS[[#This Row],[PayScalePointCode]],10),0,1)</f>
        <v>0</v>
      </c>
      <c r="M481" s="57">
        <f ca="1">SUM(PSPOINTS[[#This Row],[Scale Point Issue]:[Space in Code]])</f>
        <v>0</v>
      </c>
      <c r="N481" s="57" t="s">
        <v>1412</v>
      </c>
      <c r="P481" s="12" t="s">
        <v>1421</v>
      </c>
      <c r="Q481" s="57" t="str">
        <f>_xlfn.XLOOKUP(PSPOINTS[[#This Row],[PayScaleCode]],'19_PayScales'!N:N,'19_PayScales'!O:O)</f>
        <v>NJC Outer</v>
      </c>
      <c r="R481" s="12">
        <v>50</v>
      </c>
      <c r="S481" s="12">
        <v>50</v>
      </c>
      <c r="T481" s="12">
        <v>50</v>
      </c>
      <c r="U481" s="12" t="b">
        <v>0</v>
      </c>
      <c r="V481" s="15" t="b">
        <v>1</v>
      </c>
      <c r="W481" s="164">
        <v>45748</v>
      </c>
      <c r="X481" s="140"/>
      <c r="Y481" s="163">
        <v>65181</v>
      </c>
    </row>
    <row r="482" spans="1:25" hidden="1" x14ac:dyDescent="0.25">
      <c r="A482" s="158" t="str">
        <f>PSPOINTS[[#This Row],[PayScaleCode]]&amp;PSPOINTS[[#This Row],[RateDateFrom]]</f>
        <v>NJC_OUT45748</v>
      </c>
      <c r="B482" s="57">
        <f t="shared" si="7"/>
        <v>0</v>
      </c>
      <c r="C482" s="57" t="str">
        <f>PSPOINTS[[#This Row],[PayScaleCode]]&amp;PSPOINTS[[#This Row],[PayScalePointCode]]&amp;PSPOINTS[[#This Row],[RateDateFrom]]</f>
        <v>NJC_OUT5145748</v>
      </c>
      <c r="D482" s="57">
        <f>COUNTIF(PSPOINTS[Pay Scale String Duplicates],PSPOINTS[[#This Row],[Pay Scale String Duplicates]])-1</f>
        <v>0</v>
      </c>
      <c r="E482" s="57">
        <f>IF((MONTH(_xlfn.XLOOKUP(PSPOINTS[[#This Row],[PayScaleCode]],'19_PayScales'!N:N,'19_PayScales'!R:R)))=MONTH(PSPOINTS[[#This Row],[RateDateFrom]]),0,1)</f>
        <v>0</v>
      </c>
      <c r="F482" s="57">
        <f>IF(ISBLANK(PSPOINTS[[#This Row],[RateDateTo]]),0,IF(PSPOINTS[[#This Row],[RateDateFrom]]&lt;PSPOINTS[[#This Row],[RateDateTo]],0,1))</f>
        <v>0</v>
      </c>
      <c r="G482" s="57" cm="1">
        <f t="array" aca="1" ref="G482" ca="1">IF(CELL("format",PSPOINTS[[#This Row],[RateDateFrom]])="D1",0,1)+IF(CELL("format",PSPOINTS[[#This Row],[RateDateTo]])="D1",0,1)</f>
        <v>0</v>
      </c>
      <c r="H482" s="57">
        <f>IF(OR(PSPOINTS[[#This Row],[Hourly]]=TRUE,PSPOINTS[[#This Row],[Hourly]]=FALSE),IF(OR(PSPOINTS[[#This Row],[PayScalePointEnabled]]=TRUE,PSPOINTS[[#This Row],[PayScalePointEnabled]]=FALSE),0,1),1)</f>
        <v>0</v>
      </c>
      <c r="I482" s="57">
        <f>IF(LEN(PSPOINTS[[#This Row],[PayScalePointCode]])&lt;100,0,1)</f>
        <v>0</v>
      </c>
      <c r="J482" s="57">
        <f>IF(LEN(PSPOINTS[[#This Row],[PayScalePointTitle]])&lt;100,0,1)</f>
        <v>0</v>
      </c>
      <c r="K482" s="57">
        <f>(COUNTBLANK(PSPOINTS[[#This Row],[PayScalePointCode]:[RateDateFrom]])+COUNTBLANK(PSPOINTS[[#This Row],[PayScaleRate]]))</f>
        <v>0</v>
      </c>
      <c r="L482" s="120">
        <f>IF(SUBSTITUTE(TEXT(PSPOINTS[[#This Row],[PayScaleCode]],10)," ","")=TEXT(PSPOINTS[[#This Row],[PayScaleCode]],10),0,1)+IF(SUBSTITUTE(TEXT(PSPOINTS[[#This Row],[PayScalePointCode]],10)," ","")=TEXT(PSPOINTS[[#This Row],[PayScalePointCode]],10),0,1)</f>
        <v>0</v>
      </c>
      <c r="M482" s="57">
        <f ca="1">SUM(PSPOINTS[[#This Row],[Scale Point Issue]:[Space in Code]])</f>
        <v>0</v>
      </c>
      <c r="N482" s="57" t="s">
        <v>1412</v>
      </c>
      <c r="P482" s="12" t="s">
        <v>1421</v>
      </c>
      <c r="Q482" s="57" t="str">
        <f>_xlfn.XLOOKUP(PSPOINTS[[#This Row],[PayScaleCode]],'19_PayScales'!N:N,'19_PayScales'!O:O)</f>
        <v>NJC Outer</v>
      </c>
      <c r="R482" s="12">
        <v>51</v>
      </c>
      <c r="S482" s="12">
        <v>51</v>
      </c>
      <c r="T482" s="12">
        <v>51</v>
      </c>
      <c r="U482" s="12" t="b">
        <v>0</v>
      </c>
      <c r="V482" s="15" t="b">
        <v>1</v>
      </c>
      <c r="W482" s="164">
        <v>45748</v>
      </c>
      <c r="X482" s="140"/>
      <c r="Y482" s="163">
        <v>66378</v>
      </c>
    </row>
    <row r="483" spans="1:25" hidden="1" x14ac:dyDescent="0.25">
      <c r="A483" s="158" t="str">
        <f>PSPOINTS[[#This Row],[PayScaleCode]]&amp;PSPOINTS[[#This Row],[RateDateFrom]]</f>
        <v>NJC_OUT45748</v>
      </c>
      <c r="B483" s="57">
        <f t="shared" si="7"/>
        <v>0</v>
      </c>
      <c r="C483" s="57" t="str">
        <f>PSPOINTS[[#This Row],[PayScaleCode]]&amp;PSPOINTS[[#This Row],[PayScalePointCode]]&amp;PSPOINTS[[#This Row],[RateDateFrom]]</f>
        <v>NJC_OUT5245748</v>
      </c>
      <c r="D483" s="57">
        <f>COUNTIF(PSPOINTS[Pay Scale String Duplicates],PSPOINTS[[#This Row],[Pay Scale String Duplicates]])-1</f>
        <v>0</v>
      </c>
      <c r="E483" s="57">
        <f>IF((MONTH(_xlfn.XLOOKUP(PSPOINTS[[#This Row],[PayScaleCode]],'19_PayScales'!N:N,'19_PayScales'!R:R)))=MONTH(PSPOINTS[[#This Row],[RateDateFrom]]),0,1)</f>
        <v>0</v>
      </c>
      <c r="F483" s="57">
        <f>IF(ISBLANK(PSPOINTS[[#This Row],[RateDateTo]]),0,IF(PSPOINTS[[#This Row],[RateDateFrom]]&lt;PSPOINTS[[#This Row],[RateDateTo]],0,1))</f>
        <v>0</v>
      </c>
      <c r="G483" s="57" cm="1">
        <f t="array" aca="1" ref="G483" ca="1">IF(CELL("format",PSPOINTS[[#This Row],[RateDateFrom]])="D1",0,1)+IF(CELL("format",PSPOINTS[[#This Row],[RateDateTo]])="D1",0,1)</f>
        <v>0</v>
      </c>
      <c r="H483" s="57">
        <f>IF(OR(PSPOINTS[[#This Row],[Hourly]]=TRUE,PSPOINTS[[#This Row],[Hourly]]=FALSE),IF(OR(PSPOINTS[[#This Row],[PayScalePointEnabled]]=TRUE,PSPOINTS[[#This Row],[PayScalePointEnabled]]=FALSE),0,1),1)</f>
        <v>0</v>
      </c>
      <c r="I483" s="57">
        <f>IF(LEN(PSPOINTS[[#This Row],[PayScalePointCode]])&lt;100,0,1)</f>
        <v>0</v>
      </c>
      <c r="J483" s="57">
        <f>IF(LEN(PSPOINTS[[#This Row],[PayScalePointTitle]])&lt;100,0,1)</f>
        <v>0</v>
      </c>
      <c r="K483" s="57">
        <f>(COUNTBLANK(PSPOINTS[[#This Row],[PayScalePointCode]:[RateDateFrom]])+COUNTBLANK(PSPOINTS[[#This Row],[PayScaleRate]]))</f>
        <v>0</v>
      </c>
      <c r="L483" s="120">
        <f>IF(SUBSTITUTE(TEXT(PSPOINTS[[#This Row],[PayScaleCode]],10)," ","")=TEXT(PSPOINTS[[#This Row],[PayScaleCode]],10),0,1)+IF(SUBSTITUTE(TEXT(PSPOINTS[[#This Row],[PayScalePointCode]],10)," ","")=TEXT(PSPOINTS[[#This Row],[PayScalePointCode]],10),0,1)</f>
        <v>0</v>
      </c>
      <c r="M483" s="57">
        <f ca="1">SUM(PSPOINTS[[#This Row],[Scale Point Issue]:[Space in Code]])</f>
        <v>0</v>
      </c>
      <c r="N483" s="57" t="s">
        <v>1412</v>
      </c>
      <c r="P483" s="12" t="s">
        <v>1421</v>
      </c>
      <c r="Q483" s="57" t="str">
        <f>_xlfn.XLOOKUP(PSPOINTS[[#This Row],[PayScaleCode]],'19_PayScales'!N:N,'19_PayScales'!O:O)</f>
        <v>NJC Outer</v>
      </c>
      <c r="R483" s="12">
        <v>52</v>
      </c>
      <c r="S483" s="12">
        <v>52</v>
      </c>
      <c r="T483" s="12">
        <v>52</v>
      </c>
      <c r="U483" s="12" t="b">
        <v>0</v>
      </c>
      <c r="V483" s="15" t="b">
        <v>1</v>
      </c>
      <c r="W483" s="164">
        <v>45748</v>
      </c>
      <c r="X483" s="140"/>
      <c r="Y483" s="163">
        <v>67575</v>
      </c>
    </row>
    <row r="484" spans="1:25" hidden="1" x14ac:dyDescent="0.25">
      <c r="A484" s="158" t="str">
        <f>PSPOINTS[[#This Row],[PayScaleCode]]&amp;PSPOINTS[[#This Row],[RateDateFrom]]</f>
        <v>NJC_OUT45748</v>
      </c>
      <c r="B484" s="57">
        <f t="shared" si="7"/>
        <v>0</v>
      </c>
      <c r="C484" s="57" t="str">
        <f>PSPOINTS[[#This Row],[PayScaleCode]]&amp;PSPOINTS[[#This Row],[PayScalePointCode]]&amp;PSPOINTS[[#This Row],[RateDateFrom]]</f>
        <v>NJC_OUT5345748</v>
      </c>
      <c r="D484" s="57">
        <f>COUNTIF(PSPOINTS[Pay Scale String Duplicates],PSPOINTS[[#This Row],[Pay Scale String Duplicates]])-1</f>
        <v>0</v>
      </c>
      <c r="E484" s="57">
        <f>IF((MONTH(_xlfn.XLOOKUP(PSPOINTS[[#This Row],[PayScaleCode]],'19_PayScales'!N:N,'19_PayScales'!R:R)))=MONTH(PSPOINTS[[#This Row],[RateDateFrom]]),0,1)</f>
        <v>0</v>
      </c>
      <c r="F484" s="57">
        <f>IF(ISBLANK(PSPOINTS[[#This Row],[RateDateTo]]),0,IF(PSPOINTS[[#This Row],[RateDateFrom]]&lt;PSPOINTS[[#This Row],[RateDateTo]],0,1))</f>
        <v>0</v>
      </c>
      <c r="G484" s="57" cm="1">
        <f t="array" aca="1" ref="G484" ca="1">IF(CELL("format",PSPOINTS[[#This Row],[RateDateFrom]])="D1",0,1)+IF(CELL("format",PSPOINTS[[#This Row],[RateDateTo]])="D1",0,1)</f>
        <v>0</v>
      </c>
      <c r="H484" s="57">
        <f>IF(OR(PSPOINTS[[#This Row],[Hourly]]=TRUE,PSPOINTS[[#This Row],[Hourly]]=FALSE),IF(OR(PSPOINTS[[#This Row],[PayScalePointEnabled]]=TRUE,PSPOINTS[[#This Row],[PayScalePointEnabled]]=FALSE),0,1),1)</f>
        <v>0</v>
      </c>
      <c r="I484" s="57">
        <f>IF(LEN(PSPOINTS[[#This Row],[PayScalePointCode]])&lt;100,0,1)</f>
        <v>0</v>
      </c>
      <c r="J484" s="57">
        <f>IF(LEN(PSPOINTS[[#This Row],[PayScalePointTitle]])&lt;100,0,1)</f>
        <v>0</v>
      </c>
      <c r="K484" s="57">
        <f>(COUNTBLANK(PSPOINTS[[#This Row],[PayScalePointCode]:[RateDateFrom]])+COUNTBLANK(PSPOINTS[[#This Row],[PayScaleRate]]))</f>
        <v>0</v>
      </c>
      <c r="L484" s="120">
        <f>IF(SUBSTITUTE(TEXT(PSPOINTS[[#This Row],[PayScaleCode]],10)," ","")=TEXT(PSPOINTS[[#This Row],[PayScaleCode]],10),0,1)+IF(SUBSTITUTE(TEXT(PSPOINTS[[#This Row],[PayScalePointCode]],10)," ","")=TEXT(PSPOINTS[[#This Row],[PayScalePointCode]],10),0,1)</f>
        <v>0</v>
      </c>
      <c r="M484" s="57">
        <f ca="1">SUM(PSPOINTS[[#This Row],[Scale Point Issue]:[Space in Code]])</f>
        <v>0</v>
      </c>
      <c r="N484" s="57" t="s">
        <v>1412</v>
      </c>
      <c r="P484" s="12" t="s">
        <v>1421</v>
      </c>
      <c r="Q484" s="57" t="str">
        <f>_xlfn.XLOOKUP(PSPOINTS[[#This Row],[PayScaleCode]],'19_PayScales'!N:N,'19_PayScales'!O:O)</f>
        <v>NJC Outer</v>
      </c>
      <c r="R484" s="12">
        <v>53</v>
      </c>
      <c r="S484" s="12">
        <v>53</v>
      </c>
      <c r="T484" s="12">
        <v>53</v>
      </c>
      <c r="U484" s="12" t="b">
        <v>0</v>
      </c>
      <c r="V484" s="15" t="b">
        <v>1</v>
      </c>
      <c r="W484" s="164">
        <v>45748</v>
      </c>
      <c r="X484" s="140"/>
      <c r="Y484" s="163">
        <v>68784</v>
      </c>
    </row>
    <row r="485" spans="1:25" hidden="1" x14ac:dyDescent="0.25">
      <c r="A485" s="158" t="str">
        <f>PSPOINTS[[#This Row],[PayScaleCode]]&amp;PSPOINTS[[#This Row],[RateDateFrom]]</f>
        <v>NJC_OUT45748</v>
      </c>
      <c r="B485" s="57">
        <f t="shared" si="7"/>
        <v>0</v>
      </c>
      <c r="C485" s="57" t="str">
        <f>PSPOINTS[[#This Row],[PayScaleCode]]&amp;PSPOINTS[[#This Row],[PayScalePointCode]]&amp;PSPOINTS[[#This Row],[RateDateFrom]]</f>
        <v>NJC_OUT5445748</v>
      </c>
      <c r="D485" s="57">
        <f>COUNTIF(PSPOINTS[Pay Scale String Duplicates],PSPOINTS[[#This Row],[Pay Scale String Duplicates]])-1</f>
        <v>0</v>
      </c>
      <c r="E485" s="57">
        <f>IF((MONTH(_xlfn.XLOOKUP(PSPOINTS[[#This Row],[PayScaleCode]],'19_PayScales'!N:N,'19_PayScales'!R:R)))=MONTH(PSPOINTS[[#This Row],[RateDateFrom]]),0,1)</f>
        <v>0</v>
      </c>
      <c r="F485" s="57">
        <f>IF(ISBLANK(PSPOINTS[[#This Row],[RateDateTo]]),0,IF(PSPOINTS[[#This Row],[RateDateFrom]]&lt;PSPOINTS[[#This Row],[RateDateTo]],0,1))</f>
        <v>0</v>
      </c>
      <c r="G485" s="57" cm="1">
        <f t="array" aca="1" ref="G485" ca="1">IF(CELL("format",PSPOINTS[[#This Row],[RateDateFrom]])="D1",0,1)+IF(CELL("format",PSPOINTS[[#This Row],[RateDateTo]])="D1",0,1)</f>
        <v>0</v>
      </c>
      <c r="H485" s="57">
        <f>IF(OR(PSPOINTS[[#This Row],[Hourly]]=TRUE,PSPOINTS[[#This Row],[Hourly]]=FALSE),IF(OR(PSPOINTS[[#This Row],[PayScalePointEnabled]]=TRUE,PSPOINTS[[#This Row],[PayScalePointEnabled]]=FALSE),0,1),1)</f>
        <v>0</v>
      </c>
      <c r="I485" s="57">
        <f>IF(LEN(PSPOINTS[[#This Row],[PayScalePointCode]])&lt;100,0,1)</f>
        <v>0</v>
      </c>
      <c r="J485" s="57">
        <f>IF(LEN(PSPOINTS[[#This Row],[PayScalePointTitle]])&lt;100,0,1)</f>
        <v>0</v>
      </c>
      <c r="K485" s="57">
        <f>(COUNTBLANK(PSPOINTS[[#This Row],[PayScalePointCode]:[RateDateFrom]])+COUNTBLANK(PSPOINTS[[#This Row],[PayScaleRate]]))</f>
        <v>0</v>
      </c>
      <c r="L485" s="120">
        <f>IF(SUBSTITUTE(TEXT(PSPOINTS[[#This Row],[PayScaleCode]],10)," ","")=TEXT(PSPOINTS[[#This Row],[PayScaleCode]],10),0,1)+IF(SUBSTITUTE(TEXT(PSPOINTS[[#This Row],[PayScalePointCode]],10)," ","")=TEXT(PSPOINTS[[#This Row],[PayScalePointCode]],10),0,1)</f>
        <v>0</v>
      </c>
      <c r="M485" s="57">
        <f ca="1">SUM(PSPOINTS[[#This Row],[Scale Point Issue]:[Space in Code]])</f>
        <v>0</v>
      </c>
      <c r="N485" s="57" t="s">
        <v>1412</v>
      </c>
      <c r="P485" s="12" t="s">
        <v>1421</v>
      </c>
      <c r="Q485" s="57" t="str">
        <f>_xlfn.XLOOKUP(PSPOINTS[[#This Row],[PayScaleCode]],'19_PayScales'!N:N,'19_PayScales'!O:O)</f>
        <v>NJC Outer</v>
      </c>
      <c r="R485" s="12">
        <v>54</v>
      </c>
      <c r="S485" s="12">
        <v>54</v>
      </c>
      <c r="T485" s="12">
        <v>54</v>
      </c>
      <c r="U485" s="12" t="b">
        <v>0</v>
      </c>
      <c r="V485" s="15" t="b">
        <v>1</v>
      </c>
      <c r="W485" s="164">
        <v>45748</v>
      </c>
      <c r="X485" s="140"/>
      <c r="Y485" s="163">
        <v>69984</v>
      </c>
    </row>
    <row r="486" spans="1:25" hidden="1" x14ac:dyDescent="0.25">
      <c r="A486" s="158" t="str">
        <f>PSPOINTS[[#This Row],[PayScaleCode]]&amp;PSPOINTS[[#This Row],[RateDateFrom]]</f>
        <v>NJC_OUT45748</v>
      </c>
      <c r="B486" s="57">
        <f t="shared" si="7"/>
        <v>0</v>
      </c>
      <c r="C486" s="57" t="str">
        <f>PSPOINTS[[#This Row],[PayScaleCode]]&amp;PSPOINTS[[#This Row],[PayScalePointCode]]&amp;PSPOINTS[[#This Row],[RateDateFrom]]</f>
        <v>NJC_OUT5545748</v>
      </c>
      <c r="D486" s="57">
        <f>COUNTIF(PSPOINTS[Pay Scale String Duplicates],PSPOINTS[[#This Row],[Pay Scale String Duplicates]])-1</f>
        <v>0</v>
      </c>
      <c r="E486" s="57">
        <f>IF((MONTH(_xlfn.XLOOKUP(PSPOINTS[[#This Row],[PayScaleCode]],'19_PayScales'!N:N,'19_PayScales'!R:R)))=MONTH(PSPOINTS[[#This Row],[RateDateFrom]]),0,1)</f>
        <v>0</v>
      </c>
      <c r="F486" s="57">
        <f>IF(ISBLANK(PSPOINTS[[#This Row],[RateDateTo]]),0,IF(PSPOINTS[[#This Row],[RateDateFrom]]&lt;PSPOINTS[[#This Row],[RateDateTo]],0,1))</f>
        <v>0</v>
      </c>
      <c r="G486" s="57" cm="1">
        <f t="array" aca="1" ref="G486" ca="1">IF(CELL("format",PSPOINTS[[#This Row],[RateDateFrom]])="D1",0,1)+IF(CELL("format",PSPOINTS[[#This Row],[RateDateTo]])="D1",0,1)</f>
        <v>0</v>
      </c>
      <c r="H486" s="57">
        <f>IF(OR(PSPOINTS[[#This Row],[Hourly]]=TRUE,PSPOINTS[[#This Row],[Hourly]]=FALSE),IF(OR(PSPOINTS[[#This Row],[PayScalePointEnabled]]=TRUE,PSPOINTS[[#This Row],[PayScalePointEnabled]]=FALSE),0,1),1)</f>
        <v>0</v>
      </c>
      <c r="I486" s="57">
        <f>IF(LEN(PSPOINTS[[#This Row],[PayScalePointCode]])&lt;100,0,1)</f>
        <v>0</v>
      </c>
      <c r="J486" s="57">
        <f>IF(LEN(PSPOINTS[[#This Row],[PayScalePointTitle]])&lt;100,0,1)</f>
        <v>0</v>
      </c>
      <c r="K486" s="57">
        <f>(COUNTBLANK(PSPOINTS[[#This Row],[PayScalePointCode]:[RateDateFrom]])+COUNTBLANK(PSPOINTS[[#This Row],[PayScaleRate]]))</f>
        <v>0</v>
      </c>
      <c r="L486" s="120">
        <f>IF(SUBSTITUTE(TEXT(PSPOINTS[[#This Row],[PayScaleCode]],10)," ","")=TEXT(PSPOINTS[[#This Row],[PayScaleCode]],10),0,1)+IF(SUBSTITUTE(TEXT(PSPOINTS[[#This Row],[PayScalePointCode]],10)," ","")=TEXT(PSPOINTS[[#This Row],[PayScalePointCode]],10),0,1)</f>
        <v>0</v>
      </c>
      <c r="M486" s="57">
        <f ca="1">SUM(PSPOINTS[[#This Row],[Scale Point Issue]:[Space in Code]])</f>
        <v>0</v>
      </c>
      <c r="N486" s="57" t="s">
        <v>1412</v>
      </c>
      <c r="P486" s="12" t="s">
        <v>1421</v>
      </c>
      <c r="Q486" s="57" t="str">
        <f>_xlfn.XLOOKUP(PSPOINTS[[#This Row],[PayScaleCode]],'19_PayScales'!N:N,'19_PayScales'!O:O)</f>
        <v>NJC Outer</v>
      </c>
      <c r="R486" s="12">
        <v>55</v>
      </c>
      <c r="S486" s="12">
        <v>55</v>
      </c>
      <c r="T486" s="12">
        <v>55</v>
      </c>
      <c r="U486" s="12" t="b">
        <v>0</v>
      </c>
      <c r="V486" s="15" t="b">
        <v>1</v>
      </c>
      <c r="W486" s="164">
        <v>45748</v>
      </c>
      <c r="X486" s="140"/>
      <c r="Y486" s="163">
        <v>71181</v>
      </c>
    </row>
    <row r="487" spans="1:25" hidden="1" x14ac:dyDescent="0.25">
      <c r="A487" s="158" t="str">
        <f>PSPOINTS[[#This Row],[PayScaleCode]]&amp;PSPOINTS[[#This Row],[RateDateFrom]]</f>
        <v>NJC_OUT45748</v>
      </c>
      <c r="B487" s="57">
        <f t="shared" si="7"/>
        <v>0</v>
      </c>
      <c r="C487" s="57" t="str">
        <f>PSPOINTS[[#This Row],[PayScaleCode]]&amp;PSPOINTS[[#This Row],[PayScalePointCode]]&amp;PSPOINTS[[#This Row],[RateDateFrom]]</f>
        <v>NJC_OUT5645748</v>
      </c>
      <c r="D487" s="57">
        <f>COUNTIF(PSPOINTS[Pay Scale String Duplicates],PSPOINTS[[#This Row],[Pay Scale String Duplicates]])-1</f>
        <v>0</v>
      </c>
      <c r="E487" s="57">
        <f>IF((MONTH(_xlfn.XLOOKUP(PSPOINTS[[#This Row],[PayScaleCode]],'19_PayScales'!N:N,'19_PayScales'!R:R)))=MONTH(PSPOINTS[[#This Row],[RateDateFrom]]),0,1)</f>
        <v>0</v>
      </c>
      <c r="F487" s="57">
        <f>IF(ISBLANK(PSPOINTS[[#This Row],[RateDateTo]]),0,IF(PSPOINTS[[#This Row],[RateDateFrom]]&lt;PSPOINTS[[#This Row],[RateDateTo]],0,1))</f>
        <v>0</v>
      </c>
      <c r="G487" s="57" cm="1">
        <f t="array" aca="1" ref="G487" ca="1">IF(CELL("format",PSPOINTS[[#This Row],[RateDateFrom]])="D1",0,1)+IF(CELL("format",PSPOINTS[[#This Row],[RateDateTo]])="D1",0,1)</f>
        <v>0</v>
      </c>
      <c r="H487" s="57">
        <f>IF(OR(PSPOINTS[[#This Row],[Hourly]]=TRUE,PSPOINTS[[#This Row],[Hourly]]=FALSE),IF(OR(PSPOINTS[[#This Row],[PayScalePointEnabled]]=TRUE,PSPOINTS[[#This Row],[PayScalePointEnabled]]=FALSE),0,1),1)</f>
        <v>0</v>
      </c>
      <c r="I487" s="57">
        <f>IF(LEN(PSPOINTS[[#This Row],[PayScalePointCode]])&lt;100,0,1)</f>
        <v>0</v>
      </c>
      <c r="J487" s="57">
        <f>IF(LEN(PSPOINTS[[#This Row],[PayScalePointTitle]])&lt;100,0,1)</f>
        <v>0</v>
      </c>
      <c r="K487" s="57">
        <f>(COUNTBLANK(PSPOINTS[[#This Row],[PayScalePointCode]:[RateDateFrom]])+COUNTBLANK(PSPOINTS[[#This Row],[PayScaleRate]]))</f>
        <v>0</v>
      </c>
      <c r="L487" s="120">
        <f>IF(SUBSTITUTE(TEXT(PSPOINTS[[#This Row],[PayScaleCode]],10)," ","")=TEXT(PSPOINTS[[#This Row],[PayScaleCode]],10),0,1)+IF(SUBSTITUTE(TEXT(PSPOINTS[[#This Row],[PayScalePointCode]],10)," ","")=TEXT(PSPOINTS[[#This Row],[PayScalePointCode]],10),0,1)</f>
        <v>0</v>
      </c>
      <c r="M487" s="57">
        <f ca="1">SUM(PSPOINTS[[#This Row],[Scale Point Issue]:[Space in Code]])</f>
        <v>0</v>
      </c>
      <c r="N487" s="57" t="s">
        <v>1412</v>
      </c>
      <c r="P487" s="12" t="s">
        <v>1421</v>
      </c>
      <c r="Q487" s="57" t="str">
        <f>_xlfn.XLOOKUP(PSPOINTS[[#This Row],[PayScaleCode]],'19_PayScales'!N:N,'19_PayScales'!O:O)</f>
        <v>NJC Outer</v>
      </c>
      <c r="R487" s="12">
        <v>56</v>
      </c>
      <c r="S487" s="12">
        <v>56</v>
      </c>
      <c r="T487" s="12">
        <v>56</v>
      </c>
      <c r="U487" s="12" t="b">
        <v>0</v>
      </c>
      <c r="V487" s="15" t="b">
        <v>1</v>
      </c>
      <c r="W487" s="164">
        <v>45748</v>
      </c>
      <c r="X487" s="140"/>
      <c r="Y487" s="163">
        <v>72399</v>
      </c>
    </row>
    <row r="488" spans="1:25" hidden="1" x14ac:dyDescent="0.25">
      <c r="A488" s="158" t="str">
        <f>PSPOINTS[[#This Row],[PayScaleCode]]&amp;PSPOINTS[[#This Row],[RateDateFrom]]</f>
        <v>NJC_OUT45748</v>
      </c>
      <c r="B488" s="57">
        <f t="shared" si="7"/>
        <v>0</v>
      </c>
      <c r="C488" s="57" t="str">
        <f>PSPOINTS[[#This Row],[PayScaleCode]]&amp;PSPOINTS[[#This Row],[PayScalePointCode]]&amp;PSPOINTS[[#This Row],[RateDateFrom]]</f>
        <v>NJC_OUT5745748</v>
      </c>
      <c r="D488" s="57">
        <f>COUNTIF(PSPOINTS[Pay Scale String Duplicates],PSPOINTS[[#This Row],[Pay Scale String Duplicates]])-1</f>
        <v>0</v>
      </c>
      <c r="E488" s="57">
        <f>IF((MONTH(_xlfn.XLOOKUP(PSPOINTS[[#This Row],[PayScaleCode]],'19_PayScales'!N:N,'19_PayScales'!R:R)))=MONTH(PSPOINTS[[#This Row],[RateDateFrom]]),0,1)</f>
        <v>0</v>
      </c>
      <c r="F488" s="57">
        <f>IF(ISBLANK(PSPOINTS[[#This Row],[RateDateTo]]),0,IF(PSPOINTS[[#This Row],[RateDateFrom]]&lt;PSPOINTS[[#This Row],[RateDateTo]],0,1))</f>
        <v>0</v>
      </c>
      <c r="G488" s="57" cm="1">
        <f t="array" aca="1" ref="G488" ca="1">IF(CELL("format",PSPOINTS[[#This Row],[RateDateFrom]])="D1",0,1)+IF(CELL("format",PSPOINTS[[#This Row],[RateDateTo]])="D1",0,1)</f>
        <v>0</v>
      </c>
      <c r="H488" s="57">
        <f>IF(OR(PSPOINTS[[#This Row],[Hourly]]=TRUE,PSPOINTS[[#This Row],[Hourly]]=FALSE),IF(OR(PSPOINTS[[#This Row],[PayScalePointEnabled]]=TRUE,PSPOINTS[[#This Row],[PayScalePointEnabled]]=FALSE),0,1),1)</f>
        <v>0</v>
      </c>
      <c r="I488" s="57">
        <f>IF(LEN(PSPOINTS[[#This Row],[PayScalePointCode]])&lt;100,0,1)</f>
        <v>0</v>
      </c>
      <c r="J488" s="57">
        <f>IF(LEN(PSPOINTS[[#This Row],[PayScalePointTitle]])&lt;100,0,1)</f>
        <v>0</v>
      </c>
      <c r="K488" s="57">
        <f>(COUNTBLANK(PSPOINTS[[#This Row],[PayScalePointCode]:[RateDateFrom]])+COUNTBLANK(PSPOINTS[[#This Row],[PayScaleRate]]))</f>
        <v>0</v>
      </c>
      <c r="L488" s="120">
        <f>IF(SUBSTITUTE(TEXT(PSPOINTS[[#This Row],[PayScaleCode]],10)," ","")=TEXT(PSPOINTS[[#This Row],[PayScaleCode]],10),0,1)+IF(SUBSTITUTE(TEXT(PSPOINTS[[#This Row],[PayScalePointCode]],10)," ","")=TEXT(PSPOINTS[[#This Row],[PayScalePointCode]],10),0,1)</f>
        <v>0</v>
      </c>
      <c r="M488" s="57">
        <f ca="1">SUM(PSPOINTS[[#This Row],[Scale Point Issue]:[Space in Code]])</f>
        <v>0</v>
      </c>
      <c r="N488" s="57" t="s">
        <v>1412</v>
      </c>
      <c r="P488" s="12" t="s">
        <v>1421</v>
      </c>
      <c r="Q488" s="57" t="str">
        <f>_xlfn.XLOOKUP(PSPOINTS[[#This Row],[PayScaleCode]],'19_PayScales'!N:N,'19_PayScales'!O:O)</f>
        <v>NJC Outer</v>
      </c>
      <c r="R488" s="12">
        <v>57</v>
      </c>
      <c r="S488" s="12">
        <v>57</v>
      </c>
      <c r="T488" s="12">
        <v>57</v>
      </c>
      <c r="U488" s="12" t="b">
        <v>0</v>
      </c>
      <c r="V488" s="15" t="b">
        <v>1</v>
      </c>
      <c r="W488" s="164">
        <v>45748</v>
      </c>
      <c r="X488" s="140"/>
      <c r="Y488" s="163">
        <v>73602</v>
      </c>
    </row>
    <row r="489" spans="1:25" hidden="1" x14ac:dyDescent="0.25">
      <c r="A489" s="158" t="str">
        <f>PSPOINTS[[#This Row],[PayScaleCode]]&amp;PSPOINTS[[#This Row],[RateDateFrom]]</f>
        <v>NJC_OUT45748</v>
      </c>
      <c r="B489" s="57">
        <f t="shared" si="7"/>
        <v>0</v>
      </c>
      <c r="C489" s="57" t="str">
        <f>PSPOINTS[[#This Row],[PayScaleCode]]&amp;PSPOINTS[[#This Row],[PayScalePointCode]]&amp;PSPOINTS[[#This Row],[RateDateFrom]]</f>
        <v>NJC_OUT5845748</v>
      </c>
      <c r="D489" s="57">
        <f>COUNTIF(PSPOINTS[Pay Scale String Duplicates],PSPOINTS[[#This Row],[Pay Scale String Duplicates]])-1</f>
        <v>0</v>
      </c>
      <c r="E489" s="57">
        <f>IF((MONTH(_xlfn.XLOOKUP(PSPOINTS[[#This Row],[PayScaleCode]],'19_PayScales'!N:N,'19_PayScales'!R:R)))=MONTH(PSPOINTS[[#This Row],[RateDateFrom]]),0,1)</f>
        <v>0</v>
      </c>
      <c r="F489" s="57">
        <f>IF(ISBLANK(PSPOINTS[[#This Row],[RateDateTo]]),0,IF(PSPOINTS[[#This Row],[RateDateFrom]]&lt;PSPOINTS[[#This Row],[RateDateTo]],0,1))</f>
        <v>0</v>
      </c>
      <c r="G489" s="57" cm="1">
        <f t="array" aca="1" ref="G489" ca="1">IF(CELL("format",PSPOINTS[[#This Row],[RateDateFrom]])="D1",0,1)+IF(CELL("format",PSPOINTS[[#This Row],[RateDateTo]])="D1",0,1)</f>
        <v>0</v>
      </c>
      <c r="H489" s="57">
        <f>IF(OR(PSPOINTS[[#This Row],[Hourly]]=TRUE,PSPOINTS[[#This Row],[Hourly]]=FALSE),IF(OR(PSPOINTS[[#This Row],[PayScalePointEnabled]]=TRUE,PSPOINTS[[#This Row],[PayScalePointEnabled]]=FALSE),0,1),1)</f>
        <v>0</v>
      </c>
      <c r="I489" s="57">
        <f>IF(LEN(PSPOINTS[[#This Row],[PayScalePointCode]])&lt;100,0,1)</f>
        <v>0</v>
      </c>
      <c r="J489" s="57">
        <f>IF(LEN(PSPOINTS[[#This Row],[PayScalePointTitle]])&lt;100,0,1)</f>
        <v>0</v>
      </c>
      <c r="K489" s="57">
        <f>(COUNTBLANK(PSPOINTS[[#This Row],[PayScalePointCode]:[RateDateFrom]])+COUNTBLANK(PSPOINTS[[#This Row],[PayScaleRate]]))</f>
        <v>0</v>
      </c>
      <c r="L489" s="120">
        <f>IF(SUBSTITUTE(TEXT(PSPOINTS[[#This Row],[PayScaleCode]],10)," ","")=TEXT(PSPOINTS[[#This Row],[PayScaleCode]],10),0,1)+IF(SUBSTITUTE(TEXT(PSPOINTS[[#This Row],[PayScalePointCode]],10)," ","")=TEXT(PSPOINTS[[#This Row],[PayScalePointCode]],10),0,1)</f>
        <v>0</v>
      </c>
      <c r="M489" s="57">
        <f ca="1">SUM(PSPOINTS[[#This Row],[Scale Point Issue]:[Space in Code]])</f>
        <v>0</v>
      </c>
      <c r="N489" s="57" t="s">
        <v>1412</v>
      </c>
      <c r="P489" s="12" t="s">
        <v>1421</v>
      </c>
      <c r="Q489" s="57" t="str">
        <f>_xlfn.XLOOKUP(PSPOINTS[[#This Row],[PayScaleCode]],'19_PayScales'!N:N,'19_PayScales'!O:O)</f>
        <v>NJC Outer</v>
      </c>
      <c r="R489" s="12">
        <v>58</v>
      </c>
      <c r="S489" s="12">
        <v>58</v>
      </c>
      <c r="T489" s="12">
        <v>58</v>
      </c>
      <c r="U489" s="12" t="b">
        <v>0</v>
      </c>
      <c r="V489" s="15" t="b">
        <v>1</v>
      </c>
      <c r="W489" s="164">
        <v>45748</v>
      </c>
      <c r="X489" s="140"/>
      <c r="Y489" s="163">
        <v>74802</v>
      </c>
    </row>
    <row r="490" spans="1:25" hidden="1" x14ac:dyDescent="0.25">
      <c r="A490" s="158" t="str">
        <f>PSPOINTS[[#This Row],[PayScaleCode]]&amp;PSPOINTS[[#This Row],[RateDateFrom]]</f>
        <v>NJC_OUT45748</v>
      </c>
      <c r="B490" s="57">
        <f t="shared" si="7"/>
        <v>0</v>
      </c>
      <c r="C490" s="57" t="str">
        <f>PSPOINTS[[#This Row],[PayScaleCode]]&amp;PSPOINTS[[#This Row],[PayScalePointCode]]&amp;PSPOINTS[[#This Row],[RateDateFrom]]</f>
        <v>NJC_OUT5945748</v>
      </c>
      <c r="D490" s="57">
        <f>COUNTIF(PSPOINTS[Pay Scale String Duplicates],PSPOINTS[[#This Row],[Pay Scale String Duplicates]])-1</f>
        <v>0</v>
      </c>
      <c r="E490" s="57">
        <f>IF((MONTH(_xlfn.XLOOKUP(PSPOINTS[[#This Row],[PayScaleCode]],'19_PayScales'!N:N,'19_PayScales'!R:R)))=MONTH(PSPOINTS[[#This Row],[RateDateFrom]]),0,1)</f>
        <v>0</v>
      </c>
      <c r="F490" s="57">
        <f>IF(ISBLANK(PSPOINTS[[#This Row],[RateDateTo]]),0,IF(PSPOINTS[[#This Row],[RateDateFrom]]&lt;PSPOINTS[[#This Row],[RateDateTo]],0,1))</f>
        <v>0</v>
      </c>
      <c r="G490" s="57" cm="1">
        <f t="array" aca="1" ref="G490" ca="1">IF(CELL("format",PSPOINTS[[#This Row],[RateDateFrom]])="D1",0,1)+IF(CELL("format",PSPOINTS[[#This Row],[RateDateTo]])="D1",0,1)</f>
        <v>0</v>
      </c>
      <c r="H490" s="57">
        <f>IF(OR(PSPOINTS[[#This Row],[Hourly]]=TRUE,PSPOINTS[[#This Row],[Hourly]]=FALSE),IF(OR(PSPOINTS[[#This Row],[PayScalePointEnabled]]=TRUE,PSPOINTS[[#This Row],[PayScalePointEnabled]]=FALSE),0,1),1)</f>
        <v>0</v>
      </c>
      <c r="I490" s="57">
        <f>IF(LEN(PSPOINTS[[#This Row],[PayScalePointCode]])&lt;100,0,1)</f>
        <v>0</v>
      </c>
      <c r="J490" s="57">
        <f>IF(LEN(PSPOINTS[[#This Row],[PayScalePointTitle]])&lt;100,0,1)</f>
        <v>0</v>
      </c>
      <c r="K490" s="57">
        <f>(COUNTBLANK(PSPOINTS[[#This Row],[PayScalePointCode]:[RateDateFrom]])+COUNTBLANK(PSPOINTS[[#This Row],[PayScaleRate]]))</f>
        <v>0</v>
      </c>
      <c r="L490" s="120">
        <f>IF(SUBSTITUTE(TEXT(PSPOINTS[[#This Row],[PayScaleCode]],10)," ","")=TEXT(PSPOINTS[[#This Row],[PayScaleCode]],10),0,1)+IF(SUBSTITUTE(TEXT(PSPOINTS[[#This Row],[PayScalePointCode]],10)," ","")=TEXT(PSPOINTS[[#This Row],[PayScalePointCode]],10),0,1)</f>
        <v>0</v>
      </c>
      <c r="M490" s="57">
        <f ca="1">SUM(PSPOINTS[[#This Row],[Scale Point Issue]:[Space in Code]])</f>
        <v>0</v>
      </c>
      <c r="N490" s="57" t="s">
        <v>1412</v>
      </c>
      <c r="P490" s="12" t="s">
        <v>1421</v>
      </c>
      <c r="Q490" s="57" t="str">
        <f>_xlfn.XLOOKUP(PSPOINTS[[#This Row],[PayScaleCode]],'19_PayScales'!N:N,'19_PayScales'!O:O)</f>
        <v>NJC Outer</v>
      </c>
      <c r="R490" s="12">
        <v>59</v>
      </c>
      <c r="S490" s="12">
        <v>59</v>
      </c>
      <c r="T490" s="12">
        <v>59</v>
      </c>
      <c r="U490" s="12" t="b">
        <v>0</v>
      </c>
      <c r="V490" s="15" t="b">
        <v>1</v>
      </c>
      <c r="W490" s="164">
        <v>45748</v>
      </c>
      <c r="X490" s="140"/>
      <c r="Y490" s="163">
        <v>76005</v>
      </c>
    </row>
    <row r="491" spans="1:25" hidden="1" x14ac:dyDescent="0.25">
      <c r="A491" s="158" t="str">
        <f>PSPOINTS[[#This Row],[PayScaleCode]]&amp;PSPOINTS[[#This Row],[RateDateFrom]]</f>
        <v>NJC_OUT45748</v>
      </c>
      <c r="B491" s="57">
        <f t="shared" si="7"/>
        <v>0</v>
      </c>
      <c r="C491" s="57" t="str">
        <f>PSPOINTS[[#This Row],[PayScaleCode]]&amp;PSPOINTS[[#This Row],[PayScalePointCode]]&amp;PSPOINTS[[#This Row],[RateDateFrom]]</f>
        <v>NJC_OUT6045748</v>
      </c>
      <c r="D491" s="57">
        <f>COUNTIF(PSPOINTS[Pay Scale String Duplicates],PSPOINTS[[#This Row],[Pay Scale String Duplicates]])-1</f>
        <v>0</v>
      </c>
      <c r="E491" s="57">
        <f>IF((MONTH(_xlfn.XLOOKUP(PSPOINTS[[#This Row],[PayScaleCode]],'19_PayScales'!N:N,'19_PayScales'!R:R)))=MONTH(PSPOINTS[[#This Row],[RateDateFrom]]),0,1)</f>
        <v>0</v>
      </c>
      <c r="F491" s="57">
        <f>IF(ISBLANK(PSPOINTS[[#This Row],[RateDateTo]]),0,IF(PSPOINTS[[#This Row],[RateDateFrom]]&lt;PSPOINTS[[#This Row],[RateDateTo]],0,1))</f>
        <v>0</v>
      </c>
      <c r="G491" s="57" cm="1">
        <f t="array" aca="1" ref="G491" ca="1">IF(CELL("format",PSPOINTS[[#This Row],[RateDateFrom]])="D1",0,1)+IF(CELL("format",PSPOINTS[[#This Row],[RateDateTo]])="D1",0,1)</f>
        <v>0</v>
      </c>
      <c r="H491" s="57">
        <f>IF(OR(PSPOINTS[[#This Row],[Hourly]]=TRUE,PSPOINTS[[#This Row],[Hourly]]=FALSE),IF(OR(PSPOINTS[[#This Row],[PayScalePointEnabled]]=TRUE,PSPOINTS[[#This Row],[PayScalePointEnabled]]=FALSE),0,1),1)</f>
        <v>0</v>
      </c>
      <c r="I491" s="57">
        <f>IF(LEN(PSPOINTS[[#This Row],[PayScalePointCode]])&lt;100,0,1)</f>
        <v>0</v>
      </c>
      <c r="J491" s="57">
        <f>IF(LEN(PSPOINTS[[#This Row],[PayScalePointTitle]])&lt;100,0,1)</f>
        <v>0</v>
      </c>
      <c r="K491" s="57">
        <f>(COUNTBLANK(PSPOINTS[[#This Row],[PayScalePointCode]:[RateDateFrom]])+COUNTBLANK(PSPOINTS[[#This Row],[PayScaleRate]]))</f>
        <v>0</v>
      </c>
      <c r="L491" s="120">
        <f>IF(SUBSTITUTE(TEXT(PSPOINTS[[#This Row],[PayScaleCode]],10)," ","")=TEXT(PSPOINTS[[#This Row],[PayScaleCode]],10),0,1)+IF(SUBSTITUTE(TEXT(PSPOINTS[[#This Row],[PayScalePointCode]],10)," ","")=TEXT(PSPOINTS[[#This Row],[PayScalePointCode]],10),0,1)</f>
        <v>0</v>
      </c>
      <c r="M491" s="57">
        <f ca="1">SUM(PSPOINTS[[#This Row],[Scale Point Issue]:[Space in Code]])</f>
        <v>0</v>
      </c>
      <c r="N491" s="57" t="s">
        <v>1412</v>
      </c>
      <c r="P491" s="12" t="s">
        <v>1421</v>
      </c>
      <c r="Q491" s="57" t="str">
        <f>_xlfn.XLOOKUP(PSPOINTS[[#This Row],[PayScaleCode]],'19_PayScales'!N:N,'19_PayScales'!O:O)</f>
        <v>NJC Outer</v>
      </c>
      <c r="R491" s="12">
        <v>60</v>
      </c>
      <c r="S491" s="12">
        <v>60</v>
      </c>
      <c r="T491" s="12">
        <v>60</v>
      </c>
      <c r="U491" s="12" t="b">
        <v>0</v>
      </c>
      <c r="V491" s="15" t="b">
        <v>1</v>
      </c>
      <c r="W491" s="164">
        <v>45748</v>
      </c>
      <c r="X491" s="140"/>
      <c r="Y491" s="163">
        <v>77550</v>
      </c>
    </row>
    <row r="492" spans="1:25" hidden="1" x14ac:dyDescent="0.25">
      <c r="A492" s="158" t="str">
        <f>PSPOINTS[[#This Row],[PayScaleCode]]&amp;PSPOINTS[[#This Row],[RateDateFrom]]</f>
        <v>NJC_OUT45748</v>
      </c>
      <c r="B492" s="57">
        <f t="shared" si="7"/>
        <v>0</v>
      </c>
      <c r="C492" s="57" t="str">
        <f>PSPOINTS[[#This Row],[PayScaleCode]]&amp;PSPOINTS[[#This Row],[PayScalePointCode]]&amp;PSPOINTS[[#This Row],[RateDateFrom]]</f>
        <v>NJC_OUT6145748</v>
      </c>
      <c r="D492" s="57">
        <f>COUNTIF(PSPOINTS[Pay Scale String Duplicates],PSPOINTS[[#This Row],[Pay Scale String Duplicates]])-1</f>
        <v>0</v>
      </c>
      <c r="E492" s="57">
        <f>IF((MONTH(_xlfn.XLOOKUP(PSPOINTS[[#This Row],[PayScaleCode]],'19_PayScales'!N:N,'19_PayScales'!R:R)))=MONTH(PSPOINTS[[#This Row],[RateDateFrom]]),0,1)</f>
        <v>0</v>
      </c>
      <c r="F492" s="57">
        <f>IF(ISBLANK(PSPOINTS[[#This Row],[RateDateTo]]),0,IF(PSPOINTS[[#This Row],[RateDateFrom]]&lt;PSPOINTS[[#This Row],[RateDateTo]],0,1))</f>
        <v>0</v>
      </c>
      <c r="G492" s="57" cm="1">
        <f t="array" aca="1" ref="G492" ca="1">IF(CELL("format",PSPOINTS[[#This Row],[RateDateFrom]])="D1",0,1)+IF(CELL("format",PSPOINTS[[#This Row],[RateDateTo]])="D1",0,1)</f>
        <v>0</v>
      </c>
      <c r="H492" s="57">
        <f>IF(OR(PSPOINTS[[#This Row],[Hourly]]=TRUE,PSPOINTS[[#This Row],[Hourly]]=FALSE),IF(OR(PSPOINTS[[#This Row],[PayScalePointEnabled]]=TRUE,PSPOINTS[[#This Row],[PayScalePointEnabled]]=FALSE),0,1),1)</f>
        <v>0</v>
      </c>
      <c r="I492" s="57">
        <f>IF(LEN(PSPOINTS[[#This Row],[PayScalePointCode]])&lt;100,0,1)</f>
        <v>0</v>
      </c>
      <c r="J492" s="57">
        <f>IF(LEN(PSPOINTS[[#This Row],[PayScalePointTitle]])&lt;100,0,1)</f>
        <v>0</v>
      </c>
      <c r="K492" s="57">
        <f>(COUNTBLANK(PSPOINTS[[#This Row],[PayScalePointCode]:[RateDateFrom]])+COUNTBLANK(PSPOINTS[[#This Row],[PayScaleRate]]))</f>
        <v>0</v>
      </c>
      <c r="L492" s="120">
        <f>IF(SUBSTITUTE(TEXT(PSPOINTS[[#This Row],[PayScaleCode]],10)," ","")=TEXT(PSPOINTS[[#This Row],[PayScaleCode]],10),0,1)+IF(SUBSTITUTE(TEXT(PSPOINTS[[#This Row],[PayScalePointCode]],10)," ","")=TEXT(PSPOINTS[[#This Row],[PayScalePointCode]],10),0,1)</f>
        <v>0</v>
      </c>
      <c r="M492" s="57">
        <f ca="1">SUM(PSPOINTS[[#This Row],[Scale Point Issue]:[Space in Code]])</f>
        <v>0</v>
      </c>
      <c r="N492" s="57" t="s">
        <v>1412</v>
      </c>
      <c r="P492" s="12" t="s">
        <v>1421</v>
      </c>
      <c r="Q492" s="57" t="str">
        <f>_xlfn.XLOOKUP(PSPOINTS[[#This Row],[PayScaleCode]],'19_PayScales'!N:N,'19_PayScales'!O:O)</f>
        <v>NJC Outer</v>
      </c>
      <c r="R492" s="12">
        <v>61</v>
      </c>
      <c r="S492" s="12">
        <v>61</v>
      </c>
      <c r="T492" s="12">
        <v>61</v>
      </c>
      <c r="U492" s="12" t="b">
        <v>0</v>
      </c>
      <c r="V492" s="15" t="b">
        <v>1</v>
      </c>
      <c r="W492" s="164">
        <v>45748</v>
      </c>
      <c r="X492" s="140"/>
      <c r="Y492" s="163">
        <v>79119</v>
      </c>
    </row>
    <row r="493" spans="1:25" hidden="1" x14ac:dyDescent="0.25">
      <c r="A493" s="158" t="str">
        <f>PSPOINTS[[#This Row],[PayScaleCode]]&amp;PSPOINTS[[#This Row],[RateDateFrom]]</f>
        <v>NJC_OUT45748</v>
      </c>
      <c r="B493" s="57">
        <f t="shared" si="7"/>
        <v>0</v>
      </c>
      <c r="C493" s="57" t="str">
        <f>PSPOINTS[[#This Row],[PayScaleCode]]&amp;PSPOINTS[[#This Row],[PayScalePointCode]]&amp;PSPOINTS[[#This Row],[RateDateFrom]]</f>
        <v>NJC_OUT6245748</v>
      </c>
      <c r="D493" s="57">
        <f>COUNTIF(PSPOINTS[Pay Scale String Duplicates],PSPOINTS[[#This Row],[Pay Scale String Duplicates]])-1</f>
        <v>0</v>
      </c>
      <c r="E493" s="57">
        <f>IF((MONTH(_xlfn.XLOOKUP(PSPOINTS[[#This Row],[PayScaleCode]],'19_PayScales'!N:N,'19_PayScales'!R:R)))=MONTH(PSPOINTS[[#This Row],[RateDateFrom]]),0,1)</f>
        <v>0</v>
      </c>
      <c r="F493" s="57">
        <f>IF(ISBLANK(PSPOINTS[[#This Row],[RateDateTo]]),0,IF(PSPOINTS[[#This Row],[RateDateFrom]]&lt;PSPOINTS[[#This Row],[RateDateTo]],0,1))</f>
        <v>0</v>
      </c>
      <c r="G493" s="57" cm="1">
        <f t="array" aca="1" ref="G493" ca="1">IF(CELL("format",PSPOINTS[[#This Row],[RateDateFrom]])="D1",0,1)+IF(CELL("format",PSPOINTS[[#This Row],[RateDateTo]])="D1",0,1)</f>
        <v>0</v>
      </c>
      <c r="H493" s="57">
        <f>IF(OR(PSPOINTS[[#This Row],[Hourly]]=TRUE,PSPOINTS[[#This Row],[Hourly]]=FALSE),IF(OR(PSPOINTS[[#This Row],[PayScalePointEnabled]]=TRUE,PSPOINTS[[#This Row],[PayScalePointEnabled]]=FALSE),0,1),1)</f>
        <v>0</v>
      </c>
      <c r="I493" s="57">
        <f>IF(LEN(PSPOINTS[[#This Row],[PayScalePointCode]])&lt;100,0,1)</f>
        <v>0</v>
      </c>
      <c r="J493" s="57">
        <f>IF(LEN(PSPOINTS[[#This Row],[PayScalePointTitle]])&lt;100,0,1)</f>
        <v>0</v>
      </c>
      <c r="K493" s="57">
        <f>(COUNTBLANK(PSPOINTS[[#This Row],[PayScalePointCode]:[RateDateFrom]])+COUNTBLANK(PSPOINTS[[#This Row],[PayScaleRate]]))</f>
        <v>0</v>
      </c>
      <c r="L493" s="120">
        <f>IF(SUBSTITUTE(TEXT(PSPOINTS[[#This Row],[PayScaleCode]],10)," ","")=TEXT(PSPOINTS[[#This Row],[PayScaleCode]],10),0,1)+IF(SUBSTITUTE(TEXT(PSPOINTS[[#This Row],[PayScalePointCode]],10)," ","")=TEXT(PSPOINTS[[#This Row],[PayScalePointCode]],10),0,1)</f>
        <v>0</v>
      </c>
      <c r="M493" s="57">
        <f ca="1">SUM(PSPOINTS[[#This Row],[Scale Point Issue]:[Space in Code]])</f>
        <v>0</v>
      </c>
      <c r="N493" s="57" t="s">
        <v>1412</v>
      </c>
      <c r="P493" s="12" t="s">
        <v>1421</v>
      </c>
      <c r="Q493" s="57" t="str">
        <f>_xlfn.XLOOKUP(PSPOINTS[[#This Row],[PayScaleCode]],'19_PayScales'!N:N,'19_PayScales'!O:O)</f>
        <v>NJC Outer</v>
      </c>
      <c r="R493" s="12">
        <v>62</v>
      </c>
      <c r="S493" s="12">
        <v>62</v>
      </c>
      <c r="T493" s="12">
        <v>62</v>
      </c>
      <c r="U493" s="12" t="b">
        <v>0</v>
      </c>
      <c r="V493" s="15" t="b">
        <v>1</v>
      </c>
      <c r="W493" s="164">
        <v>45748</v>
      </c>
      <c r="X493" s="140"/>
      <c r="Y493" s="163">
        <v>80724</v>
      </c>
    </row>
    <row r="494" spans="1:25" hidden="1" x14ac:dyDescent="0.25">
      <c r="A494" s="158" t="str">
        <f>PSPOINTS[[#This Row],[PayScaleCode]]&amp;PSPOINTS[[#This Row],[RateDateFrom]]</f>
        <v>NJC_OUT45748</v>
      </c>
      <c r="B494" s="57">
        <f t="shared" si="7"/>
        <v>0</v>
      </c>
      <c r="C494" s="57" t="str">
        <f>PSPOINTS[[#This Row],[PayScaleCode]]&amp;PSPOINTS[[#This Row],[PayScalePointCode]]&amp;PSPOINTS[[#This Row],[RateDateFrom]]</f>
        <v>NJC_OUT6345748</v>
      </c>
      <c r="D494" s="57">
        <f>COUNTIF(PSPOINTS[Pay Scale String Duplicates],PSPOINTS[[#This Row],[Pay Scale String Duplicates]])-1</f>
        <v>0</v>
      </c>
      <c r="E494" s="57">
        <f>IF((MONTH(_xlfn.XLOOKUP(PSPOINTS[[#This Row],[PayScaleCode]],'19_PayScales'!N:N,'19_PayScales'!R:R)))=MONTH(PSPOINTS[[#This Row],[RateDateFrom]]),0,1)</f>
        <v>0</v>
      </c>
      <c r="F494" s="57">
        <f>IF(ISBLANK(PSPOINTS[[#This Row],[RateDateTo]]),0,IF(PSPOINTS[[#This Row],[RateDateFrom]]&lt;PSPOINTS[[#This Row],[RateDateTo]],0,1))</f>
        <v>0</v>
      </c>
      <c r="G494" s="57" cm="1">
        <f t="array" aca="1" ref="G494" ca="1">IF(CELL("format",PSPOINTS[[#This Row],[RateDateFrom]])="D1",0,1)+IF(CELL("format",PSPOINTS[[#This Row],[RateDateTo]])="D1",0,1)</f>
        <v>0</v>
      </c>
      <c r="H494" s="57">
        <f>IF(OR(PSPOINTS[[#This Row],[Hourly]]=TRUE,PSPOINTS[[#This Row],[Hourly]]=FALSE),IF(OR(PSPOINTS[[#This Row],[PayScalePointEnabled]]=TRUE,PSPOINTS[[#This Row],[PayScalePointEnabled]]=FALSE),0,1),1)</f>
        <v>0</v>
      </c>
      <c r="I494" s="57">
        <f>IF(LEN(PSPOINTS[[#This Row],[PayScalePointCode]])&lt;100,0,1)</f>
        <v>0</v>
      </c>
      <c r="J494" s="57">
        <f>IF(LEN(PSPOINTS[[#This Row],[PayScalePointTitle]])&lt;100,0,1)</f>
        <v>0</v>
      </c>
      <c r="K494" s="57">
        <f>(COUNTBLANK(PSPOINTS[[#This Row],[PayScalePointCode]:[RateDateFrom]])+COUNTBLANK(PSPOINTS[[#This Row],[PayScaleRate]]))</f>
        <v>0</v>
      </c>
      <c r="L494" s="120">
        <f>IF(SUBSTITUTE(TEXT(PSPOINTS[[#This Row],[PayScaleCode]],10)," ","")=TEXT(PSPOINTS[[#This Row],[PayScaleCode]],10),0,1)+IF(SUBSTITUTE(TEXT(PSPOINTS[[#This Row],[PayScalePointCode]],10)," ","")=TEXT(PSPOINTS[[#This Row],[PayScalePointCode]],10),0,1)</f>
        <v>0</v>
      </c>
      <c r="M494" s="57">
        <f ca="1">SUM(PSPOINTS[[#This Row],[Scale Point Issue]:[Space in Code]])</f>
        <v>0</v>
      </c>
      <c r="N494" s="57" t="s">
        <v>1412</v>
      </c>
      <c r="P494" s="12" t="s">
        <v>1421</v>
      </c>
      <c r="Q494" s="57" t="str">
        <f>_xlfn.XLOOKUP(PSPOINTS[[#This Row],[PayScaleCode]],'19_PayScales'!N:N,'19_PayScales'!O:O)</f>
        <v>NJC Outer</v>
      </c>
      <c r="R494" s="12">
        <v>63</v>
      </c>
      <c r="S494" s="12">
        <v>63</v>
      </c>
      <c r="T494" s="12">
        <v>63</v>
      </c>
      <c r="U494" s="12" t="b">
        <v>0</v>
      </c>
      <c r="V494" s="15" t="b">
        <v>1</v>
      </c>
      <c r="W494" s="164">
        <v>45748</v>
      </c>
      <c r="X494" s="140"/>
      <c r="Y494" s="163">
        <v>82368</v>
      </c>
    </row>
    <row r="495" spans="1:25" hidden="1" x14ac:dyDescent="0.25">
      <c r="A495" s="158" t="str">
        <f>PSPOINTS[[#This Row],[PayScaleCode]]&amp;PSPOINTS[[#This Row],[RateDateFrom]]</f>
        <v>NJC_OUT45748</v>
      </c>
      <c r="B495" s="57">
        <f t="shared" si="7"/>
        <v>0</v>
      </c>
      <c r="C495" s="57" t="str">
        <f>PSPOINTS[[#This Row],[PayScaleCode]]&amp;PSPOINTS[[#This Row],[PayScalePointCode]]&amp;PSPOINTS[[#This Row],[RateDateFrom]]</f>
        <v>NJC_OUT6445748</v>
      </c>
      <c r="D495" s="57">
        <f>COUNTIF(PSPOINTS[Pay Scale String Duplicates],PSPOINTS[[#This Row],[Pay Scale String Duplicates]])-1</f>
        <v>0</v>
      </c>
      <c r="E495" s="57">
        <f>IF((MONTH(_xlfn.XLOOKUP(PSPOINTS[[#This Row],[PayScaleCode]],'19_PayScales'!N:N,'19_PayScales'!R:R)))=MONTH(PSPOINTS[[#This Row],[RateDateFrom]]),0,1)</f>
        <v>0</v>
      </c>
      <c r="F495" s="57">
        <f>IF(ISBLANK(PSPOINTS[[#This Row],[RateDateTo]]),0,IF(PSPOINTS[[#This Row],[RateDateFrom]]&lt;PSPOINTS[[#This Row],[RateDateTo]],0,1))</f>
        <v>0</v>
      </c>
      <c r="G495" s="57" cm="1">
        <f t="array" aca="1" ref="G495" ca="1">IF(CELL("format",PSPOINTS[[#This Row],[RateDateFrom]])="D1",0,1)+IF(CELL("format",PSPOINTS[[#This Row],[RateDateTo]])="D1",0,1)</f>
        <v>0</v>
      </c>
      <c r="H495" s="57">
        <f>IF(OR(PSPOINTS[[#This Row],[Hourly]]=TRUE,PSPOINTS[[#This Row],[Hourly]]=FALSE),IF(OR(PSPOINTS[[#This Row],[PayScalePointEnabled]]=TRUE,PSPOINTS[[#This Row],[PayScalePointEnabled]]=FALSE),0,1),1)</f>
        <v>0</v>
      </c>
      <c r="I495" s="57">
        <f>IF(LEN(PSPOINTS[[#This Row],[PayScalePointCode]])&lt;100,0,1)</f>
        <v>0</v>
      </c>
      <c r="J495" s="57">
        <f>IF(LEN(PSPOINTS[[#This Row],[PayScalePointTitle]])&lt;100,0,1)</f>
        <v>0</v>
      </c>
      <c r="K495" s="57">
        <f>(COUNTBLANK(PSPOINTS[[#This Row],[PayScalePointCode]:[RateDateFrom]])+COUNTBLANK(PSPOINTS[[#This Row],[PayScaleRate]]))</f>
        <v>0</v>
      </c>
      <c r="L495" s="120">
        <f>IF(SUBSTITUTE(TEXT(PSPOINTS[[#This Row],[PayScaleCode]],10)," ","")=TEXT(PSPOINTS[[#This Row],[PayScaleCode]],10),0,1)+IF(SUBSTITUTE(TEXT(PSPOINTS[[#This Row],[PayScalePointCode]],10)," ","")=TEXT(PSPOINTS[[#This Row],[PayScalePointCode]],10),0,1)</f>
        <v>0</v>
      </c>
      <c r="M495" s="57">
        <f ca="1">SUM(PSPOINTS[[#This Row],[Scale Point Issue]:[Space in Code]])</f>
        <v>0</v>
      </c>
      <c r="N495" s="57" t="s">
        <v>1412</v>
      </c>
      <c r="P495" s="12" t="s">
        <v>1421</v>
      </c>
      <c r="Q495" s="57" t="str">
        <f>_xlfn.XLOOKUP(PSPOINTS[[#This Row],[PayScaleCode]],'19_PayScales'!N:N,'19_PayScales'!O:O)</f>
        <v>NJC Outer</v>
      </c>
      <c r="R495" s="12">
        <v>64</v>
      </c>
      <c r="S495" s="12">
        <v>64</v>
      </c>
      <c r="T495" s="12">
        <v>64</v>
      </c>
      <c r="U495" s="12" t="b">
        <v>0</v>
      </c>
      <c r="V495" s="15" t="b">
        <v>1</v>
      </c>
      <c r="W495" s="164">
        <v>45748</v>
      </c>
      <c r="X495" s="140"/>
      <c r="Y495" s="163">
        <v>84042</v>
      </c>
    </row>
    <row r="496" spans="1:25" hidden="1" x14ac:dyDescent="0.25">
      <c r="A496" s="158" t="str">
        <f>PSPOINTS[[#This Row],[PayScaleCode]]&amp;PSPOINTS[[#This Row],[RateDateFrom]]</f>
        <v>NJC_OUT45748</v>
      </c>
      <c r="B496" s="57">
        <f t="shared" si="7"/>
        <v>0</v>
      </c>
      <c r="C496" s="57" t="str">
        <f>PSPOINTS[[#This Row],[PayScaleCode]]&amp;PSPOINTS[[#This Row],[PayScalePointCode]]&amp;PSPOINTS[[#This Row],[RateDateFrom]]</f>
        <v>NJC_OUT6545748</v>
      </c>
      <c r="D496" s="57">
        <f>COUNTIF(PSPOINTS[Pay Scale String Duplicates],PSPOINTS[[#This Row],[Pay Scale String Duplicates]])-1</f>
        <v>0</v>
      </c>
      <c r="E496" s="57">
        <f>IF((MONTH(_xlfn.XLOOKUP(PSPOINTS[[#This Row],[PayScaleCode]],'19_PayScales'!N:N,'19_PayScales'!R:R)))=MONTH(PSPOINTS[[#This Row],[RateDateFrom]]),0,1)</f>
        <v>0</v>
      </c>
      <c r="F496" s="57">
        <f>IF(ISBLANK(PSPOINTS[[#This Row],[RateDateTo]]),0,IF(PSPOINTS[[#This Row],[RateDateFrom]]&lt;PSPOINTS[[#This Row],[RateDateTo]],0,1))</f>
        <v>0</v>
      </c>
      <c r="G496" s="57" cm="1">
        <f t="array" aca="1" ref="G496" ca="1">IF(CELL("format",PSPOINTS[[#This Row],[RateDateFrom]])="D1",0,1)+IF(CELL("format",PSPOINTS[[#This Row],[RateDateTo]])="D1",0,1)</f>
        <v>0</v>
      </c>
      <c r="H496" s="57">
        <f>IF(OR(PSPOINTS[[#This Row],[Hourly]]=TRUE,PSPOINTS[[#This Row],[Hourly]]=FALSE),IF(OR(PSPOINTS[[#This Row],[PayScalePointEnabled]]=TRUE,PSPOINTS[[#This Row],[PayScalePointEnabled]]=FALSE),0,1),1)</f>
        <v>0</v>
      </c>
      <c r="I496" s="57">
        <f>IF(LEN(PSPOINTS[[#This Row],[PayScalePointCode]])&lt;100,0,1)</f>
        <v>0</v>
      </c>
      <c r="J496" s="57">
        <f>IF(LEN(PSPOINTS[[#This Row],[PayScalePointTitle]])&lt;100,0,1)</f>
        <v>0</v>
      </c>
      <c r="K496" s="57">
        <f>(COUNTBLANK(PSPOINTS[[#This Row],[PayScalePointCode]:[RateDateFrom]])+COUNTBLANK(PSPOINTS[[#This Row],[PayScaleRate]]))</f>
        <v>0</v>
      </c>
      <c r="L496" s="120">
        <f>IF(SUBSTITUTE(TEXT(PSPOINTS[[#This Row],[PayScaleCode]],10)," ","")=TEXT(PSPOINTS[[#This Row],[PayScaleCode]],10),0,1)+IF(SUBSTITUTE(TEXT(PSPOINTS[[#This Row],[PayScalePointCode]],10)," ","")=TEXT(PSPOINTS[[#This Row],[PayScalePointCode]],10),0,1)</f>
        <v>0</v>
      </c>
      <c r="M496" s="57">
        <f ca="1">SUM(PSPOINTS[[#This Row],[Scale Point Issue]:[Space in Code]])</f>
        <v>0</v>
      </c>
      <c r="N496" s="57" t="s">
        <v>1412</v>
      </c>
      <c r="P496" s="12" t="s">
        <v>1421</v>
      </c>
      <c r="Q496" s="57" t="str">
        <f>_xlfn.XLOOKUP(PSPOINTS[[#This Row],[PayScaleCode]],'19_PayScales'!N:N,'19_PayScales'!O:O)</f>
        <v>NJC Outer</v>
      </c>
      <c r="R496" s="12">
        <v>65</v>
      </c>
      <c r="S496" s="12">
        <v>65</v>
      </c>
      <c r="T496" s="12">
        <v>65</v>
      </c>
      <c r="U496" s="12" t="b">
        <v>0</v>
      </c>
      <c r="V496" s="15" t="b">
        <v>1</v>
      </c>
      <c r="W496" s="164">
        <v>45748</v>
      </c>
      <c r="X496" s="141"/>
      <c r="Y496" s="163">
        <v>85677</v>
      </c>
    </row>
  </sheetData>
  <phoneticPr fontId="2" type="noConversion"/>
  <conditionalFormatting sqref="Y2:Y8 Y10 Y12:Y26">
    <cfRule type="duplicateValues" dxfId="28" priority="34"/>
    <cfRule type="duplicateValues" dxfId="27" priority="35"/>
    <cfRule type="duplicateValues" dxfId="26" priority="36"/>
  </conditionalFormatting>
  <conditionalFormatting sqref="Y9">
    <cfRule type="duplicateValues" dxfId="25" priority="10"/>
    <cfRule type="duplicateValues" dxfId="24" priority="11"/>
    <cfRule type="duplicateValues" dxfId="23" priority="12"/>
  </conditionalFormatting>
  <conditionalFormatting sqref="Y11">
    <cfRule type="duplicateValues" dxfId="22" priority="7"/>
    <cfRule type="duplicateValues" dxfId="21" priority="8"/>
    <cfRule type="duplicateValues" dxfId="20" priority="9"/>
  </conditionalFormatting>
  <conditionalFormatting sqref="Y27:Y37">
    <cfRule type="duplicateValues" dxfId="19" priority="19"/>
    <cfRule type="duplicateValues" dxfId="18" priority="20"/>
    <cfRule type="duplicateValues" dxfId="17" priority="21"/>
  </conditionalFormatting>
  <conditionalFormatting sqref="Y38:Y53">
    <cfRule type="duplicateValues" dxfId="16" priority="16"/>
    <cfRule type="duplicateValues" dxfId="15" priority="17"/>
    <cfRule type="duplicateValues" dxfId="14" priority="18"/>
  </conditionalFormatting>
  <conditionalFormatting sqref="Y54:Y61">
    <cfRule type="duplicateValues" dxfId="13" priority="13"/>
    <cfRule type="duplicateValues" dxfId="12" priority="14"/>
    <cfRule type="duplicateValues" dxfId="11" priority="15"/>
  </conditionalFormatting>
  <conditionalFormatting sqref="Y62">
    <cfRule type="duplicateValues" dxfId="10" priority="1"/>
    <cfRule type="duplicateValues" dxfId="9" priority="2"/>
    <cfRule type="duplicateValues" dxfId="8" priority="3"/>
  </conditionalFormatting>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3">
        <x14:dataValidation type="list" allowBlank="1" showInputMessage="1" showErrorMessage="1" xr:uid="{D704A5C2-BA6A-490A-BFA1-4E99A51EF740}">
          <x14:formula1>
            <xm:f>Validation!$G$2:$G$3</xm:f>
          </x14:formula1>
          <xm:sqref>V131:V496 U3:V122</xm:sqref>
        </x14:dataValidation>
        <x14:dataValidation type="list" allowBlank="1" showInputMessage="1" showErrorMessage="1" xr:uid="{DBA7C9BE-0BCF-4BA8-B36C-0F50702EA0AD}">
          <x14:formula1>
            <xm:f>Validation!$A$10:$A$13</xm:f>
          </x14:formula1>
          <xm:sqref>N2:N496</xm:sqref>
        </x14:dataValidation>
        <x14:dataValidation type="list" allowBlank="1" showInputMessage="1" showErrorMessage="1" xr:uid="{64A77E23-6D4F-46C5-B737-A298DCB1F5A7}">
          <x14:formula1>
            <xm:f>'19_PayScales'!$N:$N</xm:f>
          </x14:formula1>
          <xm:sqref>P2:P496</xm:sqref>
        </x14:dataValidation>
      </x14:dataValidations>
    </ext>
  </extLst>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DC577E-9ADB-457F-9DFE-E6B3837D348A}">
  <sheetPr codeName="Sheet411">
    <tabColor theme="4" tint="0.79998168889431442"/>
  </sheetPr>
  <dimension ref="A1:S3"/>
  <sheetViews>
    <sheetView workbookViewId="0">
      <pane ySplit="1" topLeftCell="A2" activePane="bottomLeft" state="frozen"/>
      <selection activeCell="D2" sqref="D2"/>
      <selection pane="bottomLeft" activeCell="S25" sqref="S25"/>
    </sheetView>
  </sheetViews>
  <sheetFormatPr defaultColWidth="9.28515625" defaultRowHeight="15" outlineLevelCol="1" x14ac:dyDescent="0.25"/>
  <cols>
    <col min="1" max="6" width="9.85546875" hidden="1" customWidth="1" outlineLevel="1"/>
    <col min="7" max="7" width="8" customWidth="1" collapsed="1"/>
    <col min="8" max="8" width="13.28515625" customWidth="1"/>
    <col min="9" max="9" width="14.5703125" customWidth="1"/>
    <col min="10" max="10" width="33.85546875" style="21" bestFit="1" customWidth="1"/>
    <col min="11" max="11" width="14.140625" bestFit="1" customWidth="1"/>
    <col min="12" max="12" width="10" customWidth="1"/>
    <col min="13" max="13" width="11" customWidth="1"/>
    <col min="14" max="14" width="14.140625" bestFit="1" customWidth="1"/>
    <col min="15" max="15" width="16.85546875" bestFit="1" customWidth="1"/>
    <col min="16" max="16" width="11.5703125" bestFit="1" customWidth="1"/>
    <col min="17" max="17" width="14.140625" customWidth="1"/>
    <col min="19" max="19" width="42.7109375" bestFit="1" customWidth="1"/>
    <col min="20" max="20" width="23.5703125" bestFit="1" customWidth="1"/>
    <col min="21" max="21" width="12.85546875" bestFit="1" customWidth="1"/>
  </cols>
  <sheetData>
    <row r="1" spans="1:19" s="25" customFormat="1" ht="45" x14ac:dyDescent="0.25">
      <c r="A1" s="53" t="s">
        <v>1362</v>
      </c>
      <c r="B1" s="53" t="s">
        <v>1364</v>
      </c>
      <c r="C1" s="53" t="s">
        <v>1365</v>
      </c>
      <c r="D1" s="53" t="s">
        <v>1366</v>
      </c>
      <c r="E1" s="53" t="s">
        <v>1367</v>
      </c>
      <c r="F1" s="131" t="s">
        <v>1368</v>
      </c>
      <c r="G1" s="53" t="s">
        <v>1126</v>
      </c>
      <c r="H1" s="25" t="s">
        <v>1371</v>
      </c>
      <c r="I1" s="25" t="s">
        <v>1593</v>
      </c>
      <c r="J1" s="25" t="s">
        <v>1594</v>
      </c>
      <c r="K1" s="61" t="s">
        <v>1376</v>
      </c>
      <c r="L1" s="49" t="s">
        <v>1377</v>
      </c>
      <c r="M1" s="25" t="s">
        <v>1150</v>
      </c>
      <c r="N1" s="25" t="s">
        <v>1151</v>
      </c>
      <c r="O1" s="50" t="s">
        <v>1380</v>
      </c>
      <c r="P1" s="50" t="s">
        <v>1595</v>
      </c>
      <c r="Q1" s="50" t="s">
        <v>1596</v>
      </c>
    </row>
    <row r="2" spans="1:19" s="12" customFormat="1" x14ac:dyDescent="0.25">
      <c r="A2" s="57">
        <f>IF(ALLWCTYPE[[#This Row],[AvailableToAllSchools]]=FALSE,IF(ISBLANK(ALLWCTYPE[[#This Row],[SchoolCodes]]),1,0),IF(ALLWCTYPE[[#This Row],[AvailableToAllSchools]]=TRUE,IF(ISBLANK(ALLWCTYPE[[#This Row],[SchoolCodes]]),0,1)))</f>
        <v>0</v>
      </c>
      <c r="B2" s="57">
        <f>IF(OR(ALLWCTYPE[[#This Row],[ExcludePension]]=TRUE,ALLWCTYPE[[#This Row],[ExcludePension]]=FALSE),IF(OR(ALLWCTYPE[[#This Row],[AvailableToAllSchools]]=TRUE,ALLWCTYPE[[#This Row],[AvailableToAllSchools]]=FALSE),IF(OR(ALLWCTYPE[[#This Row],[ExcludeNI]]=TRUE,ALLWCTYPE[[#This Row],[ExcludeNI]]=FALSE),IF(OR(ALLWCTYPE[[#This Row],[AllowanceTypeEnabled]]=TRUE,ALLWCTYPE[[#This Row],[AllowanceTypeEnabled]]=FALSE),0,1),1),1),1)</f>
        <v>0</v>
      </c>
      <c r="C2" s="57">
        <f>IF(LEN(ALLWCTYPE[[#This Row],[AllowanceTypeCode]])&lt;100,0,1)</f>
        <v>0</v>
      </c>
      <c r="D2" s="57">
        <f>IF(LEN(ALLWCTYPE[[#This Row],[AllowanceTypeTitle]])&lt;100,0,1)</f>
        <v>0</v>
      </c>
      <c r="E2" s="57">
        <f>COUNTBLANK(ALLWCTYPE[[#This Row],[AllowanceTypeCode]:[AvailableToAllSchools]])+COUNTBLANK(ALLWCTYPE[[#This Row],[ExcludePension]]:ALLWCTYPE[[#This Row],[ExcludeNI]]:ALLWCTYPE[[#This Row],[AllowanceTypeEnabled]])</f>
        <v>0</v>
      </c>
      <c r="F2" s="57">
        <f>IF(SUBSTITUTE(TEXT(ALLWCTYPE[[#This Row],[AllowanceTypeCode]],10)," ","")=TEXT(ALLWCTYPE[[#This Row],[AllowanceTypeCode]],10),0,1)</f>
        <v>0</v>
      </c>
      <c r="G2" s="57">
        <f>SUM(ALLWCTYPE[[#This Row],[Schools Check]:[Blank in column]])</f>
        <v>0</v>
      </c>
      <c r="I2" s="12" t="s">
        <v>1597</v>
      </c>
      <c r="J2" s="12" t="s">
        <v>1598</v>
      </c>
      <c r="K2" s="51">
        <v>44440</v>
      </c>
      <c r="L2" s="157">
        <v>2</v>
      </c>
      <c r="M2" s="12" t="b">
        <v>1</v>
      </c>
      <c r="O2" s="12" t="b">
        <v>0</v>
      </c>
      <c r="P2" s="12" t="b">
        <v>0</v>
      </c>
      <c r="Q2" s="12" t="b">
        <v>1</v>
      </c>
      <c r="S2" s="1" t="s">
        <v>1599</v>
      </c>
    </row>
    <row r="3" spans="1:19" x14ac:dyDescent="0.25">
      <c r="A3" s="57">
        <f>IF(ALLWCTYPE[[#This Row],[AvailableToAllSchools]]=FALSE,IF(ISBLANK(ALLWCTYPE[[#This Row],[SchoolCodes]]),1,0),IF(ALLWCTYPE[[#This Row],[AvailableToAllSchools]]=TRUE,IF(ISBLANK(ALLWCTYPE[[#This Row],[SchoolCodes]]),0,1)))</f>
        <v>0</v>
      </c>
      <c r="B3" s="57">
        <f>IF(OR(ALLWCTYPE[[#This Row],[ExcludePension]]=TRUE,ALLWCTYPE[[#This Row],[ExcludePension]]=FALSE),IF(OR(ALLWCTYPE[[#This Row],[AvailableToAllSchools]]=TRUE,ALLWCTYPE[[#This Row],[AvailableToAllSchools]]=FALSE),IF(OR(ALLWCTYPE[[#This Row],[ExcludeNI]]=TRUE,ALLWCTYPE[[#This Row],[ExcludeNI]]=FALSE),IF(OR(ALLWCTYPE[[#This Row],[AllowanceTypeEnabled]]=TRUE,ALLWCTYPE[[#This Row],[AllowanceTypeEnabled]]=FALSE),0,1),1),1),1)</f>
        <v>0</v>
      </c>
      <c r="C3" s="57">
        <f>IF(LEN(ALLWCTYPE[[#This Row],[AllowanceTypeCode]])&lt;100,0,1)</f>
        <v>0</v>
      </c>
      <c r="D3" s="57">
        <f>IF(LEN(ALLWCTYPE[[#This Row],[AllowanceTypeTitle]])&lt;100,0,1)</f>
        <v>0</v>
      </c>
      <c r="E3" s="57">
        <f>COUNTBLANK(ALLWCTYPE[[#This Row],[AllowanceTypeCode]:[AvailableToAllSchools]])+COUNTBLANK(ALLWCTYPE[[#This Row],[ExcludePension]]:ALLWCTYPE[[#This Row],[ExcludeNI]]:ALLWCTYPE[[#This Row],[AllowanceTypeEnabled]])</f>
        <v>0</v>
      </c>
      <c r="F3" s="57">
        <f>IF(SUBSTITUTE(TEXT(ALLWCTYPE[[#This Row],[AllowanceTypeCode]],10)," ","")=TEXT(ALLWCTYPE[[#This Row],[AllowanceTypeCode]],10),0,1)</f>
        <v>0</v>
      </c>
      <c r="G3" s="57">
        <f>SUM(ALLWCTYPE[[#This Row],[Schools Check]:[Blank in column]])</f>
        <v>0</v>
      </c>
      <c r="H3" s="12"/>
      <c r="I3" s="12" t="s">
        <v>1600</v>
      </c>
      <c r="J3" s="20" t="s">
        <v>1601</v>
      </c>
      <c r="K3" s="51">
        <v>44440</v>
      </c>
      <c r="L3" s="157">
        <v>2</v>
      </c>
      <c r="M3" s="12" t="b">
        <v>1</v>
      </c>
      <c r="N3" s="12"/>
      <c r="O3" s="12" t="b">
        <v>0</v>
      </c>
      <c r="P3" s="12" t="b">
        <v>0</v>
      </c>
      <c r="Q3" s="12" t="b">
        <v>1</v>
      </c>
    </row>
  </sheetData>
  <phoneticPr fontId="2" type="noConversion"/>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4ECF5548-49CD-4D1A-9292-C43331B798AD}">
          <x14:formula1>
            <xm:f>Validation!$G$2:$G$3</xm:f>
          </x14:formula1>
          <xm:sqref>O2:Q3</xm:sqref>
        </x14:dataValidation>
      </x14:dataValidations>
    </ext>
  </extLst>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E52FA-A0B7-4457-B20D-E25E647F2A33}">
  <sheetPr codeName="Sheet18">
    <tabColor theme="4" tint="0.79998168889431442"/>
  </sheetPr>
  <dimension ref="A1:W11"/>
  <sheetViews>
    <sheetView topLeftCell="L1" zoomScaleNormal="100" workbookViewId="0">
      <pane ySplit="1" topLeftCell="A2" activePane="bottomLeft" state="frozen"/>
      <selection activeCell="D2" sqref="D2"/>
      <selection pane="bottomLeft" activeCell="R25" sqref="R25"/>
    </sheetView>
  </sheetViews>
  <sheetFormatPr defaultColWidth="9.28515625" defaultRowHeight="15" outlineLevelCol="1" x14ac:dyDescent="0.25"/>
  <cols>
    <col min="1" max="2" width="11" hidden="1" customWidth="1" outlineLevel="1"/>
    <col min="3" max="5" width="9.7109375" hidden="1" customWidth="1" outlineLevel="1"/>
    <col min="6" max="6" width="14" hidden="1" customWidth="1" outlineLevel="1"/>
    <col min="7" max="11" width="9.7109375" hidden="1" customWidth="1" outlineLevel="1"/>
    <col min="12" max="12" width="7.42578125" customWidth="1" collapsed="1"/>
    <col min="13" max="13" width="13.28515625" customWidth="1"/>
    <col min="14" max="14" width="14.28515625" customWidth="1"/>
    <col min="15" max="15" width="33.85546875" style="21" bestFit="1" customWidth="1"/>
    <col min="16" max="16" width="20.85546875" bestFit="1" customWidth="1"/>
    <col min="17" max="17" width="20.28515625" bestFit="1" customWidth="1"/>
    <col min="18" max="18" width="11.28515625" customWidth="1"/>
    <col min="19" max="19" width="12.28515625" customWidth="1"/>
    <col min="20" max="20" width="13.28515625" style="21" customWidth="1"/>
    <col min="21" max="21" width="13.85546875" style="150" bestFit="1" customWidth="1"/>
    <col min="22" max="22" width="13" bestFit="1" customWidth="1"/>
    <col min="24" max="24" width="14.28515625" customWidth="1"/>
    <col min="27" max="27" width="15.28515625" bestFit="1" customWidth="1"/>
    <col min="28" max="28" width="12.85546875" bestFit="1" customWidth="1"/>
    <col min="29" max="29" width="12.85546875" customWidth="1"/>
  </cols>
  <sheetData>
    <row r="1" spans="1:23" s="25" customFormat="1" ht="60" x14ac:dyDescent="0.25">
      <c r="A1" s="65" t="s">
        <v>1602</v>
      </c>
      <c r="B1" s="53" t="s">
        <v>1603</v>
      </c>
      <c r="C1" s="53" t="s">
        <v>1362</v>
      </c>
      <c r="D1" s="65" t="s">
        <v>1507</v>
      </c>
      <c r="E1" s="65" t="s">
        <v>1508</v>
      </c>
      <c r="F1" s="167" t="s">
        <v>1604</v>
      </c>
      <c r="G1" s="53" t="s">
        <v>1364</v>
      </c>
      <c r="H1" s="53" t="s">
        <v>1365</v>
      </c>
      <c r="I1" s="53" t="s">
        <v>1366</v>
      </c>
      <c r="J1" s="53" t="s">
        <v>1367</v>
      </c>
      <c r="K1" s="131" t="s">
        <v>1368</v>
      </c>
      <c r="L1" s="121" t="s">
        <v>1605</v>
      </c>
      <c r="M1" s="25" t="s">
        <v>1371</v>
      </c>
      <c r="N1" s="25" t="s">
        <v>1593</v>
      </c>
      <c r="O1" s="59" t="s">
        <v>1594</v>
      </c>
      <c r="P1" s="25" t="s">
        <v>1606</v>
      </c>
      <c r="Q1" s="25" t="s">
        <v>1607</v>
      </c>
      <c r="R1" s="25" t="s">
        <v>1150</v>
      </c>
      <c r="S1" s="25" t="s">
        <v>1151</v>
      </c>
      <c r="T1" s="58" t="s">
        <v>1514</v>
      </c>
      <c r="U1" s="67" t="s">
        <v>1515</v>
      </c>
      <c r="V1" s="49" t="s">
        <v>1608</v>
      </c>
      <c r="W1" s="50" t="s">
        <v>1609</v>
      </c>
    </row>
    <row r="2" spans="1:23" s="12" customFormat="1" x14ac:dyDescent="0.25">
      <c r="A2" s="57">
        <f>IF(COUNTIF(ALLWCTYPE[AllowanceTypeCode],ALLWCPTS[[#This Row],[AllowanceTypeCode]])&gt;0,0,1)</f>
        <v>0</v>
      </c>
      <c r="B2" s="57">
        <f>COUNTIF(ALLWCPTS[AllowancePointCode],ALLWCPTS[[#This Row],[AllowancePointCode]])-1</f>
        <v>0</v>
      </c>
      <c r="C2" s="57">
        <f>IF(ALLWCPTS[[#This Row],[AvailableToAllSchools]]=FALSE,IF(ISBLANK(ALLWCPTS[[#This Row],[SchoolCodes]]),1,0),IF(ALLWCPTS[[#This Row],[AvailableToAllSchools]]=TRUE,IF(ISBLANK(ALLWCPTS[[#This Row],[SchoolCodes]]),0,1)))</f>
        <v>0</v>
      </c>
      <c r="D2" s="57">
        <f>IF(ISBLANK(ALLWCPTS[[#This Row],[RateDateTo]]),0,IF(ALLWCPTS[[#This Row],[RateDateFrom]]&lt;ALLWCPTS[[#This Row],[RateDateTo]],0,1))</f>
        <v>0</v>
      </c>
      <c r="E2" s="57" cm="1">
        <f t="array" aca="1" ref="E2" ca="1">IF(CELL("format",ALLWCPTS[[#This Row],[RateDateFrom]])="D1",0,1)+IF(CELL("format",ALLWCPTS[[#This Row],[RateDateTo]])="D1",0,1)</f>
        <v>0</v>
      </c>
      <c r="F2" s="57" cm="1">
        <f t="array" ref="F2">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2" s="57">
        <f>IF(OR(ALLWCPTS[[#This Row],[AllowancePointEnabled]]=TRUE,ALLWCPTS[[#This Row],[AllowancePointEnabled]]=FALSE),IF(OR(ALLWCPTS[[#This Row],[AvailableToAllSchools]]=TRUE,ALLWCPTS[[#This Row],[AvailableToAllSchools]]=FALSE),0,1),1)</f>
        <v>0</v>
      </c>
      <c r="H2" s="57">
        <f>IF(LEN(ALLWCPTS[[#This Row],[AllowancePointCode]])&lt;100,0,1)</f>
        <v>0</v>
      </c>
      <c r="I2" s="57">
        <f>IF(LEN(ALLWCPTS[[#This Row],[AllowancePointTitle]])&lt;100,0,1)</f>
        <v>0</v>
      </c>
      <c r="J2" s="57">
        <f>COUNTBLANK(ALLWCPTS[[#This Row],[AllowanceTypeCode]:[AvailableToAllSchools]])+COUNTBLANK(ALLWCPTS[[#This Row],[AnnualRate]]:ALLWCPTS[[#This Row],[AllowancePointEnabled]])</f>
        <v>0</v>
      </c>
      <c r="K2" s="57">
        <f>IF(SUBSTITUTE(TEXT(ALLWCPTS[[#This Row],[AllowancePointCode]],10)," ","")=TEXT(ALLWCPTS[[#This Row],[AllowancePointCode]],10),0,1)</f>
        <v>0</v>
      </c>
      <c r="L2" s="57">
        <f ca="1">SUM(ALLWCPTS[[#This Row],[Allowance Type Issue]:[Space in Code]])</f>
        <v>0</v>
      </c>
      <c r="N2" s="12" t="s">
        <v>1597</v>
      </c>
      <c r="O2" s="57" t="str">
        <f>_xlfn.XLOOKUP(ALLWCPTS[[#This Row],[AllowanceTypeCode]],ALLWCTYPE[AllowanceTypeCode],ALLWCTYPE[AllowanceTypeTitle])</f>
        <v>Teaching and Learning Responsibilities</v>
      </c>
      <c r="P2" s="12" t="s">
        <v>1610</v>
      </c>
      <c r="Q2" s="12" t="s">
        <v>1610</v>
      </c>
      <c r="R2" s="12" t="b">
        <v>1</v>
      </c>
      <c r="T2" s="86">
        <v>45901</v>
      </c>
      <c r="U2" s="13"/>
      <c r="V2" s="12">
        <v>10174</v>
      </c>
      <c r="W2" s="12" t="b">
        <v>1</v>
      </c>
    </row>
    <row r="3" spans="1:23" x14ac:dyDescent="0.25">
      <c r="A3" s="57">
        <f>IF(COUNTIF(ALLWCTYPE[AllowanceTypeCode],ALLWCPTS[[#This Row],[AllowanceTypeCode]])&gt;0,0,1)</f>
        <v>0</v>
      </c>
      <c r="B3" s="57">
        <f>COUNTIF(ALLWCPTS[AllowancePointCode],ALLWCPTS[[#This Row],[AllowancePointCode]])-1</f>
        <v>0</v>
      </c>
      <c r="C3" s="57">
        <f>IF(ALLWCPTS[[#This Row],[AvailableToAllSchools]]=FALSE,IF(ISBLANK(ALLWCPTS[[#This Row],[SchoolCodes]]),1,0),IF(ALLWCPTS[[#This Row],[AvailableToAllSchools]]=TRUE,IF(ISBLANK(ALLWCPTS[[#This Row],[SchoolCodes]]),0,1)))</f>
        <v>0</v>
      </c>
      <c r="D3" s="57">
        <f>IF(ISBLANK(ALLWCPTS[[#This Row],[RateDateTo]]),0,IF(ALLWCPTS[[#This Row],[RateDateFrom]]&lt;ALLWCPTS[[#This Row],[RateDateTo]],0,1))</f>
        <v>0</v>
      </c>
      <c r="E3" s="57" cm="1">
        <f t="array" aca="1" ref="E3" ca="1">IF(CELL("format",ALLWCPTS[[#This Row],[RateDateFrom]])="D1",0,1)+IF(CELL("format",ALLWCPTS[[#This Row],[RateDateTo]])="D1",0,1)</f>
        <v>0</v>
      </c>
      <c r="F3" s="57" cm="1">
        <f t="array" ref="F3">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3" s="57">
        <f>IF(OR(ALLWCPTS[[#This Row],[AllowancePointEnabled]]=TRUE,ALLWCPTS[[#This Row],[AllowancePointEnabled]]=FALSE),IF(OR(ALLWCPTS[[#This Row],[AvailableToAllSchools]]=TRUE,ALLWCPTS[[#This Row],[AvailableToAllSchools]]=FALSE),0,1),1)</f>
        <v>0</v>
      </c>
      <c r="H3" s="57">
        <f>IF(LEN(ALLWCPTS[[#This Row],[AllowancePointCode]])&lt;100,0,1)</f>
        <v>0</v>
      </c>
      <c r="I3" s="57">
        <f>IF(LEN(ALLWCPTS[[#This Row],[AllowancePointTitle]])&lt;100,0,1)</f>
        <v>0</v>
      </c>
      <c r="J3" s="57">
        <f>COUNTBLANK(ALLWCPTS[[#This Row],[AllowanceTypeCode]:[AvailableToAllSchools]])+COUNTBLANK(ALLWCPTS[[#This Row],[AnnualRate]]:ALLWCPTS[[#This Row],[AllowancePointEnabled]])</f>
        <v>0</v>
      </c>
      <c r="K3" s="57">
        <f>IF(SUBSTITUTE(TEXT(ALLWCPTS[[#This Row],[AllowancePointCode]],10)," ","")=TEXT(ALLWCPTS[[#This Row],[AllowancePointCode]],10),0,1)</f>
        <v>0</v>
      </c>
      <c r="L3" s="57">
        <f ca="1">SUM(ALLWCPTS[[#This Row],[Allowance Type Issue]:[Space in Code]])</f>
        <v>0</v>
      </c>
      <c r="M3" s="12"/>
      <c r="N3" s="12" t="s">
        <v>1597</v>
      </c>
      <c r="O3" s="57" t="str">
        <f>_xlfn.XLOOKUP(ALLWCPTS[[#This Row],[AllowanceTypeCode]],ALLWCTYPE[AllowanceTypeCode],ALLWCTYPE[AllowanceTypeTitle])</f>
        <v>Teaching and Learning Responsibilities</v>
      </c>
      <c r="P3" s="12" t="s">
        <v>1611</v>
      </c>
      <c r="Q3" s="12" t="s">
        <v>1611</v>
      </c>
      <c r="R3" s="12" t="b">
        <v>1</v>
      </c>
      <c r="S3" s="12"/>
      <c r="T3" s="86">
        <v>45901</v>
      </c>
      <c r="U3" s="13"/>
      <c r="V3" s="12">
        <v>12523</v>
      </c>
      <c r="W3" s="12" t="b">
        <v>1</v>
      </c>
    </row>
    <row r="4" spans="1:23" x14ac:dyDescent="0.25">
      <c r="A4" s="57">
        <f>IF(COUNTIF(ALLWCTYPE[AllowanceTypeCode],ALLWCPTS[[#This Row],[AllowanceTypeCode]])&gt;0,0,1)</f>
        <v>0</v>
      </c>
      <c r="B4" s="57">
        <f>COUNTIF(ALLWCPTS[AllowancePointCode],ALLWCPTS[[#This Row],[AllowancePointCode]])-1</f>
        <v>0</v>
      </c>
      <c r="C4" s="57">
        <f>IF(ALLWCPTS[[#This Row],[AvailableToAllSchools]]=FALSE,IF(ISBLANK(ALLWCPTS[[#This Row],[SchoolCodes]]),1,0),IF(ALLWCPTS[[#This Row],[AvailableToAllSchools]]=TRUE,IF(ISBLANK(ALLWCPTS[[#This Row],[SchoolCodes]]),0,1)))</f>
        <v>0</v>
      </c>
      <c r="D4" s="57">
        <f>IF(ISBLANK(ALLWCPTS[[#This Row],[RateDateTo]]),0,IF(ALLWCPTS[[#This Row],[RateDateFrom]]&lt;ALLWCPTS[[#This Row],[RateDateTo]],0,1))</f>
        <v>0</v>
      </c>
      <c r="E4" s="57" cm="1">
        <f t="array" aca="1" ref="E4" ca="1">IF(CELL("format",ALLWCPTS[[#This Row],[RateDateFrom]])="D1",0,1)+IF(CELL("format",ALLWCPTS[[#This Row],[RateDateTo]])="D1",0,1)</f>
        <v>0</v>
      </c>
      <c r="F4" s="57" cm="1">
        <f t="array" ref="F4">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4" s="57">
        <f>IF(OR(ALLWCPTS[[#This Row],[AllowancePointEnabled]]=TRUE,ALLWCPTS[[#This Row],[AllowancePointEnabled]]=FALSE),IF(OR(ALLWCPTS[[#This Row],[AvailableToAllSchools]]=TRUE,ALLWCPTS[[#This Row],[AvailableToAllSchools]]=FALSE),0,1),1)</f>
        <v>0</v>
      </c>
      <c r="H4" s="57">
        <f>IF(LEN(ALLWCPTS[[#This Row],[AllowancePointCode]])&lt;100,0,1)</f>
        <v>0</v>
      </c>
      <c r="I4" s="57">
        <f>IF(LEN(ALLWCPTS[[#This Row],[AllowancePointTitle]])&lt;100,0,1)</f>
        <v>0</v>
      </c>
      <c r="J4" s="57">
        <f>COUNTBLANK(ALLWCPTS[[#This Row],[AllowanceTypeCode]:[AvailableToAllSchools]])+COUNTBLANK(ALLWCPTS[[#This Row],[AnnualRate]]:ALLWCPTS[[#This Row],[AllowancePointEnabled]])</f>
        <v>0</v>
      </c>
      <c r="K4" s="57">
        <f>IF(SUBSTITUTE(TEXT(ALLWCPTS[[#This Row],[AllowancePointCode]],10)," ","")=TEXT(ALLWCPTS[[#This Row],[AllowancePointCode]],10),0,1)</f>
        <v>0</v>
      </c>
      <c r="L4" s="57">
        <f ca="1">SUM(ALLWCPTS[[#This Row],[Allowance Type Issue]:[Space in Code]])</f>
        <v>0</v>
      </c>
      <c r="M4" s="12"/>
      <c r="N4" s="12" t="s">
        <v>1597</v>
      </c>
      <c r="O4" s="57" t="str">
        <f>_xlfn.XLOOKUP(ALLWCPTS[[#This Row],[AllowanceTypeCode]],ALLWCTYPE[AllowanceTypeCode],ALLWCTYPE[AllowanceTypeTitle])</f>
        <v>Teaching and Learning Responsibilities</v>
      </c>
      <c r="P4" s="12" t="s">
        <v>1612</v>
      </c>
      <c r="Q4" s="12" t="s">
        <v>1612</v>
      </c>
      <c r="R4" s="12" t="b">
        <v>1</v>
      </c>
      <c r="S4" s="12"/>
      <c r="T4" s="86">
        <v>45901</v>
      </c>
      <c r="U4" s="13"/>
      <c r="V4" s="12">
        <v>17216</v>
      </c>
      <c r="W4" s="12" t="b">
        <v>1</v>
      </c>
    </row>
    <row r="5" spans="1:23" x14ac:dyDescent="0.25">
      <c r="A5" s="57">
        <f>IF(COUNTIF(ALLWCTYPE[AllowanceTypeCode],ALLWCPTS[[#This Row],[AllowanceTypeCode]])&gt;0,0,1)</f>
        <v>0</v>
      </c>
      <c r="B5" s="57">
        <f>COUNTIF(ALLWCPTS[AllowancePointCode],ALLWCPTS[[#This Row],[AllowancePointCode]])-1</f>
        <v>0</v>
      </c>
      <c r="C5" s="57">
        <f>IF(ALLWCPTS[[#This Row],[AvailableToAllSchools]]=FALSE,IF(ISBLANK(ALLWCPTS[[#This Row],[SchoolCodes]]),1,0),IF(ALLWCPTS[[#This Row],[AvailableToAllSchools]]=TRUE,IF(ISBLANK(ALLWCPTS[[#This Row],[SchoolCodes]]),0,1)))</f>
        <v>0</v>
      </c>
      <c r="D5" s="57">
        <f>IF(ISBLANK(ALLWCPTS[[#This Row],[RateDateTo]]),0,IF(ALLWCPTS[[#This Row],[RateDateFrom]]&lt;ALLWCPTS[[#This Row],[RateDateTo]],0,1))</f>
        <v>0</v>
      </c>
      <c r="E5" s="57" cm="1">
        <f t="array" aca="1" ref="E5" ca="1">IF(CELL("format",ALLWCPTS[[#This Row],[RateDateFrom]])="D1",0,1)+IF(CELL("format",ALLWCPTS[[#This Row],[RateDateTo]])="D1",0,1)</f>
        <v>0</v>
      </c>
      <c r="F5" s="57" cm="1">
        <f t="array" ref="F5">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5" s="57">
        <f>IF(OR(ALLWCPTS[[#This Row],[AllowancePointEnabled]]=TRUE,ALLWCPTS[[#This Row],[AllowancePointEnabled]]=FALSE),IF(OR(ALLWCPTS[[#This Row],[AvailableToAllSchools]]=TRUE,ALLWCPTS[[#This Row],[AvailableToAllSchools]]=FALSE),0,1),1)</f>
        <v>0</v>
      </c>
      <c r="H5" s="57">
        <f>IF(LEN(ALLWCPTS[[#This Row],[AllowancePointCode]])&lt;100,0,1)</f>
        <v>0</v>
      </c>
      <c r="I5" s="57">
        <f>IF(LEN(ALLWCPTS[[#This Row],[AllowancePointTitle]])&lt;100,0,1)</f>
        <v>0</v>
      </c>
      <c r="J5" s="57">
        <f>COUNTBLANK(ALLWCPTS[[#This Row],[AllowanceTypeCode]:[AvailableToAllSchools]])+COUNTBLANK(ALLWCPTS[[#This Row],[AnnualRate]]:ALLWCPTS[[#This Row],[AllowancePointEnabled]])</f>
        <v>0</v>
      </c>
      <c r="K5" s="57">
        <f>IF(SUBSTITUTE(TEXT(ALLWCPTS[[#This Row],[AllowancePointCode]],10)," ","")=TEXT(ALLWCPTS[[#This Row],[AllowancePointCode]],10),0,1)</f>
        <v>0</v>
      </c>
      <c r="L5" s="57">
        <f ca="1">SUM(ALLWCPTS[[#This Row],[Allowance Type Issue]:[Space in Code]])</f>
        <v>0</v>
      </c>
      <c r="M5" s="12"/>
      <c r="N5" s="12" t="s">
        <v>1597</v>
      </c>
      <c r="O5" s="57" t="str">
        <f>_xlfn.XLOOKUP(ALLWCPTS[[#This Row],[AllowanceTypeCode]],ALLWCTYPE[AllowanceTypeCode],ALLWCTYPE[AllowanceTypeTitle])</f>
        <v>Teaching and Learning Responsibilities</v>
      </c>
      <c r="P5" s="12" t="s">
        <v>1613</v>
      </c>
      <c r="Q5" s="12" t="s">
        <v>1613</v>
      </c>
      <c r="R5" s="12" t="b">
        <v>1</v>
      </c>
      <c r="S5" s="12"/>
      <c r="T5" s="86">
        <v>45901</v>
      </c>
      <c r="U5" s="13"/>
      <c r="V5" s="12">
        <v>3527</v>
      </c>
      <c r="W5" s="12" t="b">
        <v>1</v>
      </c>
    </row>
    <row r="6" spans="1:23" x14ac:dyDescent="0.25">
      <c r="A6" s="57">
        <f>IF(COUNTIF(ALLWCTYPE[AllowanceTypeCode],ALLWCPTS[[#This Row],[AllowanceTypeCode]])&gt;0,0,1)</f>
        <v>0</v>
      </c>
      <c r="B6" s="57">
        <f>COUNTIF(ALLWCPTS[AllowancePointCode],ALLWCPTS[[#This Row],[AllowancePointCode]])-1</f>
        <v>0</v>
      </c>
      <c r="C6" s="57">
        <f>IF(ALLWCPTS[[#This Row],[AvailableToAllSchools]]=FALSE,IF(ISBLANK(ALLWCPTS[[#This Row],[SchoolCodes]]),1,0),IF(ALLWCPTS[[#This Row],[AvailableToAllSchools]]=TRUE,IF(ISBLANK(ALLWCPTS[[#This Row],[SchoolCodes]]),0,1)))</f>
        <v>0</v>
      </c>
      <c r="D6" s="57">
        <f>IF(ISBLANK(ALLWCPTS[[#This Row],[RateDateTo]]),0,IF(ALLWCPTS[[#This Row],[RateDateFrom]]&lt;ALLWCPTS[[#This Row],[RateDateTo]],0,1))</f>
        <v>0</v>
      </c>
      <c r="E6" s="57" cm="1">
        <f t="array" aca="1" ref="E6" ca="1">IF(CELL("format",ALLWCPTS[[#This Row],[RateDateFrom]])="D1",0,1)+IF(CELL("format",ALLWCPTS[[#This Row],[RateDateTo]])="D1",0,1)</f>
        <v>0</v>
      </c>
      <c r="F6" s="57" cm="1">
        <f t="array" ref="F6">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6" s="57">
        <f>IF(OR(ALLWCPTS[[#This Row],[AllowancePointEnabled]]=TRUE,ALLWCPTS[[#This Row],[AllowancePointEnabled]]=FALSE),IF(OR(ALLWCPTS[[#This Row],[AvailableToAllSchools]]=TRUE,ALLWCPTS[[#This Row],[AvailableToAllSchools]]=FALSE),0,1),1)</f>
        <v>0</v>
      </c>
      <c r="H6" s="57">
        <f>IF(LEN(ALLWCPTS[[#This Row],[AllowancePointCode]])&lt;100,0,1)</f>
        <v>0</v>
      </c>
      <c r="I6" s="57">
        <f>IF(LEN(ALLWCPTS[[#This Row],[AllowancePointTitle]])&lt;100,0,1)</f>
        <v>0</v>
      </c>
      <c r="J6" s="57">
        <f>COUNTBLANK(ALLWCPTS[[#This Row],[AllowanceTypeCode]:[AvailableToAllSchools]])+COUNTBLANK(ALLWCPTS[[#This Row],[AnnualRate]]:ALLWCPTS[[#This Row],[AllowancePointEnabled]])</f>
        <v>0</v>
      </c>
      <c r="K6" s="57">
        <f>IF(SUBSTITUTE(TEXT(ALLWCPTS[[#This Row],[AllowancePointCode]],10)," ","")=TEXT(ALLWCPTS[[#This Row],[AllowancePointCode]],10),0,1)</f>
        <v>0</v>
      </c>
      <c r="L6" s="57">
        <f ca="1">SUM(ALLWCPTS[[#This Row],[Allowance Type Issue]:[Space in Code]])</f>
        <v>0</v>
      </c>
      <c r="M6" s="12"/>
      <c r="N6" s="12" t="s">
        <v>1597</v>
      </c>
      <c r="O6" s="57" t="str">
        <f>_xlfn.XLOOKUP(ALLWCPTS[[#This Row],[AllowanceTypeCode]],ALLWCTYPE[AllowanceTypeCode],ALLWCTYPE[AllowanceTypeTitle])</f>
        <v>Teaching and Learning Responsibilities</v>
      </c>
      <c r="P6" s="12" t="s">
        <v>1614</v>
      </c>
      <c r="Q6" s="12" t="s">
        <v>1614</v>
      </c>
      <c r="R6" s="12" t="b">
        <v>1</v>
      </c>
      <c r="S6" s="12"/>
      <c r="T6" s="86">
        <v>45901</v>
      </c>
      <c r="U6" s="13"/>
      <c r="V6" s="12">
        <v>5874</v>
      </c>
      <c r="W6" s="12" t="b">
        <v>1</v>
      </c>
    </row>
    <row r="7" spans="1:23" x14ac:dyDescent="0.25">
      <c r="A7" s="57">
        <f>IF(COUNTIF(ALLWCTYPE[AllowanceTypeCode],ALLWCPTS[[#This Row],[AllowanceTypeCode]])&gt;0,0,1)</f>
        <v>0</v>
      </c>
      <c r="B7" s="57">
        <f>COUNTIF(ALLWCPTS[AllowancePointCode],ALLWCPTS[[#This Row],[AllowancePointCode]])-1</f>
        <v>0</v>
      </c>
      <c r="C7" s="57">
        <f>IF(ALLWCPTS[[#This Row],[AvailableToAllSchools]]=FALSE,IF(ISBLANK(ALLWCPTS[[#This Row],[SchoolCodes]]),1,0),IF(ALLWCPTS[[#This Row],[AvailableToAllSchools]]=TRUE,IF(ISBLANK(ALLWCPTS[[#This Row],[SchoolCodes]]),0,1)))</f>
        <v>0</v>
      </c>
      <c r="D7" s="57">
        <f>IF(ISBLANK(ALLWCPTS[[#This Row],[RateDateTo]]),0,IF(ALLWCPTS[[#This Row],[RateDateFrom]]&lt;ALLWCPTS[[#This Row],[RateDateTo]],0,1))</f>
        <v>0</v>
      </c>
      <c r="E7" s="57" cm="1">
        <f t="array" aca="1" ref="E7" ca="1">IF(CELL("format",ALLWCPTS[[#This Row],[RateDateFrom]])="D1",0,1)+IF(CELL("format",ALLWCPTS[[#This Row],[RateDateTo]])="D1",0,1)</f>
        <v>0</v>
      </c>
      <c r="F7" s="57" cm="1">
        <f t="array" ref="F7">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7" s="57">
        <f>IF(OR(ALLWCPTS[[#This Row],[AllowancePointEnabled]]=TRUE,ALLWCPTS[[#This Row],[AllowancePointEnabled]]=FALSE),IF(OR(ALLWCPTS[[#This Row],[AvailableToAllSchools]]=TRUE,ALLWCPTS[[#This Row],[AvailableToAllSchools]]=FALSE),0,1),1)</f>
        <v>0</v>
      </c>
      <c r="H7" s="57">
        <f>IF(LEN(ALLWCPTS[[#This Row],[AllowancePointCode]])&lt;100,0,1)</f>
        <v>0</v>
      </c>
      <c r="I7" s="57">
        <f>IF(LEN(ALLWCPTS[[#This Row],[AllowancePointTitle]])&lt;100,0,1)</f>
        <v>0</v>
      </c>
      <c r="J7" s="57">
        <f>COUNTBLANK(ALLWCPTS[[#This Row],[AllowanceTypeCode]:[AvailableToAllSchools]])+COUNTBLANK(ALLWCPTS[[#This Row],[AnnualRate]]:ALLWCPTS[[#This Row],[AllowancePointEnabled]])</f>
        <v>0</v>
      </c>
      <c r="K7" s="57">
        <f>IF(SUBSTITUTE(TEXT(ALLWCPTS[[#This Row],[AllowancePointCode]],10)," ","")=TEXT(ALLWCPTS[[#This Row],[AllowancePointCode]],10),0,1)</f>
        <v>0</v>
      </c>
      <c r="L7" s="57">
        <f ca="1">SUM(ALLWCPTS[[#This Row],[Allowance Type Issue]:[Space in Code]])</f>
        <v>0</v>
      </c>
      <c r="M7" s="12"/>
      <c r="N7" s="12" t="s">
        <v>1597</v>
      </c>
      <c r="O7" s="57" t="str">
        <f>_xlfn.XLOOKUP(ALLWCPTS[[#This Row],[AllowanceTypeCode]],ALLWCTYPE[AllowanceTypeCode],ALLWCTYPE[AllowanceTypeTitle])</f>
        <v>Teaching and Learning Responsibilities</v>
      </c>
      <c r="P7" s="12" t="s">
        <v>1615</v>
      </c>
      <c r="Q7" s="12" t="s">
        <v>1615</v>
      </c>
      <c r="R7" s="12" t="b">
        <v>1</v>
      </c>
      <c r="S7" s="12"/>
      <c r="T7" s="86">
        <v>45901</v>
      </c>
      <c r="U7" s="13"/>
      <c r="V7" s="12">
        <v>8611</v>
      </c>
      <c r="W7" s="12" t="b">
        <v>1</v>
      </c>
    </row>
    <row r="8" spans="1:23" x14ac:dyDescent="0.25">
      <c r="A8" s="57">
        <f>IF(COUNTIF(ALLWCTYPE[AllowanceTypeCode],ALLWCPTS[[#This Row],[AllowanceTypeCode]])&gt;0,0,1)</f>
        <v>0</v>
      </c>
      <c r="B8" s="57">
        <f>COUNTIF(ALLWCPTS[AllowancePointCode],ALLWCPTS[[#This Row],[AllowancePointCode]])-1</f>
        <v>0</v>
      </c>
      <c r="C8" s="57">
        <f>IF(ALLWCPTS[[#This Row],[AvailableToAllSchools]]=FALSE,IF(ISBLANK(ALLWCPTS[[#This Row],[SchoolCodes]]),1,0),IF(ALLWCPTS[[#This Row],[AvailableToAllSchools]]=TRUE,IF(ISBLANK(ALLWCPTS[[#This Row],[SchoolCodes]]),0,1)))</f>
        <v>0</v>
      </c>
      <c r="D8" s="57">
        <f>IF(ISBLANK(ALLWCPTS[[#This Row],[RateDateTo]]),0,IF(ALLWCPTS[[#This Row],[RateDateFrom]]&lt;ALLWCPTS[[#This Row],[RateDateTo]],0,1))</f>
        <v>0</v>
      </c>
      <c r="E8" s="57" cm="1">
        <f t="array" aca="1" ref="E8" ca="1">IF(CELL("format",ALLWCPTS[[#This Row],[RateDateFrom]])="D1",0,1)+IF(CELL("format",ALLWCPTS[[#This Row],[RateDateTo]])="D1",0,1)</f>
        <v>0</v>
      </c>
      <c r="F8" s="57" cm="1">
        <f t="array" ref="F8">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8" s="57">
        <f>IF(OR(ALLWCPTS[[#This Row],[AllowancePointEnabled]]=TRUE,ALLWCPTS[[#This Row],[AllowancePointEnabled]]=FALSE),IF(OR(ALLWCPTS[[#This Row],[AvailableToAllSchools]]=TRUE,ALLWCPTS[[#This Row],[AvailableToAllSchools]]=FALSE),0,1),1)</f>
        <v>0</v>
      </c>
      <c r="H8" s="57">
        <f>IF(LEN(ALLWCPTS[[#This Row],[AllowancePointCode]])&lt;100,0,1)</f>
        <v>0</v>
      </c>
      <c r="I8" s="57">
        <f>IF(LEN(ALLWCPTS[[#This Row],[AllowancePointTitle]])&lt;100,0,1)</f>
        <v>0</v>
      </c>
      <c r="J8" s="57">
        <f>COUNTBLANK(ALLWCPTS[[#This Row],[AllowanceTypeCode]:[AvailableToAllSchools]])+COUNTBLANK(ALLWCPTS[[#This Row],[AnnualRate]]:ALLWCPTS[[#This Row],[AllowancePointEnabled]])</f>
        <v>0</v>
      </c>
      <c r="K8" s="57">
        <f>IF(SUBSTITUTE(TEXT(ALLWCPTS[[#This Row],[AllowancePointCode]],10)," ","")=TEXT(ALLWCPTS[[#This Row],[AllowancePointCode]],10),0,1)</f>
        <v>0</v>
      </c>
      <c r="L8" s="57">
        <f ca="1">SUM(ALLWCPTS[[#This Row],[Allowance Type Issue]:[Space in Code]])</f>
        <v>0</v>
      </c>
      <c r="M8" s="12"/>
      <c r="N8" s="12" t="s">
        <v>1597</v>
      </c>
      <c r="O8" s="57" t="str">
        <f>_xlfn.XLOOKUP(ALLWCPTS[[#This Row],[AllowanceTypeCode]],ALLWCTYPE[AllowanceTypeCode],ALLWCTYPE[AllowanceTypeTitle])</f>
        <v>Teaching and Learning Responsibilities</v>
      </c>
      <c r="P8" s="12" t="s">
        <v>1616</v>
      </c>
      <c r="Q8" s="12" t="s">
        <v>1617</v>
      </c>
      <c r="R8" s="12" t="b">
        <v>1</v>
      </c>
      <c r="S8" s="12"/>
      <c r="T8" s="86">
        <v>45901</v>
      </c>
      <c r="U8" s="13"/>
      <c r="V8" s="12">
        <v>702</v>
      </c>
      <c r="W8" s="12" t="b">
        <v>1</v>
      </c>
    </row>
    <row r="9" spans="1:23" x14ac:dyDescent="0.25">
      <c r="A9" s="57">
        <f>IF(COUNTIF(ALLWCTYPE[AllowanceTypeCode],ALLWCPTS[[#This Row],[AllowanceTypeCode]])&gt;0,0,1)</f>
        <v>0</v>
      </c>
      <c r="B9" s="57">
        <f>COUNTIF(ALLWCPTS[AllowancePointCode],ALLWCPTS[[#This Row],[AllowancePointCode]])-1</f>
        <v>0</v>
      </c>
      <c r="C9" s="57">
        <f>IF(ALLWCPTS[[#This Row],[AvailableToAllSchools]]=FALSE,IF(ISBLANK(ALLWCPTS[[#This Row],[SchoolCodes]]),1,0),IF(ALLWCPTS[[#This Row],[AvailableToAllSchools]]=TRUE,IF(ISBLANK(ALLWCPTS[[#This Row],[SchoolCodes]]),0,1)))</f>
        <v>0</v>
      </c>
      <c r="D9" s="57">
        <f>IF(ISBLANK(ALLWCPTS[[#This Row],[RateDateTo]]),0,IF(ALLWCPTS[[#This Row],[RateDateFrom]]&lt;ALLWCPTS[[#This Row],[RateDateTo]],0,1))</f>
        <v>0</v>
      </c>
      <c r="E9" s="57" cm="1">
        <f t="array" aca="1" ref="E9" ca="1">IF(CELL("format",ALLWCPTS[[#This Row],[RateDateFrom]])="D1",0,1)+IF(CELL("format",ALLWCPTS[[#This Row],[RateDateTo]])="D1",0,1)</f>
        <v>0</v>
      </c>
      <c r="F9" s="57" cm="1">
        <f t="array" ref="F9">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9" s="57">
        <f>IF(OR(ALLWCPTS[[#This Row],[AllowancePointEnabled]]=TRUE,ALLWCPTS[[#This Row],[AllowancePointEnabled]]=FALSE),IF(OR(ALLWCPTS[[#This Row],[AvailableToAllSchools]]=TRUE,ALLWCPTS[[#This Row],[AvailableToAllSchools]]=FALSE),0,1),1)</f>
        <v>0</v>
      </c>
      <c r="H9" s="57">
        <f>IF(LEN(ALLWCPTS[[#This Row],[AllowancePointCode]])&lt;100,0,1)</f>
        <v>0</v>
      </c>
      <c r="I9" s="57">
        <f>IF(LEN(ALLWCPTS[[#This Row],[AllowancePointTitle]])&lt;100,0,1)</f>
        <v>0</v>
      </c>
      <c r="J9" s="57">
        <f>COUNTBLANK(ALLWCPTS[[#This Row],[AllowanceTypeCode]:[AvailableToAllSchools]])+COUNTBLANK(ALLWCPTS[[#This Row],[AnnualRate]]:ALLWCPTS[[#This Row],[AllowancePointEnabled]])</f>
        <v>0</v>
      </c>
      <c r="K9" s="57">
        <f>IF(SUBSTITUTE(TEXT(ALLWCPTS[[#This Row],[AllowancePointCode]],10)," ","")=TEXT(ALLWCPTS[[#This Row],[AllowancePointCode]],10),0,1)</f>
        <v>0</v>
      </c>
      <c r="L9" s="57">
        <f ca="1">SUM(ALLWCPTS[[#This Row],[Allowance Type Issue]:[Space in Code]])</f>
        <v>0</v>
      </c>
      <c r="M9" s="12"/>
      <c r="N9" s="12" t="s">
        <v>1597</v>
      </c>
      <c r="O9" s="57" t="str">
        <f>_xlfn.XLOOKUP(ALLWCPTS[[#This Row],[AllowanceTypeCode]],ALLWCTYPE[AllowanceTypeCode],ALLWCTYPE[AllowanceTypeTitle])</f>
        <v>Teaching and Learning Responsibilities</v>
      </c>
      <c r="P9" s="12" t="s">
        <v>1618</v>
      </c>
      <c r="Q9" s="12" t="s">
        <v>1619</v>
      </c>
      <c r="R9" s="12" t="b">
        <v>1</v>
      </c>
      <c r="S9" s="12"/>
      <c r="T9" s="86">
        <v>45901</v>
      </c>
      <c r="U9" s="13"/>
      <c r="V9" s="12">
        <v>3478</v>
      </c>
      <c r="W9" s="12" t="b">
        <v>1</v>
      </c>
    </row>
    <row r="10" spans="1:23" x14ac:dyDescent="0.25">
      <c r="A10" s="57">
        <f>IF(COUNTIF(ALLWCTYPE[AllowanceTypeCode],ALLWCPTS[[#This Row],[AllowanceTypeCode]])&gt;0,0,1)</f>
        <v>0</v>
      </c>
      <c r="B10" s="57">
        <f>COUNTIF(ALLWCPTS[AllowancePointCode],ALLWCPTS[[#This Row],[AllowancePointCode]])-1</f>
        <v>0</v>
      </c>
      <c r="C10" s="57">
        <f>IF(ALLWCPTS[[#This Row],[AvailableToAllSchools]]=FALSE,IF(ISBLANK(ALLWCPTS[[#This Row],[SchoolCodes]]),1,0),IF(ALLWCPTS[[#This Row],[AvailableToAllSchools]]=TRUE,IF(ISBLANK(ALLWCPTS[[#This Row],[SchoolCodes]]),0,1)))</f>
        <v>0</v>
      </c>
      <c r="D10" s="57">
        <f>IF(ISBLANK(ALLWCPTS[[#This Row],[RateDateTo]]),0,IF(ALLWCPTS[[#This Row],[RateDateFrom]]&lt;ALLWCPTS[[#This Row],[RateDateTo]],0,1))</f>
        <v>0</v>
      </c>
      <c r="E10" s="57" cm="1">
        <f t="array" aca="1" ref="E10" ca="1">IF(CELL("format",ALLWCPTS[[#This Row],[RateDateFrom]])="D1",0,1)+IF(CELL("format",ALLWCPTS[[#This Row],[RateDateTo]])="D1",0,1)</f>
        <v>0</v>
      </c>
      <c r="F10" s="57" cm="1">
        <f t="array" ref="F10">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10" s="57">
        <f>IF(OR(ALLWCPTS[[#This Row],[AllowancePointEnabled]]=TRUE,ALLWCPTS[[#This Row],[AllowancePointEnabled]]=FALSE),IF(OR(ALLWCPTS[[#This Row],[AvailableToAllSchools]]=TRUE,ALLWCPTS[[#This Row],[AvailableToAllSchools]]=FALSE),0,1),1)</f>
        <v>0</v>
      </c>
      <c r="H10" s="57">
        <f>IF(LEN(ALLWCPTS[[#This Row],[AllowancePointCode]])&lt;100,0,1)</f>
        <v>0</v>
      </c>
      <c r="I10" s="57">
        <f>IF(LEN(ALLWCPTS[[#This Row],[AllowancePointTitle]])&lt;100,0,1)</f>
        <v>0</v>
      </c>
      <c r="J10" s="57">
        <f>COUNTBLANK(ALLWCPTS[[#This Row],[AllowanceTypeCode]:[AvailableToAllSchools]])+COUNTBLANK(ALLWCPTS[[#This Row],[AnnualRate]]:ALLWCPTS[[#This Row],[AllowancePointEnabled]])</f>
        <v>0</v>
      </c>
      <c r="K10" s="57">
        <f>IF(SUBSTITUTE(TEXT(ALLWCPTS[[#This Row],[AllowancePointCode]],10)," ","")=TEXT(ALLWCPTS[[#This Row],[AllowancePointCode]],10),0,1)</f>
        <v>0</v>
      </c>
      <c r="L10" s="57">
        <f ca="1">SUM(ALLWCPTS[[#This Row],[Allowance Type Issue]:[Space in Code]])</f>
        <v>0</v>
      </c>
      <c r="M10" s="12"/>
      <c r="N10" s="12" t="s">
        <v>1600</v>
      </c>
      <c r="O10" s="57" t="str">
        <f>_xlfn.XLOOKUP(ALLWCPTS[[#This Row],[AllowanceTypeCode]],ALLWCTYPE[AllowanceTypeCode],ALLWCTYPE[AllowanceTypeTitle])</f>
        <v>Special Educational Needs</v>
      </c>
      <c r="P10" s="12" t="s">
        <v>1620</v>
      </c>
      <c r="Q10" s="12" t="s">
        <v>1621</v>
      </c>
      <c r="R10" s="12" t="b">
        <v>1</v>
      </c>
      <c r="S10" s="12"/>
      <c r="T10" s="86">
        <v>45901</v>
      </c>
      <c r="U10" s="13"/>
      <c r="V10" s="12">
        <v>2787</v>
      </c>
      <c r="W10" s="12" t="b">
        <v>1</v>
      </c>
    </row>
    <row r="11" spans="1:23" x14ac:dyDescent="0.25">
      <c r="A11" s="57">
        <f>IF(COUNTIF(ALLWCTYPE[AllowanceTypeCode],ALLWCPTS[[#This Row],[AllowanceTypeCode]])&gt;0,0,1)</f>
        <v>0</v>
      </c>
      <c r="B11" s="57">
        <f>COUNTIF(ALLWCPTS[AllowancePointCode],ALLWCPTS[[#This Row],[AllowancePointCode]])-1</f>
        <v>0</v>
      </c>
      <c r="C11" s="57">
        <f>IF(ALLWCPTS[[#This Row],[AvailableToAllSchools]]=FALSE,IF(ISBLANK(ALLWCPTS[[#This Row],[SchoolCodes]]),1,0),IF(ALLWCPTS[[#This Row],[AvailableToAllSchools]]=TRUE,IF(ISBLANK(ALLWCPTS[[#This Row],[SchoolCodes]]),0,1)))</f>
        <v>0</v>
      </c>
      <c r="D11" s="57">
        <f>IF(ISBLANK(ALLWCPTS[[#This Row],[RateDateTo]]),0,IF(ALLWCPTS[[#This Row],[RateDateFrom]]&lt;ALLWCPTS[[#This Row],[RateDateTo]],0,1))</f>
        <v>0</v>
      </c>
      <c r="E11" s="57" cm="1">
        <f t="array" aca="1" ref="E11" ca="1">IF(CELL("format",ALLWCPTS[[#This Row],[RateDateFrom]])="D1",0,1)+IF(CELL("format",ALLWCPTS[[#This Row],[RateDateTo]])="D1",0,1)</f>
        <v>0</v>
      </c>
      <c r="F11" s="57" cm="1">
        <f t="array" ref="F11">IF(_xlfn.XLOOKUP(ALLWCPTS[[#This Row],[AllowanceTypeCode]],ALLWCTYPE[AllowanceTypeCode],ALLWCTYPE[AvailableToAllSchools])=TRUE,0,IF(ALLWCPTS[[#This Row],[AvailableToAllSchools]]=TRUE,1,IF(_xlfn.LET(_xlpm.sourceCodes, _xlfn.TEXTSPLIT(ALLWCPTS[[#This Row],[SchoolCodes]], ","),_xlpm.targetCodes, _xlfn.TEXTSPLIT(_xlfn.XLOOKUP(ALLWCPTS[[#This Row],[AllowanceTypeCode]],ALLWCTYPE[AllowanceTypeCode],ALLWCTYPE[SchoolCodes],1), ","),_xlpm.trimmedSource, TRIM(_xlpm.sourceCodes),_xlpm.trimmedTarget, TRIM(_xlpm.targetCodes),_xlpm.matches, ISNUMBER(MATCH(_xlpm.trimmedSource, _xlpm.trimmedTarget, 0)),AND(_xlpm.matches))=TRUE,0,1)))</f>
        <v>0</v>
      </c>
      <c r="G11" s="57">
        <f>IF(OR(ALLWCPTS[[#This Row],[AllowancePointEnabled]]=TRUE,ALLWCPTS[[#This Row],[AllowancePointEnabled]]=FALSE),IF(OR(ALLWCPTS[[#This Row],[AvailableToAllSchools]]=TRUE,ALLWCPTS[[#This Row],[AvailableToAllSchools]]=FALSE),0,1),1)</f>
        <v>0</v>
      </c>
      <c r="H11" s="57">
        <f>IF(LEN(ALLWCPTS[[#This Row],[AllowancePointCode]])&lt;100,0,1)</f>
        <v>0</v>
      </c>
      <c r="I11" s="57">
        <f>IF(LEN(ALLWCPTS[[#This Row],[AllowancePointTitle]])&lt;100,0,1)</f>
        <v>0</v>
      </c>
      <c r="J11" s="57">
        <f>COUNTBLANK(ALLWCPTS[[#This Row],[AllowanceTypeCode]:[AvailableToAllSchools]])+COUNTBLANK(ALLWCPTS[[#This Row],[AnnualRate]]:ALLWCPTS[[#This Row],[AllowancePointEnabled]])</f>
        <v>0</v>
      </c>
      <c r="K11" s="57">
        <f>IF(SUBSTITUTE(TEXT(ALLWCPTS[[#This Row],[AllowancePointCode]],10)," ","")=TEXT(ALLWCPTS[[#This Row],[AllowancePointCode]],10),0,1)</f>
        <v>0</v>
      </c>
      <c r="L11" s="57">
        <f ca="1">SUM(ALLWCPTS[[#This Row],[Allowance Type Issue]:[Space in Code]])</f>
        <v>0</v>
      </c>
      <c r="M11" s="12"/>
      <c r="N11" s="12" t="s">
        <v>1600</v>
      </c>
      <c r="O11" s="57" t="str">
        <f>_xlfn.XLOOKUP(ALLWCPTS[[#This Row],[AllowanceTypeCode]],ALLWCTYPE[AllowanceTypeCode],ALLWCTYPE[AllowanceTypeTitle])</f>
        <v>Special Educational Needs</v>
      </c>
      <c r="P11" s="12" t="s">
        <v>1622</v>
      </c>
      <c r="Q11" s="12" t="s">
        <v>1623</v>
      </c>
      <c r="R11" s="12" t="b">
        <v>1</v>
      </c>
      <c r="S11" s="12"/>
      <c r="T11" s="86">
        <v>45901</v>
      </c>
      <c r="U11" s="13"/>
      <c r="V11" s="12">
        <v>5497</v>
      </c>
      <c r="W11" s="12" t="b">
        <v>1</v>
      </c>
    </row>
  </sheetData>
  <conditionalFormatting sqref="V2:V11">
    <cfRule type="duplicateValues" dxfId="7" priority="31"/>
    <cfRule type="duplicateValues" dxfId="6" priority="32"/>
    <cfRule type="duplicateValues" dxfId="5" priority="33"/>
  </conditionalFormatting>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8A88EDA-D406-4C1A-809B-358F0E2BC617}">
          <x14:formula1>
            <xm:f>Validation!$G$2:$G$3</xm:f>
          </x14:formula1>
          <xm:sqref>W2:W11</xm:sqref>
        </x14:dataValidation>
      </x14:dataValidations>
    </ext>
  </extLs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8F249-0B3A-43CD-B88E-4EE3C2FDB167}">
  <sheetPr codeName="Sheet21">
    <tabColor theme="4" tint="0.79998168889431442"/>
  </sheetPr>
  <dimension ref="A1:J3"/>
  <sheetViews>
    <sheetView workbookViewId="0">
      <pane ySplit="1" topLeftCell="A2" activePane="bottomLeft" state="frozen"/>
      <selection activeCell="D2" sqref="D2"/>
      <selection pane="bottomLeft" activeCell="G5" sqref="G5"/>
    </sheetView>
  </sheetViews>
  <sheetFormatPr defaultColWidth="9.28515625" defaultRowHeight="15" outlineLevelCol="1" x14ac:dyDescent="0.25"/>
  <cols>
    <col min="1" max="2" width="9.85546875" hidden="1" customWidth="1" outlineLevel="1"/>
    <col min="3" max="3" width="10" hidden="1" customWidth="1" outlineLevel="1"/>
    <col min="4" max="4" width="9.28515625" customWidth="1" collapsed="1"/>
    <col min="5" max="5" width="14.28515625" customWidth="1"/>
    <col min="6" max="6" width="20.28515625" customWidth="1"/>
    <col min="7" max="7" width="19.5703125" bestFit="1" customWidth="1"/>
    <col min="8" max="8" width="19.28515625" customWidth="1"/>
    <col min="10" max="10" width="41.5703125" bestFit="1" customWidth="1"/>
  </cols>
  <sheetData>
    <row r="1" spans="1:10" s="28" customFormat="1" ht="45" x14ac:dyDescent="0.25">
      <c r="A1" s="65" t="s">
        <v>1624</v>
      </c>
      <c r="B1" s="53" t="s">
        <v>1365</v>
      </c>
      <c r="C1" s="53" t="s">
        <v>1367</v>
      </c>
      <c r="D1" s="59" t="s">
        <v>1126</v>
      </c>
      <c r="E1" s="69" t="s">
        <v>1371</v>
      </c>
      <c r="F1" s="69" t="s">
        <v>1593</v>
      </c>
      <c r="G1" s="69" t="s">
        <v>1589</v>
      </c>
      <c r="H1" s="69" t="s">
        <v>1377</v>
      </c>
    </row>
    <row r="2" spans="1:10" x14ac:dyDescent="0.25">
      <c r="A2" s="57">
        <f>IF(COUNTIF(ALLWCTYPE[AllowanceTypeCode],F2)&gt;0,0,1)</f>
        <v>0</v>
      </c>
      <c r="B2" s="57">
        <f>IF(LEN(AL_INCPERC[[#This Row],[AllowanceTypeCode]])&lt;100,0,1)</f>
        <v>0</v>
      </c>
      <c r="C2" s="57">
        <f>COUNTBLANK(AL_INCPERC[[#This Row],[AllowanceTypeCode]:[IncreasePercentage]])</f>
        <v>0</v>
      </c>
      <c r="D2" s="57">
        <f>SUM(AL_INCPERC[[#This Row],[Allowance Issue]:[Blank in column]])</f>
        <v>0</v>
      </c>
      <c r="F2" s="12" t="s">
        <v>1597</v>
      </c>
      <c r="G2" s="19" t="s">
        <v>2005</v>
      </c>
      <c r="H2" s="110">
        <v>5</v>
      </c>
      <c r="J2" s="1" t="s">
        <v>1625</v>
      </c>
    </row>
    <row r="3" spans="1:10" x14ac:dyDescent="0.25">
      <c r="A3" s="57">
        <f>IF(COUNTIF(ALLWCTYPE[AllowanceTypeCode],F3)&gt;0,0,1)</f>
        <v>0</v>
      </c>
      <c r="B3" s="57">
        <f>IF(LEN(AL_INCPERC[[#This Row],[AllowanceTypeCode]])&lt;100,0,1)</f>
        <v>0</v>
      </c>
      <c r="C3" s="57">
        <f>COUNTBLANK(AL_INCPERC[[#This Row],[AllowanceTypeCode]:[IncreasePercentage]])</f>
        <v>0</v>
      </c>
      <c r="D3" s="57">
        <f>SUM(AL_INCPERC[[#This Row],[Allowance Issue]:[Blank in column]])</f>
        <v>0</v>
      </c>
      <c r="F3" s="12" t="s">
        <v>1600</v>
      </c>
      <c r="G3" s="19" t="s">
        <v>2005</v>
      </c>
      <c r="H3" s="110">
        <v>5</v>
      </c>
    </row>
  </sheetData>
  <phoneticPr fontId="2" type="noConversion"/>
  <pageMargins left="0.7" right="0.7" top="0.75" bottom="0.75" header="0.3" footer="0.3"/>
  <legacyDrawing r:id="rId1"/>
  <tableParts count="1">
    <tablePart r:id="rId2"/>
  </tableParts>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E1798-6526-48A5-96A6-D15ECE2423B3}">
  <sheetPr codeName="Sheet22">
    <tabColor theme="4" tint="0.79998168889431442"/>
  </sheetPr>
  <dimension ref="A1:T3"/>
  <sheetViews>
    <sheetView workbookViewId="0">
      <pane ySplit="1" topLeftCell="A2" activePane="bottomLeft" state="frozen"/>
      <selection activeCell="D2" sqref="D2"/>
      <selection pane="bottomLeft" activeCell="T22" sqref="T22"/>
    </sheetView>
  </sheetViews>
  <sheetFormatPr defaultColWidth="9.28515625" defaultRowHeight="15" outlineLevelCol="1" x14ac:dyDescent="0.25"/>
  <cols>
    <col min="1" max="7" width="9.7109375" hidden="1" customWidth="1" outlineLevel="1"/>
    <col min="8" max="8" width="9.42578125" customWidth="1" collapsed="1"/>
    <col min="9" max="9" width="13.28515625" customWidth="1"/>
    <col min="10" max="10" width="11" customWidth="1"/>
    <col min="11" max="11" width="23.28515625" style="21" bestFit="1" customWidth="1"/>
    <col min="12" max="12" width="11.5703125" customWidth="1"/>
    <col min="13" max="13" width="8.140625" customWidth="1"/>
    <col min="14" max="14" width="11" customWidth="1"/>
    <col min="15" max="15" width="13.85546875" bestFit="1" customWidth="1"/>
    <col min="16" max="16" width="15.140625" customWidth="1"/>
    <col min="17" max="17" width="11.5703125" bestFit="1" customWidth="1"/>
    <col min="18" max="18" width="14.85546875" customWidth="1"/>
    <col min="20" max="20" width="80" bestFit="1" customWidth="1"/>
  </cols>
  <sheetData>
    <row r="1" spans="1:20" s="25" customFormat="1" ht="45" x14ac:dyDescent="0.25">
      <c r="A1" s="53" t="s">
        <v>1362</v>
      </c>
      <c r="B1" s="53" t="s">
        <v>1626</v>
      </c>
      <c r="C1" s="53" t="s">
        <v>1364</v>
      </c>
      <c r="D1" s="53" t="s">
        <v>1367</v>
      </c>
      <c r="E1" s="53" t="s">
        <v>1365</v>
      </c>
      <c r="F1" s="53" t="s">
        <v>1366</v>
      </c>
      <c r="G1" s="131" t="s">
        <v>1368</v>
      </c>
      <c r="H1" s="121" t="s">
        <v>1605</v>
      </c>
      <c r="I1" s="25" t="s">
        <v>1371</v>
      </c>
      <c r="J1" s="25" t="s">
        <v>1627</v>
      </c>
      <c r="K1" s="25" t="s">
        <v>1076</v>
      </c>
      <c r="L1" s="61" t="s">
        <v>1628</v>
      </c>
      <c r="M1" s="49" t="s">
        <v>1377</v>
      </c>
      <c r="N1" s="25" t="s">
        <v>1150</v>
      </c>
      <c r="O1" s="25" t="s">
        <v>1151</v>
      </c>
      <c r="P1" s="25" t="s">
        <v>1380</v>
      </c>
      <c r="Q1" s="25" t="s">
        <v>1595</v>
      </c>
      <c r="R1" s="50" t="s">
        <v>1629</v>
      </c>
    </row>
    <row r="2" spans="1:20" s="12" customFormat="1" x14ac:dyDescent="0.25">
      <c r="A2" s="57">
        <f>IF(ADJTYPE[[#This Row],[AvailableToAllSchools]]=FALSE,IF(ISBLANK(ADJTYPE[[#This Row],[SchoolCodes]]),1,0),IF(ADJTYPE[[#This Row],[AvailableToAllSchools]]=TRUE,IF(ISBLANK(ADJTYPE[[#This Row],[SchoolCodes]]),0,1)))</f>
        <v>0</v>
      </c>
      <c r="B2" s="57">
        <f>COUNTIF(ADJTYPE[AdjustmentTypeCode],ADJTYPE[[#This Row],[AdjustmentTypeCode]])-1</f>
        <v>0</v>
      </c>
      <c r="C2"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2" s="57">
        <f>COUNTBLANK(ADJTYPE[[#This Row],[AdjustmentTypeCode]:[AvailableToAllSchools]])+COUNTBLANK(ADJTYPE[[#This Row],[ExcludePension]]:ADJTYPE[[#This Row],[AdjustmentTypeEnabled]])</f>
        <v>0</v>
      </c>
      <c r="E2" s="57">
        <f>IF(LEN(ADJTYPE[[#This Row],[AdjustmentTypeCode]])&lt;100,0,1)</f>
        <v>0</v>
      </c>
      <c r="F2" s="57">
        <f>IF(LEN(ADJTYPE[[#This Row],[Title]])&lt;100,0,1)</f>
        <v>0</v>
      </c>
      <c r="G2" s="57">
        <f>IF(SUBSTITUTE(TEXT(ADJTYPE[[#This Row],[AdjustmentTypeCode]],10)," ","")=TEXT(ADJTYPE[[#This Row],[AdjustmentTypeCode]],10),0,1)</f>
        <v>0</v>
      </c>
      <c r="H2" s="57">
        <f>SUM(ADJTYPE[[#This Row],[Schools Check]:[Space in Code]])</f>
        <v>0</v>
      </c>
      <c r="J2" s="12" t="s">
        <v>1630</v>
      </c>
      <c r="K2" s="12" t="s">
        <v>1111</v>
      </c>
      <c r="L2" s="51">
        <v>44440</v>
      </c>
      <c r="M2" s="157">
        <v>2</v>
      </c>
      <c r="N2" s="12" t="b">
        <v>1</v>
      </c>
      <c r="P2" s="12" t="b">
        <v>0</v>
      </c>
      <c r="Q2" s="12" t="b">
        <v>0</v>
      </c>
      <c r="R2" s="12" t="b">
        <v>1</v>
      </c>
      <c r="T2" s="1" t="s">
        <v>1631</v>
      </c>
    </row>
    <row r="3" spans="1:20" x14ac:dyDescent="0.25">
      <c r="A3" s="57">
        <f>IF(ADJTYPE[[#This Row],[AvailableToAllSchools]]=FALSE,IF(ISBLANK(ADJTYPE[[#This Row],[SchoolCodes]]),1,0),IF(ADJTYPE[[#This Row],[AvailableToAllSchools]]=TRUE,IF(ISBLANK(ADJTYPE[[#This Row],[SchoolCodes]]),0,1)))</f>
        <v>0</v>
      </c>
      <c r="B3" s="57">
        <f>COUNTIF(ADJTYPE[AdjustmentTypeCode],ADJTYPE[[#This Row],[AdjustmentTypeCode]])-1</f>
        <v>0</v>
      </c>
      <c r="C3" s="57">
        <f>IF(OR(ADJTYPE[[#This Row],[ExcludePension]]=TRUE,ADJTYPE[[#This Row],[ExcludePension]]=FALSE),IF(OR(ADJTYPE[[#This Row],[AvailableToAllSchools]]=TRUE,ADJTYPE[[#This Row],[AvailableToAllSchools]]=FALSE),IF(OR(ADJTYPE[[#This Row],[ExcludeNI]]=TRUE,ADJTYPE[[#This Row],[ExcludeNI]]=FALSE),IF(OR(ADJTYPE[[#This Row],[AdjustmentTypeEnabled]]=TRUE,ADJTYPE[[#This Row],[AdjustmentTypeEnabled]]=FALSE),0,1),1),1),1)</f>
        <v>0</v>
      </c>
      <c r="D3" s="57">
        <f>COUNTBLANK(ADJTYPE[[#This Row],[AdjustmentTypeCode]:[AvailableToAllSchools]])+COUNTBLANK(ADJTYPE[[#This Row],[ExcludePension]]:ADJTYPE[[#This Row],[AdjustmentTypeEnabled]])</f>
        <v>0</v>
      </c>
      <c r="E3" s="57">
        <f>IF(LEN(ADJTYPE[[#This Row],[AdjustmentTypeCode]])&lt;100,0,1)</f>
        <v>0</v>
      </c>
      <c r="F3" s="57">
        <f>IF(LEN(ADJTYPE[[#This Row],[Title]])&lt;100,0,1)</f>
        <v>0</v>
      </c>
      <c r="G3" s="57">
        <f>IF(SUBSTITUTE(TEXT(ADJTYPE[[#This Row],[AdjustmentTypeCode]],10)," ","")=TEXT(ADJTYPE[[#This Row],[AdjustmentTypeCode]],10),0,1)</f>
        <v>0</v>
      </c>
      <c r="H3" s="57">
        <f>SUM(ADJTYPE[[#This Row],[Schools Check]:[Space in Code]])</f>
        <v>0</v>
      </c>
      <c r="I3" s="12"/>
      <c r="J3" s="12" t="s">
        <v>1632</v>
      </c>
      <c r="K3" s="20" t="s">
        <v>1633</v>
      </c>
      <c r="L3" s="51">
        <v>44440</v>
      </c>
      <c r="M3" s="157">
        <v>2</v>
      </c>
      <c r="N3" s="12" t="b">
        <v>1</v>
      </c>
      <c r="O3" s="12"/>
      <c r="P3" s="12" t="b">
        <v>0</v>
      </c>
      <c r="Q3" s="12" t="b">
        <v>0</v>
      </c>
      <c r="R3" s="12" t="b">
        <v>1</v>
      </c>
    </row>
  </sheetData>
  <phoneticPr fontId="2" type="noConversion"/>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4ADAC74-953F-42BB-BA42-3C8115C36C86}">
          <x14:formula1>
            <xm:f>Validation!$G$2:$G$3</xm:f>
          </x14:formula1>
          <xm:sqref>R2:R3</xm:sqref>
        </x14:dataValidation>
      </x14:dataValidations>
    </ext>
  </extLst>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BAC88-AB1C-46A9-B72D-4D487965D107}">
  <sheetPr codeName="Sheet181">
    <tabColor theme="4" tint="0.79998168889431442"/>
  </sheetPr>
  <dimension ref="A1:R4"/>
  <sheetViews>
    <sheetView workbookViewId="0">
      <pane ySplit="1" topLeftCell="A2" activePane="bottomLeft" state="frozen"/>
      <selection activeCell="D2" sqref="D2"/>
      <selection pane="bottomLeft" activeCell="X28" sqref="X28"/>
    </sheetView>
  </sheetViews>
  <sheetFormatPr defaultColWidth="9.28515625" defaultRowHeight="15" outlineLevelCol="1" x14ac:dyDescent="0.25"/>
  <cols>
    <col min="1" max="6" width="11.85546875" style="12" hidden="1" customWidth="1" outlineLevel="1"/>
    <col min="7" max="7" width="10" style="12" hidden="1" customWidth="1" outlineLevel="1"/>
    <col min="8" max="8" width="10.28515625" style="12" hidden="1" customWidth="1" outlineLevel="1"/>
    <col min="9" max="9" width="8.7109375" style="12" customWidth="1" collapsed="1"/>
    <col min="10" max="10" width="14.28515625" style="12" customWidth="1"/>
    <col min="11" max="11" width="13.85546875" style="12" customWidth="1"/>
    <col min="12" max="12" width="21.28515625" style="12" bestFit="1" customWidth="1"/>
    <col min="13" max="13" width="13.140625" style="12" customWidth="1"/>
    <col min="14" max="14" width="13.28515625" style="12" customWidth="1"/>
    <col min="15" max="15" width="16.28515625" style="12" customWidth="1"/>
    <col min="16" max="16" width="14.85546875" style="20" customWidth="1"/>
    <col min="17" max="17" width="12.5703125" style="20" customWidth="1"/>
    <col min="18" max="18" width="19" style="12" customWidth="1"/>
    <col min="19" max="16384" width="9.28515625" style="12"/>
  </cols>
  <sheetData>
    <row r="1" spans="1:18" s="24" customFormat="1" ht="45" x14ac:dyDescent="0.25">
      <c r="A1" s="53" t="s">
        <v>1362</v>
      </c>
      <c r="B1" s="65" t="s">
        <v>1507</v>
      </c>
      <c r="C1" s="65" t="s">
        <v>1508</v>
      </c>
      <c r="D1" s="59" t="s">
        <v>1364</v>
      </c>
      <c r="E1" s="53" t="s">
        <v>1365</v>
      </c>
      <c r="F1" s="53" t="s">
        <v>1366</v>
      </c>
      <c r="G1" s="53" t="s">
        <v>1367</v>
      </c>
      <c r="H1" s="131" t="s">
        <v>1368</v>
      </c>
      <c r="I1" s="59" t="s">
        <v>1605</v>
      </c>
      <c r="J1" s="60" t="s">
        <v>1371</v>
      </c>
      <c r="K1" s="60" t="s">
        <v>1634</v>
      </c>
      <c r="L1" s="60" t="s">
        <v>1076</v>
      </c>
      <c r="M1" s="60" t="s">
        <v>1150</v>
      </c>
      <c r="N1" s="60" t="s">
        <v>1151</v>
      </c>
      <c r="O1" s="60" t="s">
        <v>1635</v>
      </c>
      <c r="P1" s="62" t="s">
        <v>1514</v>
      </c>
      <c r="Q1" s="62" t="s">
        <v>1515</v>
      </c>
      <c r="R1" s="60" t="s">
        <v>1636</v>
      </c>
    </row>
    <row r="2" spans="1:18" x14ac:dyDescent="0.25">
      <c r="A2" s="52">
        <f>IF(PENS[[#This Row],[AvailableToAllSchools]]=FALSE,IF(ISBLANK(PENS[[#This Row],[SchoolCodes]]),1,0),IF(PENS[[#This Row],[AvailableToAllSchools]]=TRUE,IF(ISBLANK(PENS[[#This Row],[SchoolCodes]]),0,1)))</f>
        <v>0</v>
      </c>
      <c r="B2" s="52">
        <f>IF(ISBLANK(PENS[[#This Row],[RateDateTo]]),0,IF(PENS[[#This Row],[RateDateFrom]]&lt;PENS[[#This Row],[RateDateTo]],0,1))</f>
        <v>0</v>
      </c>
      <c r="C2" s="57" cm="1">
        <f t="array" aca="1" ref="C2" ca="1">IF(CELL("format",PENS[[#This Row],[RateDateFrom]])="D1",0,1)+IF(CELL("format",PENS[[#This Row],[RateDateTo]])="D1",0,1)</f>
        <v>0</v>
      </c>
      <c r="D2" s="52">
        <f>IF(OR(PENS[[#This Row],[PensionEnabled]]=TRUE,PENS[[#This Row],[PensionEnabled]]=FALSE),IF(OR(PENS[[#This Row],[AvailableToAllSchools]]=TRUE,PENS[[#This Row],[AvailableToAllSchools]]=FALSE),0,1),1)</f>
        <v>0</v>
      </c>
      <c r="E2" s="52">
        <f>IF(LEN(PENS[[#This Row],[PensionCode]])&lt;100,0,1)</f>
        <v>0</v>
      </c>
      <c r="F2" s="52">
        <f>IF(LEN(PENS[[#This Row],[Title]])&lt;100,0,1)</f>
        <v>0</v>
      </c>
      <c r="G2" s="52">
        <f>COUNTBLANK(PENS[[#This Row],[PensionPercentage]])+COUNTBLANK(PENS[[#This Row],[PensionEnabled]:[RateDateFrom]])+COUNTBLANK(PENS[[#This Row],[PensionCode]:[AvailableToAllSchools]])</f>
        <v>0</v>
      </c>
      <c r="H2" s="52">
        <f>IF(SUBSTITUTE(TEXT(PENS[[#This Row],[PensionCode]],10)," ","")=TEXT(PENS[[#This Row],[PensionCode]],10),0,1)</f>
        <v>0</v>
      </c>
      <c r="I2" s="52">
        <f ca="1">SUM(PENS[[#This Row],[Schools Check]:[Space in Code]])</f>
        <v>0</v>
      </c>
      <c r="J2" s="20"/>
      <c r="K2" s="12" t="s">
        <v>1637</v>
      </c>
      <c r="L2" s="12" t="s">
        <v>1638</v>
      </c>
      <c r="M2" s="12" t="b">
        <v>1</v>
      </c>
      <c r="O2" s="12" t="b">
        <v>1</v>
      </c>
      <c r="P2" s="20">
        <v>45383</v>
      </c>
      <c r="R2" s="12">
        <v>28.68</v>
      </c>
    </row>
    <row r="3" spans="1:18" x14ac:dyDescent="0.25">
      <c r="A3" s="52">
        <f>IF(PENS[[#This Row],[AvailableToAllSchools]]=FALSE,IF(ISBLANK(PENS[[#This Row],[SchoolCodes]]),1,0),IF(PENS[[#This Row],[AvailableToAllSchools]]=TRUE,IF(ISBLANK(PENS[[#This Row],[SchoolCodes]]),0,1)))</f>
        <v>0</v>
      </c>
      <c r="B3" s="52">
        <f>IF(ISBLANK(PENS[[#This Row],[RateDateTo]]),0,IF(PENS[[#This Row],[RateDateFrom]]&lt;PENS[[#This Row],[RateDateTo]],0,1))</f>
        <v>0</v>
      </c>
      <c r="C3" s="52" cm="1">
        <f t="array" aca="1" ref="C3" ca="1">IF(CELL("format",PENS[[#This Row],[RateDateFrom]])="D1",0,1)+IF(CELL("format",PENS[[#This Row],[RateDateTo]])="D1",0,1)</f>
        <v>0</v>
      </c>
      <c r="D3" s="52">
        <f>IF(OR(PENS[[#This Row],[PensionEnabled]]=TRUE,PENS[[#This Row],[PensionEnabled]]=FALSE),IF(OR(PENS[[#This Row],[AvailableToAllSchools]]=TRUE,PENS[[#This Row],[AvailableToAllSchools]]=FALSE),0,1),1)</f>
        <v>0</v>
      </c>
      <c r="E3" s="52">
        <f>IF(LEN(PENS[[#This Row],[PensionCode]])&lt;100,0,1)</f>
        <v>0</v>
      </c>
      <c r="F3" s="52">
        <f>IF(LEN(PENS[[#This Row],[Title]])&lt;100,0,1)</f>
        <v>0</v>
      </c>
      <c r="G3" s="52">
        <f>COUNTBLANK(PENS[[#This Row],[PensionPercentage]])+COUNTBLANK(PENS[[#This Row],[PensionEnabled]:[RateDateFrom]])+COUNTBLANK(PENS[[#This Row],[PensionCode]:[AvailableToAllSchools]])</f>
        <v>0</v>
      </c>
      <c r="H3" s="52">
        <f>IF(SUBSTITUTE(TEXT(PENS[[#This Row],[PensionCode]],10)," ","")=TEXT(PENS[[#This Row],[PensionCode]],10),0,1)</f>
        <v>0</v>
      </c>
      <c r="I3" s="52">
        <f ca="1">SUM(PENS[[#This Row],[Schools Check]:[Space in Code]])</f>
        <v>0</v>
      </c>
      <c r="K3" s="12" t="s">
        <v>1639</v>
      </c>
      <c r="L3" s="12" t="s">
        <v>1640</v>
      </c>
      <c r="M3" s="12" t="b">
        <v>1</v>
      </c>
      <c r="O3" s="12" t="b">
        <v>1</v>
      </c>
      <c r="P3" s="20">
        <v>45383</v>
      </c>
      <c r="R3" s="12">
        <v>0</v>
      </c>
    </row>
    <row r="4" spans="1:18" x14ac:dyDescent="0.25">
      <c r="A4" s="52">
        <f>IF(PENS[[#This Row],[AvailableToAllSchools]]=FALSE,IF(ISBLANK(PENS[[#This Row],[SchoolCodes]]),1,0),IF(PENS[[#This Row],[AvailableToAllSchools]]=TRUE,IF(ISBLANK(PENS[[#This Row],[SchoolCodes]]),0,1)))</f>
        <v>0</v>
      </c>
      <c r="B4" s="52">
        <f>IF(ISBLANK(PENS[[#This Row],[RateDateTo]]),0,IF(PENS[[#This Row],[RateDateFrom]]&lt;PENS[[#This Row],[RateDateTo]],0,1))</f>
        <v>0</v>
      </c>
      <c r="C4" s="52" cm="1">
        <f t="array" aca="1" ref="C4" ca="1">IF(CELL("format",PENS[[#This Row],[RateDateFrom]])="D1",0,1)+IF(CELL("format",PENS[[#This Row],[RateDateTo]])="D1",0,1)</f>
        <v>0</v>
      </c>
      <c r="D4" s="52">
        <f>IF(OR(PENS[[#This Row],[PensionEnabled]]=TRUE,PENS[[#This Row],[PensionEnabled]]=FALSE),IF(OR(PENS[[#This Row],[AvailableToAllSchools]]=TRUE,PENS[[#This Row],[AvailableToAllSchools]]=FALSE),0,1),1)</f>
        <v>0</v>
      </c>
      <c r="E4" s="52">
        <f>IF(LEN(PENS[[#This Row],[PensionCode]])&lt;100,0,1)</f>
        <v>0</v>
      </c>
      <c r="F4" s="52">
        <f>IF(LEN(PENS[[#This Row],[Title]])&lt;100,0,1)</f>
        <v>0</v>
      </c>
      <c r="G4" s="52">
        <f>COUNTBLANK(PENS[[#This Row],[PensionPercentage]])+COUNTBLANK(PENS[[#This Row],[PensionEnabled]:[RateDateFrom]])+COUNTBLANK(PENS[[#This Row],[PensionCode]:[AvailableToAllSchools]])</f>
        <v>0</v>
      </c>
      <c r="H4" s="52">
        <f>IF(SUBSTITUTE(TEXT(PENS[[#This Row],[PensionCode]],10)," ","")=TEXT(PENS[[#This Row],[PensionCode]],10),0,1)</f>
        <v>0</v>
      </c>
      <c r="I4" s="52">
        <f ca="1">SUM(PENS[[#This Row],[Schools Check]:[Space in Code]])</f>
        <v>0</v>
      </c>
      <c r="J4" s="63"/>
      <c r="K4" s="64" t="s">
        <v>1641</v>
      </c>
      <c r="L4" s="64" t="s">
        <v>1641</v>
      </c>
      <c r="M4" s="12" t="b">
        <v>1</v>
      </c>
      <c r="O4" s="12" t="b">
        <v>1</v>
      </c>
      <c r="P4" s="20">
        <v>45383</v>
      </c>
      <c r="R4" s="12">
        <v>0</v>
      </c>
    </row>
  </sheetData>
  <phoneticPr fontId="2" type="noConversion"/>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81833EA1-2E03-4ED1-9972-60718D1A5613}">
          <x14:formula1>
            <xm:f>Validation!$G$2:$G$4</xm:f>
          </x14:formula1>
          <xm:sqref>M12:M62 M2:M4 O2:O97</xm:sqref>
        </x14:dataValidation>
      </x14:dataValidations>
    </ext>
  </extLs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39F7-4C21-44BA-B7A0-3AE24EEFD053}">
  <sheetPr codeName="Sheet171">
    <tabColor theme="4" tint="0.79998168889431442"/>
  </sheetPr>
  <dimension ref="A1:T2"/>
  <sheetViews>
    <sheetView workbookViewId="0">
      <pane ySplit="1" topLeftCell="A2" activePane="bottomLeft" state="frozen"/>
      <selection activeCell="D2" sqref="D2"/>
      <selection pane="bottomLeft" activeCell="T26" sqref="T26"/>
    </sheetView>
  </sheetViews>
  <sheetFormatPr defaultRowHeight="15" outlineLevelCol="1" x14ac:dyDescent="0.25"/>
  <cols>
    <col min="1" max="1" width="9.7109375" hidden="1" customWidth="1" outlineLevel="1"/>
    <col min="2" max="2" width="9.5703125" hidden="1" customWidth="1" outlineLevel="1"/>
    <col min="3" max="6" width="10" hidden="1" customWidth="1" outlineLevel="1"/>
    <col min="7" max="7" width="8.85546875" customWidth="1" collapsed="1"/>
    <col min="8" max="8" width="8.85546875" customWidth="1"/>
    <col min="9" max="9" width="14.28515625" customWidth="1"/>
    <col min="10" max="10" width="13.5703125" customWidth="1"/>
    <col min="11" max="11" width="24.5703125" customWidth="1"/>
    <col min="12" max="12" width="11.7109375" customWidth="1"/>
    <col min="13" max="13" width="14.140625" bestFit="1" customWidth="1"/>
    <col min="14" max="15" width="11.85546875" customWidth="1"/>
    <col min="16" max="16" width="14.42578125" style="11" customWidth="1"/>
    <col min="17" max="17" width="15.85546875" customWidth="1"/>
    <col min="18" max="18" width="13.7109375" customWidth="1"/>
    <col min="20" max="20" width="57.28515625" bestFit="1" customWidth="1"/>
  </cols>
  <sheetData>
    <row r="1" spans="1:20" s="23" customFormat="1" ht="45" x14ac:dyDescent="0.25">
      <c r="A1" s="53" t="s">
        <v>1362</v>
      </c>
      <c r="B1" s="53" t="s">
        <v>1364</v>
      </c>
      <c r="C1" s="53" t="s">
        <v>1367</v>
      </c>
      <c r="D1" s="53" t="s">
        <v>1365</v>
      </c>
      <c r="E1" s="53" t="s">
        <v>1366</v>
      </c>
      <c r="F1" s="131" t="s">
        <v>1368</v>
      </c>
      <c r="G1" s="59" t="s">
        <v>1605</v>
      </c>
      <c r="H1" s="131" t="s">
        <v>1642</v>
      </c>
      <c r="I1" s="69" t="s">
        <v>1371</v>
      </c>
      <c r="J1" s="69" t="s">
        <v>1643</v>
      </c>
      <c r="K1" s="69" t="s">
        <v>1644</v>
      </c>
      <c r="L1" s="70" t="s">
        <v>1150</v>
      </c>
      <c r="M1" s="71" t="s">
        <v>1151</v>
      </c>
      <c r="N1" s="69" t="s">
        <v>1645</v>
      </c>
      <c r="O1" s="69" t="s">
        <v>1646</v>
      </c>
      <c r="P1" s="72" t="s">
        <v>1647</v>
      </c>
      <c r="Q1" s="69" t="s">
        <v>1648</v>
      </c>
      <c r="R1" s="69" t="s">
        <v>1649</v>
      </c>
    </row>
    <row r="2" spans="1:20" x14ac:dyDescent="0.25">
      <c r="A2" s="145">
        <f>IF(EQW[[#This Row],[AvailableToAllSchools]]=FALSE,IF(ISBLANK(EQW[[#This Row],[SchoolCodes]]),1,0),IF(EQW[[#This Row],[AvailableToAllSchools]]=TRUE,IF(ISBLANK(EQW[[#This Row],[SchoolCodes]]),0,1)))</f>
        <v>0</v>
      </c>
      <c r="B2" s="57">
        <f>IF(OR(EQW[[#This Row],[EquatedWeekPatternEnabled]]=TRUE,EQW[[#This Row],[EquatedWeekPatternEnabled]]=FALSE),IF(OR(EQW[[#This Row],[AvailableToAllSchools]]=TRUE,EQW[[#This Row],[AvailableToAllSchools]]=FALSE),0,1),1)</f>
        <v>0</v>
      </c>
      <c r="C2" s="145">
        <f>COUNTBLANK(EQW[[#This Row],[EquatedWeekPatternCode]:[AvailableToAllSchools]])+COUNTBLANK(EQW[[#This Row],[ServiceYearsFrom]:[EquatedWeekPatternEnabled]])</f>
        <v>0</v>
      </c>
      <c r="D2" s="57">
        <f>IF(LEN(EQW[[#This Row],[EquatedWeekPatternCode]])&lt;100,0,1)</f>
        <v>0</v>
      </c>
      <c r="E2" s="57">
        <f>IF(LEN(EQW[[#This Row],[EquatedWeekPatternTitle]])&lt;100,0,1)</f>
        <v>0</v>
      </c>
      <c r="F2" s="57">
        <f>IF(SUBSTITUTE(TEXT(EQW[[#This Row],[EquatedWeekPatternCode]],10)," ","")=TEXT(EQW[[#This Row],[EquatedWeekPatternCode]],10),0,1)</f>
        <v>0</v>
      </c>
      <c r="G2" s="145">
        <f>SUM(EQW[[#This Row],[Schools Check]:[Space in Code]])</f>
        <v>0</v>
      </c>
      <c r="H2" s="57">
        <f>IF(EQW[[#This Row],[EquatedWeeks]]&lt;=EQW[[#This Row],[FullTimeWeeks]],0,1)</f>
        <v>0</v>
      </c>
      <c r="J2" t="s">
        <v>1650</v>
      </c>
      <c r="K2" t="s">
        <v>1651</v>
      </c>
      <c r="L2" t="b">
        <v>1</v>
      </c>
      <c r="N2">
        <v>0</v>
      </c>
      <c r="O2">
        <v>99</v>
      </c>
      <c r="P2" s="155">
        <v>52.143000000000001</v>
      </c>
      <c r="Q2" s="22">
        <v>52.143000000000001</v>
      </c>
      <c r="R2" t="b">
        <v>1</v>
      </c>
      <c r="T2" s="22" t="s">
        <v>1652</v>
      </c>
    </row>
  </sheetData>
  <sortState xmlns:xlrd2="http://schemas.microsoft.com/office/spreadsheetml/2017/richdata2" ref="A2:R2">
    <sortCondition ref="M2"/>
    <sortCondition ref="N2"/>
    <sortCondition ref="P2"/>
  </sortState>
  <phoneticPr fontId="2" type="noConversion"/>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B1F08B52-840E-4398-A14A-91A164735D03}">
          <x14:formula1>
            <xm:f>Validation!$G$2:$G$3</xm:f>
          </x14:formula1>
          <xm:sqref>R2 L2</xm:sqref>
        </x14:dataValidation>
      </x14:dataValidations>
    </ext>
  </extLst>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BC9C5-C6EC-45E3-97BE-7A834A00B3D5}">
  <sheetPr codeName="Sheet20">
    <tabColor theme="4" tint="0.79998168889431442"/>
  </sheetPr>
  <dimension ref="A1:AT20"/>
  <sheetViews>
    <sheetView topLeftCell="Z1" zoomScaleNormal="100" workbookViewId="0">
      <pane ySplit="1" topLeftCell="A2" activePane="bottomLeft" state="frozen"/>
      <selection activeCell="D2" sqref="D2"/>
      <selection pane="bottomLeft" activeCell="AP27" sqref="AP27"/>
    </sheetView>
  </sheetViews>
  <sheetFormatPr defaultColWidth="9.28515625" defaultRowHeight="15" outlineLevelCol="1" x14ac:dyDescent="0.25"/>
  <cols>
    <col min="1" max="1" width="9.5703125" style="15" hidden="1" customWidth="1" outlineLevel="1"/>
    <col min="2" max="2" width="9.7109375" style="12" hidden="1" customWidth="1" outlineLevel="1"/>
    <col min="3" max="5" width="8.5703125" style="12" hidden="1" customWidth="1" outlineLevel="1"/>
    <col min="6" max="6" width="9.7109375" style="12" hidden="1" customWidth="1" outlineLevel="1"/>
    <col min="7" max="7" width="9.42578125" style="12" hidden="1" customWidth="1" outlineLevel="1"/>
    <col min="8" max="8" width="8.5703125" style="12" hidden="1" customWidth="1" outlineLevel="1"/>
    <col min="9" max="9" width="10" style="12" hidden="1" customWidth="1" outlineLevel="1"/>
    <col min="10" max="10" width="11.85546875" style="12" hidden="1" customWidth="1" outlineLevel="1"/>
    <col min="11" max="11" width="10.28515625" style="12" hidden="1" customWidth="1" outlineLevel="1"/>
    <col min="12" max="21" width="8.5703125" style="12" hidden="1" customWidth="1" outlineLevel="1"/>
    <col min="22" max="22" width="9.28515625" style="12" hidden="1" customWidth="1" outlineLevel="1"/>
    <col min="23" max="25" width="9" style="12" hidden="1" customWidth="1" outlineLevel="1"/>
    <col min="26" max="26" width="8.5703125" style="12" customWidth="1" collapsed="1"/>
    <col min="27" max="27" width="12.85546875" style="12" customWidth="1"/>
    <col min="28" max="28" width="10.42578125" style="12" customWidth="1"/>
    <col min="29" max="29" width="51.5703125" style="12" bestFit="1" customWidth="1"/>
    <col min="30" max="30" width="9.28515625" style="12" customWidth="1"/>
    <col min="31" max="31" width="9.5703125" style="12" customWidth="1"/>
    <col min="32" max="32" width="10.5703125" style="12" customWidth="1"/>
    <col min="33" max="33" width="9.42578125" style="12" customWidth="1"/>
    <col min="34" max="34" width="11" style="12" customWidth="1"/>
    <col min="35" max="35" width="9.5703125" style="12" customWidth="1"/>
    <col min="36" max="37" width="8.140625" style="12" customWidth="1"/>
    <col min="38" max="38" width="8.85546875" style="12" customWidth="1"/>
    <col min="39" max="39" width="10.5703125" style="12" customWidth="1"/>
    <col min="40" max="40" width="13.85546875" style="12" customWidth="1"/>
    <col min="41" max="41" width="13.28515625" style="12" customWidth="1"/>
    <col min="42" max="42" width="23.140625" style="12" bestFit="1" customWidth="1"/>
    <col min="43" max="43" width="21.42578125" style="12" bestFit="1" customWidth="1"/>
    <col min="44" max="44" width="9.7109375" style="15" customWidth="1"/>
    <col min="45" max="45" width="10.85546875" style="15" customWidth="1"/>
    <col min="46" max="46" width="16.5703125" style="12" customWidth="1"/>
    <col min="47" max="16384" width="9.28515625" style="12"/>
  </cols>
  <sheetData>
    <row r="1" spans="1:46" s="24" customFormat="1" ht="75" x14ac:dyDescent="0.25">
      <c r="A1" s="53" t="s">
        <v>1653</v>
      </c>
      <c r="B1" s="53" t="s">
        <v>1654</v>
      </c>
      <c r="C1" s="65" t="s">
        <v>1655</v>
      </c>
      <c r="D1" s="65" t="s">
        <v>1656</v>
      </c>
      <c r="E1" s="65" t="s">
        <v>1657</v>
      </c>
      <c r="F1" s="65" t="s">
        <v>1658</v>
      </c>
      <c r="G1" s="65" t="s">
        <v>1659</v>
      </c>
      <c r="H1" s="65" t="s">
        <v>1660</v>
      </c>
      <c r="I1" s="65" t="s">
        <v>1661</v>
      </c>
      <c r="J1" s="65" t="s">
        <v>1662</v>
      </c>
      <c r="K1" s="65" t="s">
        <v>1663</v>
      </c>
      <c r="L1" s="65" t="s">
        <v>1664</v>
      </c>
      <c r="M1" s="65" t="s">
        <v>1665</v>
      </c>
      <c r="N1" s="65" t="s">
        <v>1666</v>
      </c>
      <c r="O1" s="65" t="s">
        <v>1667</v>
      </c>
      <c r="P1" s="65" t="s">
        <v>1668</v>
      </c>
      <c r="Q1" s="65" t="s">
        <v>1669</v>
      </c>
      <c r="R1" s="121" t="s">
        <v>1670</v>
      </c>
      <c r="S1" s="121" t="s">
        <v>1671</v>
      </c>
      <c r="T1" s="65" t="s">
        <v>1672</v>
      </c>
      <c r="U1" s="65" t="s">
        <v>1673</v>
      </c>
      <c r="V1" s="65" t="s">
        <v>1364</v>
      </c>
      <c r="W1" s="53" t="s">
        <v>1365</v>
      </c>
      <c r="X1" s="53" t="s">
        <v>1366</v>
      </c>
      <c r="Y1" s="131" t="s">
        <v>1368</v>
      </c>
      <c r="Z1" s="59" t="s">
        <v>1126</v>
      </c>
      <c r="AA1" s="25" t="s">
        <v>1371</v>
      </c>
      <c r="AB1" s="25" t="s">
        <v>1674</v>
      </c>
      <c r="AC1" s="25" t="s">
        <v>1076</v>
      </c>
      <c r="AD1" s="25" t="s">
        <v>1675</v>
      </c>
      <c r="AE1" s="25" t="s">
        <v>1676</v>
      </c>
      <c r="AF1" s="25" t="s">
        <v>1677</v>
      </c>
      <c r="AG1" s="25" t="s">
        <v>1678</v>
      </c>
      <c r="AH1" s="25" t="s">
        <v>1679</v>
      </c>
      <c r="AI1" s="25" t="s">
        <v>1680</v>
      </c>
      <c r="AJ1" s="25" t="s">
        <v>1681</v>
      </c>
      <c r="AK1" s="25" t="s">
        <v>1682</v>
      </c>
      <c r="AL1" s="25" t="s">
        <v>1683</v>
      </c>
      <c r="AM1" s="25" t="s">
        <v>1684</v>
      </c>
      <c r="AN1" s="25" t="s">
        <v>1685</v>
      </c>
      <c r="AO1" s="25" t="s">
        <v>1686</v>
      </c>
      <c r="AP1" s="25" t="s">
        <v>1687</v>
      </c>
      <c r="AQ1" s="25" t="s">
        <v>1688</v>
      </c>
      <c r="AR1" s="25" t="s">
        <v>1689</v>
      </c>
      <c r="AS1" s="25" t="s">
        <v>1690</v>
      </c>
      <c r="AT1" s="50" t="s">
        <v>1691</v>
      </c>
    </row>
    <row r="2" spans="1:46" x14ac:dyDescent="0.25">
      <c r="A2" s="57">
        <f>COUNTIF(SRG[StaffRoleGroupCode],SRG[[#This Row],[StaffRoleGroupCode]])-1</f>
        <v>0</v>
      </c>
      <c r="B2" s="57">
        <f>COUNTIF(SRG[Title],SRG[[#This Row],[Title]])-1</f>
        <v>0</v>
      </c>
      <c r="C2" s="57">
        <f>IFERROR(IF(_xlfn.XLOOKUP(SRG[[#This Row],[MinimumWageTopupFinanceCode]],FC_import[FinanceCode],FC_import[LedgerCode])=_xlfn.XLOOKUP(SRG[[#This Row],[GrossSalaryFinanceCode]],FinanceCodesBudget[FinanceCode],FinanceCodesBudget[LedgerCode]),0,1),1)</f>
        <v>1</v>
      </c>
      <c r="D2" s="57">
        <f>IFERROR(IF(_xlfn.XLOOKUP(SRG[[#This Row],[LivingWageTopupFinanceCode]],FC_import[FinanceCode],FC_import[LedgerCode])=_xlfn.XLOOKUP(SRG[[#This Row],[GrossSalaryFinanceCode]],FinanceCodesBudget[FinanceCode],FinanceCodesBudget[LedgerCode]),0,1),1)</f>
        <v>1</v>
      </c>
      <c r="E2" s="57">
        <f>IFERROR(IF(_xlfn.XLOOKUP(SRG[[#This Row],[OptOutPensionFinanceCode]],FC_import[FinanceCode],FC_import[LedgerCode])=_xlfn.XLOOKUP(SRG[[#This Row],[GrossSalaryFinanceCode]],FinanceCodesBudget[FinanceCode],FinanceCodesBudget[LedgerCode]),0,1),1)</f>
        <v>1</v>
      </c>
      <c r="F2" s="57">
        <f>IF(COUNTIF(FinanceCodesBudget[FinanceCode],SRG[[#This Row],[GrossSalaryFinanceCode]])&gt;0,0,1)</f>
        <v>1</v>
      </c>
      <c r="G2" s="57">
        <f>IF(SRG[[#This Row],[Gross Salary FC Issue]]=0,COUNTIF(FinanceCodesBudget[FinanceCode],SRG[[#This Row],[GrossSalaryFinanceCode]])-1,0)</f>
        <v>0</v>
      </c>
      <c r="H2" s="57">
        <f>IF(COUNTIF(FinanceCodesBudget[FinanceCode],SRG[[#This Row],[LeaveRebateFinanceCode]])&gt;0,0,1)</f>
        <v>1</v>
      </c>
      <c r="I2" s="57">
        <f>IF(SRG[[#This Row],[Leave Rebate FC Issue]]=0,COUNTIF(FinanceCodesBudget[FinanceCode],SRG[[#This Row],[LeaveRebateFinanceCode]])-1,0)</f>
        <v>0</v>
      </c>
      <c r="J2" s="57">
        <f>IF(COUNTIF(FinanceCodesBudget[FinanceCode],SRG[[#This Row],[AllowanceTypesFinanceCode]])&gt;0,0,1)</f>
        <v>1</v>
      </c>
      <c r="K2" s="57">
        <f>IF(SRG[[#This Row],[Allowance FC Issue]]=0,COUNTIF(FinanceCodesBudget[FinanceCode],SRG[[#This Row],[AllowanceTypesFinanceCode]])-1,0)</f>
        <v>0</v>
      </c>
      <c r="L2" s="57">
        <f>IF(COUNTIF(FinanceCodesBudget[FinanceCode],SRG[[#This Row],[AdjustmentsFinanceCode]])&gt;0,0,1)</f>
        <v>1</v>
      </c>
      <c r="M2" s="57">
        <f>IF(SRG[[#This Row],[Adj FC Issue]]=0,COUNTIF(FinanceCodesBudget[FinanceCode],SRG[[#This Row],[AdjustmentsFinanceCode]])-1,0)</f>
        <v>0</v>
      </c>
      <c r="N2" s="57">
        <f>IF(COUNTIF(FinanceCodesBudget[FinanceCode],SRG[[#This Row],[EmployersNiFinanceCode]])&gt;0,0,1)</f>
        <v>1</v>
      </c>
      <c r="O2" s="57">
        <f>IF(SRG[[#This Row],[NI FC Issue]]=0,COUNTIF(FinanceCodesBudget[FinanceCode],SRG[[#This Row],[EmployersNiFinanceCode]])-1,0)</f>
        <v>0</v>
      </c>
      <c r="P2" s="57">
        <f>IF(COUNTIF(FinanceCodesBudget[FinanceCode],SRG[[#This Row],[PensionFinanceCode]])&gt;0,0,1)</f>
        <v>1</v>
      </c>
      <c r="Q2" s="57">
        <f>IF(SRG[[#This Row],[Pension FC Issue]]=0,COUNTIF(FinanceCodesBudget[FinanceCode],SRG[[#This Row],[PensionFinanceCode]])-1,0)</f>
        <v>0</v>
      </c>
      <c r="R2" s="57">
        <f>IFERROR(IF(_xlfn.XLOOKUP(SRG[[#This Row],[WeeklyFteFinanceCode]],FC_import[FinanceCode],FC_import[LedgerCode])=_xlfn.XLOOKUP(SRG[[#This Row],[GrossSalaryFinanceCode]],FinanceCodesBudget[FinanceCode],FinanceCodesBudget[LedgerCode]),0,1),1)</f>
        <v>1</v>
      </c>
      <c r="S2" s="57">
        <f>IFERROR(IF(_xlfn.XLOOKUP(SRG[[#This Row],[AnnualFteFinanceCode]],FC_import[FinanceCode],FC_import[LedgerCode])=_xlfn.XLOOKUP(SRG[[#This Row],[GrossSalaryFinanceCode]],FinanceCodesBudget[FinanceCode],FinanceCodesBudget[LedgerCode]),0,1),1)</f>
        <v>1</v>
      </c>
      <c r="T2" s="57">
        <f>IFERROR(IF(_xlfn.XLOOKUP(SRG[[#This Row],[WeeklyFteLeaveAdjustmentFinanceCode]],FC_import[FinanceCode],FC_import[LedgerCode])=_xlfn.XLOOKUP(SRG[[#This Row],[GrossSalaryFinanceCode]],FinanceCodesBudget[FinanceCode],FinanceCodesBudget[LedgerCode]),0,1),1)</f>
        <v>1</v>
      </c>
      <c r="U2" s="57">
        <f>IFERROR(IF(_xlfn.XLOOKUP(SRG[[#This Row],[AnnualFteLeaveAdjustmentFinanceCode]],FC_import[FinanceCode],FC_import[LedgerCode])=_xlfn.XLOOKUP(SRG[[#This Row],[GrossSalaryFinanceCode]],FinanceCodesBudget[FinanceCode],FinanceCodesBudget[LedgerCode]),0,1),1)</f>
        <v>1</v>
      </c>
      <c r="V2" s="57">
        <f>IF(OR(SRG[[#This Row],[StaffRoleGroupEnabled]]=TRUE,SRG[[#This Row],[StaffRoleGroupEnabled]]=FALSE),IF(OR(SRG[[#This Row],[TeachingRoleGroup]]=TRUE,SRG[[#This Row],[TeachingRoleGroup]]=FALSE),0,1),1)</f>
        <v>0</v>
      </c>
      <c r="W2" s="57">
        <f>IF(LEN(SRG[[#This Row],[StaffRoleGroupCode]])&lt;100,0,1)</f>
        <v>0</v>
      </c>
      <c r="X2" s="57">
        <f>IF(LEN(SRG[[#This Row],[Title]])&lt;100,0,1)</f>
        <v>0</v>
      </c>
      <c r="Y2" s="57">
        <f>IF(SUBSTITUTE(TEXT(SRG[[#This Row],[StaffRoleGroupCode]],10)," ","")=TEXT(SRG[[#This Row],[StaffRoleGroupCode]],10),0,1)</f>
        <v>0</v>
      </c>
      <c r="Z2" s="57">
        <f>SUM(SRG[[#This Row],[Duplicate SRG Code]:[Space in Code]])</f>
        <v>13</v>
      </c>
      <c r="AB2" s="12" t="s">
        <v>1692</v>
      </c>
      <c r="AC2" s="12" t="s">
        <v>1693</v>
      </c>
      <c r="AD2" s="16"/>
      <c r="AE2" s="109">
        <f>SRG[[#This Row],[GrossSalaryFinanceCode]]</f>
        <v>0</v>
      </c>
      <c r="AF2" s="109">
        <f>SRG[[#This Row],[GrossSalaryFinanceCode]]</f>
        <v>0</v>
      </c>
      <c r="AG2" s="109">
        <f>SRG[[#This Row],[GrossSalaryFinanceCode]]</f>
        <v>0</v>
      </c>
      <c r="AH2" s="12" t="s">
        <v>1256</v>
      </c>
      <c r="AI2" s="12" t="s">
        <v>1254</v>
      </c>
      <c r="AJ2" s="16"/>
      <c r="AK2" s="16"/>
      <c r="AL2" s="12" t="s">
        <v>1258</v>
      </c>
      <c r="AM2" s="109">
        <f>SRG[[#This Row],[GrossSalaryFinanceCode]]</f>
        <v>0</v>
      </c>
      <c r="AN2" s="12" t="s">
        <v>1329</v>
      </c>
      <c r="AO2" s="12" t="s">
        <v>1237</v>
      </c>
      <c r="AP2" s="12" t="s">
        <v>1308</v>
      </c>
      <c r="AQ2" s="12" t="s">
        <v>1216</v>
      </c>
      <c r="AR2" s="26" t="b">
        <v>1</v>
      </c>
      <c r="AS2" s="12" t="b">
        <v>1</v>
      </c>
      <c r="AT2" s="12">
        <v>1</v>
      </c>
    </row>
    <row r="3" spans="1:46" x14ac:dyDescent="0.25">
      <c r="A3" s="57">
        <f>COUNTIF(SRG[StaffRoleGroupCode],SRG[[#This Row],[StaffRoleGroupCode]])-1</f>
        <v>0</v>
      </c>
      <c r="B3" s="57">
        <f>COUNTIF(SRG[Title],SRG[[#This Row],[Title]])-1</f>
        <v>0</v>
      </c>
      <c r="C3" s="57">
        <f>IFERROR(IF(_xlfn.XLOOKUP(SRG[[#This Row],[MinimumWageTopupFinanceCode]],FC_import[FinanceCode],FC_import[LedgerCode])=_xlfn.XLOOKUP(SRG[[#This Row],[GrossSalaryFinanceCode]],FinanceCodesBudget[FinanceCode],FinanceCodesBudget[LedgerCode]),0,1),1)</f>
        <v>1</v>
      </c>
      <c r="D3" s="57">
        <f>IFERROR(IF(_xlfn.XLOOKUP(SRG[[#This Row],[LivingWageTopupFinanceCode]],FC_import[FinanceCode],FC_import[LedgerCode])=_xlfn.XLOOKUP(SRG[[#This Row],[GrossSalaryFinanceCode]],FinanceCodesBudget[FinanceCode],FinanceCodesBudget[LedgerCode]),0,1),1)</f>
        <v>1</v>
      </c>
      <c r="E3" s="57">
        <f>IFERROR(IF(_xlfn.XLOOKUP(SRG[[#This Row],[OptOutPensionFinanceCode]],FC_import[FinanceCode],FC_import[LedgerCode])=_xlfn.XLOOKUP(SRG[[#This Row],[GrossSalaryFinanceCode]],FinanceCodesBudget[FinanceCode],FinanceCodesBudget[LedgerCode]),0,1),1)</f>
        <v>1</v>
      </c>
      <c r="F3" s="57">
        <f>IF(COUNTIF(FinanceCodesBudget[FinanceCode],SRG[[#This Row],[GrossSalaryFinanceCode]])&gt;0,0,1)</f>
        <v>1</v>
      </c>
      <c r="G3" s="57">
        <f>IF(SRG[[#This Row],[Gross Salary FC Issue]]=0,COUNTIF(FinanceCodesBudget[FinanceCode],SRG[[#This Row],[GrossSalaryFinanceCode]])-1,0)</f>
        <v>0</v>
      </c>
      <c r="H3" s="57">
        <f>IF(COUNTIF(FinanceCodesBudget[FinanceCode],SRG[[#This Row],[LeaveRebateFinanceCode]])&gt;0,0,1)</f>
        <v>1</v>
      </c>
      <c r="I3" s="57">
        <f>IF(SRG[[#This Row],[Leave Rebate FC Issue]]=0,COUNTIF(FinanceCodesBudget[FinanceCode],SRG[[#This Row],[LeaveRebateFinanceCode]])-1,0)</f>
        <v>0</v>
      </c>
      <c r="J3" s="57">
        <f>IF(COUNTIF(FinanceCodesBudget[FinanceCode],SRG[[#This Row],[AllowanceTypesFinanceCode]])&gt;0,0,1)</f>
        <v>1</v>
      </c>
      <c r="K3" s="57">
        <f>IF(SRG[[#This Row],[Allowance FC Issue]]=0,COUNTIF(FinanceCodesBudget[FinanceCode],SRG[[#This Row],[AllowanceTypesFinanceCode]])-1,0)</f>
        <v>0</v>
      </c>
      <c r="L3" s="57">
        <f>IF(COUNTIF(FinanceCodesBudget[FinanceCode],SRG[[#This Row],[AdjustmentsFinanceCode]])&gt;0,0,1)</f>
        <v>1</v>
      </c>
      <c r="M3" s="57">
        <f>IF(SRG[[#This Row],[Adj FC Issue]]=0,COUNTIF(FinanceCodesBudget[FinanceCode],SRG[[#This Row],[AdjustmentsFinanceCode]])-1,0)</f>
        <v>0</v>
      </c>
      <c r="N3" s="57">
        <f>IF(COUNTIF(FinanceCodesBudget[FinanceCode],SRG[[#This Row],[EmployersNiFinanceCode]])&gt;0,0,1)</f>
        <v>1</v>
      </c>
      <c r="O3" s="57">
        <f>IF(SRG[[#This Row],[NI FC Issue]]=0,COUNTIF(FinanceCodesBudget[FinanceCode],SRG[[#This Row],[EmployersNiFinanceCode]])-1,0)</f>
        <v>0</v>
      </c>
      <c r="P3" s="57">
        <f>IF(COUNTIF(FinanceCodesBudget[FinanceCode],SRG[[#This Row],[PensionFinanceCode]])&gt;0,0,1)</f>
        <v>1</v>
      </c>
      <c r="Q3" s="57">
        <f>IF(SRG[[#This Row],[Pension FC Issue]]=0,COUNTIF(FinanceCodesBudget[FinanceCode],SRG[[#This Row],[PensionFinanceCode]])-1,0)</f>
        <v>0</v>
      </c>
      <c r="R3" s="57">
        <f>IFERROR(IF(_xlfn.XLOOKUP(SRG[[#This Row],[WeeklyFteFinanceCode]],FC_import[FinanceCode],FC_import[LedgerCode])=_xlfn.XLOOKUP(SRG[[#This Row],[GrossSalaryFinanceCode]],FinanceCodesBudget[FinanceCode],FinanceCodesBudget[LedgerCode]),0,1),1)</f>
        <v>1</v>
      </c>
      <c r="S3" s="57">
        <f>IFERROR(IF(_xlfn.XLOOKUP(SRG[[#This Row],[AnnualFteFinanceCode]],FC_import[FinanceCode],FC_import[LedgerCode])=_xlfn.XLOOKUP(SRG[[#This Row],[GrossSalaryFinanceCode]],FinanceCodesBudget[FinanceCode],FinanceCodesBudget[LedgerCode]),0,1),1)</f>
        <v>1</v>
      </c>
      <c r="T3" s="57">
        <f>IFERROR(IF(_xlfn.XLOOKUP(SRG[[#This Row],[WeeklyFteLeaveAdjustmentFinanceCode]],FC_import[FinanceCode],FC_import[LedgerCode])=_xlfn.XLOOKUP(SRG[[#This Row],[GrossSalaryFinanceCode]],FinanceCodesBudget[FinanceCode],FinanceCodesBudget[LedgerCode]),0,1),1)</f>
        <v>1</v>
      </c>
      <c r="U3" s="57">
        <f>IFERROR(IF(_xlfn.XLOOKUP(SRG[[#This Row],[AnnualFteLeaveAdjustmentFinanceCode]],FC_import[FinanceCode],FC_import[LedgerCode])=_xlfn.XLOOKUP(SRG[[#This Row],[GrossSalaryFinanceCode]],FinanceCodesBudget[FinanceCode],FinanceCodesBudget[LedgerCode]),0,1),1)</f>
        <v>1</v>
      </c>
      <c r="V3" s="57">
        <f>IF(OR(SRG[[#This Row],[StaffRoleGroupEnabled]]=TRUE,SRG[[#This Row],[StaffRoleGroupEnabled]]=FALSE),IF(OR(SRG[[#This Row],[TeachingRoleGroup]]=TRUE,SRG[[#This Row],[TeachingRoleGroup]]=FALSE),0,1),1)</f>
        <v>0</v>
      </c>
      <c r="W3" s="57">
        <f>IF(LEN(SRG[[#This Row],[StaffRoleGroupCode]])&lt;100,0,1)</f>
        <v>0</v>
      </c>
      <c r="X3" s="57">
        <f>IF(LEN(SRG[[#This Row],[Title]])&lt;100,0,1)</f>
        <v>0</v>
      </c>
      <c r="Y3" s="57">
        <f>IF(SUBSTITUTE(TEXT(SRG[[#This Row],[StaffRoleGroupCode]],10)," ","")=TEXT(SRG[[#This Row],[StaffRoleGroupCode]],10),0,1)</f>
        <v>0</v>
      </c>
      <c r="Z3" s="57">
        <f>SUM(SRG[[#This Row],[Duplicate SRG Code]:[Space in Code]])</f>
        <v>13</v>
      </c>
      <c r="AB3" s="12" t="s">
        <v>1694</v>
      </c>
      <c r="AC3" s="12" t="s">
        <v>1695</v>
      </c>
      <c r="AD3" s="16"/>
      <c r="AE3" s="109">
        <f>SRG[[#This Row],[GrossSalaryFinanceCode]]</f>
        <v>0</v>
      </c>
      <c r="AF3" s="109">
        <f>SRG[[#This Row],[GrossSalaryFinanceCode]]</f>
        <v>0</v>
      </c>
      <c r="AG3" s="109">
        <f>SRG[[#This Row],[GrossSalaryFinanceCode]]</f>
        <v>0</v>
      </c>
      <c r="AH3" s="12" t="s">
        <v>1256</v>
      </c>
      <c r="AI3" s="12" t="s">
        <v>1254</v>
      </c>
      <c r="AJ3" s="16"/>
      <c r="AK3" s="16"/>
      <c r="AL3" s="12" t="s">
        <v>1258</v>
      </c>
      <c r="AM3" s="109">
        <f>SRG[[#This Row],[GrossSalaryFinanceCode]]</f>
        <v>0</v>
      </c>
      <c r="AN3" s="12" t="s">
        <v>1327</v>
      </c>
      <c r="AO3" s="12" t="s">
        <v>1235</v>
      </c>
      <c r="AP3" s="12" t="s">
        <v>1306</v>
      </c>
      <c r="AQ3" s="12" t="s">
        <v>1214</v>
      </c>
      <c r="AR3" s="12" t="b">
        <v>0</v>
      </c>
      <c r="AS3" s="12" t="b">
        <v>1</v>
      </c>
      <c r="AT3" s="12">
        <v>1</v>
      </c>
    </row>
    <row r="4" spans="1:46" x14ac:dyDescent="0.25">
      <c r="A4" s="57">
        <f>COUNTIF(SRG[StaffRoleGroupCode],SRG[[#This Row],[StaffRoleGroupCode]])-1</f>
        <v>0</v>
      </c>
      <c r="B4" s="57">
        <f>COUNTIF(SRG[Title],SRG[[#This Row],[Title]])-1</f>
        <v>0</v>
      </c>
      <c r="C4" s="57">
        <f>IFERROR(IF(_xlfn.XLOOKUP(SRG[[#This Row],[MinimumWageTopupFinanceCode]],FC_import[FinanceCode],FC_import[LedgerCode])=_xlfn.XLOOKUP(SRG[[#This Row],[GrossSalaryFinanceCode]],FinanceCodesBudget[FinanceCode],FinanceCodesBudget[LedgerCode]),0,1),1)</f>
        <v>1</v>
      </c>
      <c r="D4" s="57">
        <f>IFERROR(IF(_xlfn.XLOOKUP(SRG[[#This Row],[LivingWageTopupFinanceCode]],FC_import[FinanceCode],FC_import[LedgerCode])=_xlfn.XLOOKUP(SRG[[#This Row],[GrossSalaryFinanceCode]],FinanceCodesBudget[FinanceCode],FinanceCodesBudget[LedgerCode]),0,1),1)</f>
        <v>1</v>
      </c>
      <c r="E4" s="57">
        <f>IFERROR(IF(_xlfn.XLOOKUP(SRG[[#This Row],[OptOutPensionFinanceCode]],FC_import[FinanceCode],FC_import[LedgerCode])=_xlfn.XLOOKUP(SRG[[#This Row],[GrossSalaryFinanceCode]],FinanceCodesBudget[FinanceCode],FinanceCodesBudget[LedgerCode]),0,1),1)</f>
        <v>1</v>
      </c>
      <c r="F4" s="57">
        <f>IF(COUNTIF(FinanceCodesBudget[FinanceCode],SRG[[#This Row],[GrossSalaryFinanceCode]])&gt;0,0,1)</f>
        <v>1</v>
      </c>
      <c r="G4" s="57">
        <f>IF(SRG[[#This Row],[Gross Salary FC Issue]]=0,COUNTIF(FinanceCodesBudget[FinanceCode],SRG[[#This Row],[GrossSalaryFinanceCode]])-1,0)</f>
        <v>0</v>
      </c>
      <c r="H4" s="57">
        <f>IF(COUNTIF(FinanceCodesBudget[FinanceCode],SRG[[#This Row],[LeaveRebateFinanceCode]])&gt;0,0,1)</f>
        <v>1</v>
      </c>
      <c r="I4" s="57">
        <f>IF(SRG[[#This Row],[Leave Rebate FC Issue]]=0,COUNTIF(FinanceCodesBudget[FinanceCode],SRG[[#This Row],[LeaveRebateFinanceCode]])-1,0)</f>
        <v>0</v>
      </c>
      <c r="J4" s="57">
        <f>IF(COUNTIF(FinanceCodesBudget[FinanceCode],SRG[[#This Row],[AllowanceTypesFinanceCode]])&gt;0,0,1)</f>
        <v>1</v>
      </c>
      <c r="K4" s="57">
        <f>IF(SRG[[#This Row],[Allowance FC Issue]]=0,COUNTIF(FinanceCodesBudget[FinanceCode],SRG[[#This Row],[AllowanceTypesFinanceCode]])-1,0)</f>
        <v>0</v>
      </c>
      <c r="L4" s="57">
        <f>IF(COUNTIF(FinanceCodesBudget[FinanceCode],SRG[[#This Row],[AdjustmentsFinanceCode]])&gt;0,0,1)</f>
        <v>1</v>
      </c>
      <c r="M4" s="57">
        <f>IF(SRG[[#This Row],[Adj FC Issue]]=0,COUNTIF(FinanceCodesBudget[FinanceCode],SRG[[#This Row],[AdjustmentsFinanceCode]])-1,0)</f>
        <v>0</v>
      </c>
      <c r="N4" s="57">
        <f>IF(COUNTIF(FinanceCodesBudget[FinanceCode],SRG[[#This Row],[EmployersNiFinanceCode]])&gt;0,0,1)</f>
        <v>1</v>
      </c>
      <c r="O4" s="57">
        <f>IF(SRG[[#This Row],[NI FC Issue]]=0,COUNTIF(FinanceCodesBudget[FinanceCode],SRG[[#This Row],[EmployersNiFinanceCode]])-1,0)</f>
        <v>0</v>
      </c>
      <c r="P4" s="57">
        <f>IF(COUNTIF(FinanceCodesBudget[FinanceCode],SRG[[#This Row],[PensionFinanceCode]])&gt;0,0,1)</f>
        <v>1</v>
      </c>
      <c r="Q4" s="57">
        <f>IF(SRG[[#This Row],[Pension FC Issue]]=0,COUNTIF(FinanceCodesBudget[FinanceCode],SRG[[#This Row],[PensionFinanceCode]])-1,0)</f>
        <v>0</v>
      </c>
      <c r="R4" s="57">
        <f>IFERROR(IF(_xlfn.XLOOKUP(SRG[[#This Row],[WeeklyFteFinanceCode]],FC_import[FinanceCode],FC_import[LedgerCode])=_xlfn.XLOOKUP(SRG[[#This Row],[GrossSalaryFinanceCode]],FinanceCodesBudget[FinanceCode],FinanceCodesBudget[LedgerCode]),0,1),1)</f>
        <v>1</v>
      </c>
      <c r="S4" s="57">
        <f>IFERROR(IF(_xlfn.XLOOKUP(SRG[[#This Row],[AnnualFteFinanceCode]],FC_import[FinanceCode],FC_import[LedgerCode])=_xlfn.XLOOKUP(SRG[[#This Row],[GrossSalaryFinanceCode]],FinanceCodesBudget[FinanceCode],FinanceCodesBudget[LedgerCode]),0,1),1)</f>
        <v>1</v>
      </c>
      <c r="T4" s="57">
        <f>IFERROR(IF(_xlfn.XLOOKUP(SRG[[#This Row],[WeeklyFteLeaveAdjustmentFinanceCode]],FC_import[FinanceCode],FC_import[LedgerCode])=_xlfn.XLOOKUP(SRG[[#This Row],[GrossSalaryFinanceCode]],FinanceCodesBudget[FinanceCode],FinanceCodesBudget[LedgerCode]),0,1),1)</f>
        <v>1</v>
      </c>
      <c r="U4" s="57">
        <f>IFERROR(IF(_xlfn.XLOOKUP(SRG[[#This Row],[AnnualFteLeaveAdjustmentFinanceCode]],FC_import[FinanceCode],FC_import[LedgerCode])=_xlfn.XLOOKUP(SRG[[#This Row],[GrossSalaryFinanceCode]],FinanceCodesBudget[FinanceCode],FinanceCodesBudget[LedgerCode]),0,1),1)</f>
        <v>1</v>
      </c>
      <c r="V4" s="57">
        <f>IF(OR(SRG[[#This Row],[StaffRoleGroupEnabled]]=TRUE,SRG[[#This Row],[StaffRoleGroupEnabled]]=FALSE),IF(OR(SRG[[#This Row],[TeachingRoleGroup]]=TRUE,SRG[[#This Row],[TeachingRoleGroup]]=FALSE),0,1),1)</f>
        <v>0</v>
      </c>
      <c r="W4" s="57">
        <f>IF(LEN(SRG[[#This Row],[StaffRoleGroupCode]])&lt;100,0,1)</f>
        <v>0</v>
      </c>
      <c r="X4" s="57">
        <f>IF(LEN(SRG[[#This Row],[Title]])&lt;100,0,1)</f>
        <v>0</v>
      </c>
      <c r="Y4" s="57">
        <f>IF(SUBSTITUTE(TEXT(SRG[[#This Row],[StaffRoleGroupCode]],10)," ","")=TEXT(SRG[[#This Row],[StaffRoleGroupCode]],10),0,1)</f>
        <v>0</v>
      </c>
      <c r="Z4" s="57">
        <f>SUM(SRG[[#This Row],[Duplicate SRG Code]:[Space in Code]])</f>
        <v>13</v>
      </c>
      <c r="AB4" s="12" t="s">
        <v>1696</v>
      </c>
      <c r="AC4" s="12" t="s">
        <v>1697</v>
      </c>
      <c r="AD4" s="16"/>
      <c r="AE4" s="109">
        <f>SRG[[#This Row],[GrossSalaryFinanceCode]]</f>
        <v>0</v>
      </c>
      <c r="AF4" s="109">
        <f>SRG[[#This Row],[GrossSalaryFinanceCode]]</f>
        <v>0</v>
      </c>
      <c r="AG4" s="109">
        <f>SRG[[#This Row],[GrossSalaryFinanceCode]]</f>
        <v>0</v>
      </c>
      <c r="AH4" s="12" t="s">
        <v>1256</v>
      </c>
      <c r="AI4" s="12" t="s">
        <v>1254</v>
      </c>
      <c r="AJ4" s="16"/>
      <c r="AK4" s="16"/>
      <c r="AL4" s="12" t="s">
        <v>1258</v>
      </c>
      <c r="AM4" s="109">
        <f>SRG[[#This Row],[GrossSalaryFinanceCode]]</f>
        <v>0</v>
      </c>
      <c r="AN4" s="63" t="s">
        <v>1343</v>
      </c>
      <c r="AO4" s="63" t="s">
        <v>1251</v>
      </c>
      <c r="AP4" s="63" t="s">
        <v>1322</v>
      </c>
      <c r="AQ4" s="63" t="s">
        <v>1230</v>
      </c>
      <c r="AR4" s="26" t="b">
        <v>1</v>
      </c>
      <c r="AS4" s="12" t="b">
        <v>1</v>
      </c>
      <c r="AT4" s="12">
        <v>1</v>
      </c>
    </row>
    <row r="5" spans="1:46" x14ac:dyDescent="0.25">
      <c r="A5" s="57">
        <f>COUNTIF(SRG[StaffRoleGroupCode],SRG[[#This Row],[StaffRoleGroupCode]])-1</f>
        <v>0</v>
      </c>
      <c r="B5" s="57">
        <f>COUNTIF(SRG[Title],SRG[[#This Row],[Title]])-1</f>
        <v>0</v>
      </c>
      <c r="C5" s="57">
        <f>IFERROR(IF(_xlfn.XLOOKUP(SRG[[#This Row],[MinimumWageTopupFinanceCode]],FC_import[FinanceCode],FC_import[LedgerCode])=_xlfn.XLOOKUP(SRG[[#This Row],[GrossSalaryFinanceCode]],FinanceCodesBudget[FinanceCode],FinanceCodesBudget[LedgerCode]),0,1),1)</f>
        <v>1</v>
      </c>
      <c r="D5" s="57">
        <f>IFERROR(IF(_xlfn.XLOOKUP(SRG[[#This Row],[LivingWageTopupFinanceCode]],FC_import[FinanceCode],FC_import[LedgerCode])=_xlfn.XLOOKUP(SRG[[#This Row],[GrossSalaryFinanceCode]],FinanceCodesBudget[FinanceCode],FinanceCodesBudget[LedgerCode]),0,1),1)</f>
        <v>1</v>
      </c>
      <c r="E5" s="57">
        <f>IFERROR(IF(_xlfn.XLOOKUP(SRG[[#This Row],[OptOutPensionFinanceCode]],FC_import[FinanceCode],FC_import[LedgerCode])=_xlfn.XLOOKUP(SRG[[#This Row],[GrossSalaryFinanceCode]],FinanceCodesBudget[FinanceCode],FinanceCodesBudget[LedgerCode]),0,1),1)</f>
        <v>1</v>
      </c>
      <c r="F5" s="57">
        <f>IF(COUNTIF(FinanceCodesBudget[FinanceCode],SRG[[#This Row],[GrossSalaryFinanceCode]])&gt;0,0,1)</f>
        <v>1</v>
      </c>
      <c r="G5" s="57">
        <f>IF(SRG[[#This Row],[Gross Salary FC Issue]]=0,COUNTIF(FinanceCodesBudget[FinanceCode],SRG[[#This Row],[GrossSalaryFinanceCode]])-1,0)</f>
        <v>0</v>
      </c>
      <c r="H5" s="57">
        <f>IF(COUNTIF(FinanceCodesBudget[FinanceCode],SRG[[#This Row],[LeaveRebateFinanceCode]])&gt;0,0,1)</f>
        <v>1</v>
      </c>
      <c r="I5" s="57">
        <f>IF(SRG[[#This Row],[Leave Rebate FC Issue]]=0,COUNTIF(FinanceCodesBudget[FinanceCode],SRG[[#This Row],[LeaveRebateFinanceCode]])-1,0)</f>
        <v>0</v>
      </c>
      <c r="J5" s="57">
        <f>IF(COUNTIF(FinanceCodesBudget[FinanceCode],SRG[[#This Row],[AllowanceTypesFinanceCode]])&gt;0,0,1)</f>
        <v>1</v>
      </c>
      <c r="K5" s="57">
        <f>IF(SRG[[#This Row],[Allowance FC Issue]]=0,COUNTIF(FinanceCodesBudget[FinanceCode],SRG[[#This Row],[AllowanceTypesFinanceCode]])-1,0)</f>
        <v>0</v>
      </c>
      <c r="L5" s="57">
        <f>IF(COUNTIF(FinanceCodesBudget[FinanceCode],SRG[[#This Row],[AdjustmentsFinanceCode]])&gt;0,0,1)</f>
        <v>1</v>
      </c>
      <c r="M5" s="57">
        <f>IF(SRG[[#This Row],[Adj FC Issue]]=0,COUNTIF(FinanceCodesBudget[FinanceCode],SRG[[#This Row],[AdjustmentsFinanceCode]])-1,0)</f>
        <v>0</v>
      </c>
      <c r="N5" s="57">
        <f>IF(COUNTIF(FinanceCodesBudget[FinanceCode],SRG[[#This Row],[EmployersNiFinanceCode]])&gt;0,0,1)</f>
        <v>1</v>
      </c>
      <c r="O5" s="57">
        <f>IF(SRG[[#This Row],[NI FC Issue]]=0,COUNTIF(FinanceCodesBudget[FinanceCode],SRG[[#This Row],[EmployersNiFinanceCode]])-1,0)</f>
        <v>0</v>
      </c>
      <c r="P5" s="57">
        <f>IF(COUNTIF(FinanceCodesBudget[FinanceCode],SRG[[#This Row],[PensionFinanceCode]])&gt;0,0,1)</f>
        <v>1</v>
      </c>
      <c r="Q5" s="57">
        <f>IF(SRG[[#This Row],[Pension FC Issue]]=0,COUNTIF(FinanceCodesBudget[FinanceCode],SRG[[#This Row],[PensionFinanceCode]])-1,0)</f>
        <v>0</v>
      </c>
      <c r="R5" s="57">
        <f>IFERROR(IF(_xlfn.XLOOKUP(SRG[[#This Row],[WeeklyFteFinanceCode]],FC_import[FinanceCode],FC_import[LedgerCode])=_xlfn.XLOOKUP(SRG[[#This Row],[GrossSalaryFinanceCode]],FinanceCodesBudget[FinanceCode],FinanceCodesBudget[LedgerCode]),0,1),1)</f>
        <v>1</v>
      </c>
      <c r="S5" s="57">
        <f>IFERROR(IF(_xlfn.XLOOKUP(SRG[[#This Row],[AnnualFteFinanceCode]],FC_import[FinanceCode],FC_import[LedgerCode])=_xlfn.XLOOKUP(SRG[[#This Row],[GrossSalaryFinanceCode]],FinanceCodesBudget[FinanceCode],FinanceCodesBudget[LedgerCode]),0,1),1)</f>
        <v>1</v>
      </c>
      <c r="T5" s="57">
        <f>IFERROR(IF(_xlfn.XLOOKUP(SRG[[#This Row],[WeeklyFteLeaveAdjustmentFinanceCode]],FC_import[FinanceCode],FC_import[LedgerCode])=_xlfn.XLOOKUP(SRG[[#This Row],[GrossSalaryFinanceCode]],FinanceCodesBudget[FinanceCode],FinanceCodesBudget[LedgerCode]),0,1),1)</f>
        <v>1</v>
      </c>
      <c r="U5" s="57">
        <f>IFERROR(IF(_xlfn.XLOOKUP(SRG[[#This Row],[AnnualFteLeaveAdjustmentFinanceCode]],FC_import[FinanceCode],FC_import[LedgerCode])=_xlfn.XLOOKUP(SRG[[#This Row],[GrossSalaryFinanceCode]],FinanceCodesBudget[FinanceCode],FinanceCodesBudget[LedgerCode]),0,1),1)</f>
        <v>1</v>
      </c>
      <c r="V5" s="57">
        <f>IF(OR(SRG[[#This Row],[StaffRoleGroupEnabled]]=TRUE,SRG[[#This Row],[StaffRoleGroupEnabled]]=FALSE),IF(OR(SRG[[#This Row],[TeachingRoleGroup]]=TRUE,SRG[[#This Row],[TeachingRoleGroup]]=FALSE),0,1),1)</f>
        <v>0</v>
      </c>
      <c r="W5" s="57">
        <f>IF(LEN(SRG[[#This Row],[StaffRoleGroupCode]])&lt;100,0,1)</f>
        <v>0</v>
      </c>
      <c r="X5" s="57">
        <f>IF(LEN(SRG[[#This Row],[Title]])&lt;100,0,1)</f>
        <v>0</v>
      </c>
      <c r="Y5" s="57">
        <f>IF(SUBSTITUTE(TEXT(SRG[[#This Row],[StaffRoleGroupCode]],10)," ","")=TEXT(SRG[[#This Row],[StaffRoleGroupCode]],10),0,1)</f>
        <v>0</v>
      </c>
      <c r="Z5" s="57">
        <f>SUM(SRG[[#This Row],[Duplicate SRG Code]:[Space in Code]])</f>
        <v>13</v>
      </c>
      <c r="AB5" s="12" t="s">
        <v>1698</v>
      </c>
      <c r="AC5" s="12" t="s">
        <v>1699</v>
      </c>
      <c r="AD5" s="16"/>
      <c r="AE5" s="109">
        <f>SRG[[#This Row],[GrossSalaryFinanceCode]]</f>
        <v>0</v>
      </c>
      <c r="AF5" s="109">
        <f>SRG[[#This Row],[GrossSalaryFinanceCode]]</f>
        <v>0</v>
      </c>
      <c r="AG5" s="109">
        <f>SRG[[#This Row],[GrossSalaryFinanceCode]]</f>
        <v>0</v>
      </c>
      <c r="AH5" s="12" t="s">
        <v>1256</v>
      </c>
      <c r="AI5" s="12" t="s">
        <v>1254</v>
      </c>
      <c r="AJ5" s="16"/>
      <c r="AK5" s="16"/>
      <c r="AL5" s="12" t="s">
        <v>1258</v>
      </c>
      <c r="AM5" s="109">
        <f>SRG[[#This Row],[GrossSalaryFinanceCode]]</f>
        <v>0</v>
      </c>
      <c r="AN5" s="63" t="s">
        <v>1341</v>
      </c>
      <c r="AO5" s="63" t="s">
        <v>1249</v>
      </c>
      <c r="AP5" s="63" t="s">
        <v>1320</v>
      </c>
      <c r="AQ5" s="63" t="s">
        <v>1228</v>
      </c>
      <c r="AR5" s="12" t="b">
        <v>0</v>
      </c>
      <c r="AS5" s="12" t="b">
        <v>1</v>
      </c>
      <c r="AT5" s="12">
        <v>1</v>
      </c>
    </row>
    <row r="6" spans="1:46" x14ac:dyDescent="0.25">
      <c r="A6" s="57">
        <f>COUNTIF(SRG[StaffRoleGroupCode],SRG[[#This Row],[StaffRoleGroupCode]])-1</f>
        <v>0</v>
      </c>
      <c r="B6" s="57">
        <f>COUNTIF(SRG[Title],SRG[[#This Row],[Title]])-1</f>
        <v>0</v>
      </c>
      <c r="C6" s="57">
        <f>IFERROR(IF(_xlfn.XLOOKUP(SRG[[#This Row],[MinimumWageTopupFinanceCode]],FC_import[FinanceCode],FC_import[LedgerCode])=_xlfn.XLOOKUP(SRG[[#This Row],[GrossSalaryFinanceCode]],FinanceCodesBudget[FinanceCode],FinanceCodesBudget[LedgerCode]),0,1),1)</f>
        <v>1</v>
      </c>
      <c r="D6" s="57">
        <f>IFERROR(IF(_xlfn.XLOOKUP(SRG[[#This Row],[LivingWageTopupFinanceCode]],FC_import[FinanceCode],FC_import[LedgerCode])=_xlfn.XLOOKUP(SRG[[#This Row],[GrossSalaryFinanceCode]],FinanceCodesBudget[FinanceCode],FinanceCodesBudget[LedgerCode]),0,1),1)</f>
        <v>1</v>
      </c>
      <c r="E6" s="57">
        <f>IFERROR(IF(_xlfn.XLOOKUP(SRG[[#This Row],[OptOutPensionFinanceCode]],FC_import[FinanceCode],FC_import[LedgerCode])=_xlfn.XLOOKUP(SRG[[#This Row],[GrossSalaryFinanceCode]],FinanceCodesBudget[FinanceCode],FinanceCodesBudget[LedgerCode]),0,1),1)</f>
        <v>1</v>
      </c>
      <c r="F6" s="57">
        <f>IF(COUNTIF(FinanceCodesBudget[FinanceCode],SRG[[#This Row],[GrossSalaryFinanceCode]])&gt;0,0,1)</f>
        <v>1</v>
      </c>
      <c r="G6" s="57">
        <f>IF(SRG[[#This Row],[Gross Salary FC Issue]]=0,COUNTIF(FinanceCodesBudget[FinanceCode],SRG[[#This Row],[GrossSalaryFinanceCode]])-1,0)</f>
        <v>0</v>
      </c>
      <c r="H6" s="57">
        <f>IF(COUNTIF(FinanceCodesBudget[FinanceCode],SRG[[#This Row],[LeaveRebateFinanceCode]])&gt;0,0,1)</f>
        <v>1</v>
      </c>
      <c r="I6" s="57">
        <f>IF(SRG[[#This Row],[Leave Rebate FC Issue]]=0,COUNTIF(FinanceCodesBudget[FinanceCode],SRG[[#This Row],[LeaveRebateFinanceCode]])-1,0)</f>
        <v>0</v>
      </c>
      <c r="J6" s="57">
        <f>IF(COUNTIF(FinanceCodesBudget[FinanceCode],SRG[[#This Row],[AllowanceTypesFinanceCode]])&gt;0,0,1)</f>
        <v>1</v>
      </c>
      <c r="K6" s="57">
        <f>IF(SRG[[#This Row],[Allowance FC Issue]]=0,COUNTIF(FinanceCodesBudget[FinanceCode],SRG[[#This Row],[AllowanceTypesFinanceCode]])-1,0)</f>
        <v>0</v>
      </c>
      <c r="L6" s="57">
        <f>IF(COUNTIF(FinanceCodesBudget[FinanceCode],SRG[[#This Row],[AdjustmentsFinanceCode]])&gt;0,0,1)</f>
        <v>1</v>
      </c>
      <c r="M6" s="57">
        <f>IF(SRG[[#This Row],[Adj FC Issue]]=0,COUNTIF(FinanceCodesBudget[FinanceCode],SRG[[#This Row],[AdjustmentsFinanceCode]])-1,0)</f>
        <v>0</v>
      </c>
      <c r="N6" s="57">
        <f>IF(COUNTIF(FinanceCodesBudget[FinanceCode],SRG[[#This Row],[EmployersNiFinanceCode]])&gt;0,0,1)</f>
        <v>1</v>
      </c>
      <c r="O6" s="57">
        <f>IF(SRG[[#This Row],[NI FC Issue]]=0,COUNTIF(FinanceCodesBudget[FinanceCode],SRG[[#This Row],[EmployersNiFinanceCode]])-1,0)</f>
        <v>0</v>
      </c>
      <c r="P6" s="57">
        <f>IF(COUNTIF(FinanceCodesBudget[FinanceCode],SRG[[#This Row],[PensionFinanceCode]])&gt;0,0,1)</f>
        <v>1</v>
      </c>
      <c r="Q6" s="57">
        <f>IF(SRG[[#This Row],[Pension FC Issue]]=0,COUNTIF(FinanceCodesBudget[FinanceCode],SRG[[#This Row],[PensionFinanceCode]])-1,0)</f>
        <v>0</v>
      </c>
      <c r="R6" s="57">
        <f>IFERROR(IF(_xlfn.XLOOKUP(SRG[[#This Row],[WeeklyFteFinanceCode]],FC_import[FinanceCode],FC_import[LedgerCode])=_xlfn.XLOOKUP(SRG[[#This Row],[GrossSalaryFinanceCode]],FinanceCodesBudget[FinanceCode],FinanceCodesBudget[LedgerCode]),0,1),1)</f>
        <v>1</v>
      </c>
      <c r="S6" s="57">
        <f>IFERROR(IF(_xlfn.XLOOKUP(SRG[[#This Row],[AnnualFteFinanceCode]],FC_import[FinanceCode],FC_import[LedgerCode])=_xlfn.XLOOKUP(SRG[[#This Row],[GrossSalaryFinanceCode]],FinanceCodesBudget[FinanceCode],FinanceCodesBudget[LedgerCode]),0,1),1)</f>
        <v>1</v>
      </c>
      <c r="T6" s="57">
        <f>IFERROR(IF(_xlfn.XLOOKUP(SRG[[#This Row],[WeeklyFteLeaveAdjustmentFinanceCode]],FC_import[FinanceCode],FC_import[LedgerCode])=_xlfn.XLOOKUP(SRG[[#This Row],[GrossSalaryFinanceCode]],FinanceCodesBudget[FinanceCode],FinanceCodesBudget[LedgerCode]),0,1),1)</f>
        <v>1</v>
      </c>
      <c r="U6" s="57">
        <f>IFERROR(IF(_xlfn.XLOOKUP(SRG[[#This Row],[AnnualFteLeaveAdjustmentFinanceCode]],FC_import[FinanceCode],FC_import[LedgerCode])=_xlfn.XLOOKUP(SRG[[#This Row],[GrossSalaryFinanceCode]],FinanceCodesBudget[FinanceCode],FinanceCodesBudget[LedgerCode]),0,1),1)</f>
        <v>1</v>
      </c>
      <c r="V6" s="57">
        <f>IF(OR(SRG[[#This Row],[StaffRoleGroupEnabled]]=TRUE,SRG[[#This Row],[StaffRoleGroupEnabled]]=FALSE),IF(OR(SRG[[#This Row],[TeachingRoleGroup]]=TRUE,SRG[[#This Row],[TeachingRoleGroup]]=FALSE),0,1),1)</f>
        <v>0</v>
      </c>
      <c r="W6" s="57">
        <f>IF(LEN(SRG[[#This Row],[StaffRoleGroupCode]])&lt;100,0,1)</f>
        <v>0</v>
      </c>
      <c r="X6" s="57">
        <f>IF(LEN(SRG[[#This Row],[Title]])&lt;100,0,1)</f>
        <v>0</v>
      </c>
      <c r="Y6" s="57">
        <f>IF(SUBSTITUTE(TEXT(SRG[[#This Row],[StaffRoleGroupCode]],10)," ","")=TEXT(SRG[[#This Row],[StaffRoleGroupCode]],10),0,1)</f>
        <v>0</v>
      </c>
      <c r="Z6" s="57">
        <f>SUM(SRG[[#This Row],[Duplicate SRG Code]:[Space in Code]])</f>
        <v>13</v>
      </c>
      <c r="AB6" s="12" t="s">
        <v>1700</v>
      </c>
      <c r="AC6" s="12" t="s">
        <v>1701</v>
      </c>
      <c r="AD6" s="16"/>
      <c r="AE6" s="109">
        <f>SRG[[#This Row],[GrossSalaryFinanceCode]]</f>
        <v>0</v>
      </c>
      <c r="AF6" s="109">
        <f>SRG[[#This Row],[GrossSalaryFinanceCode]]</f>
        <v>0</v>
      </c>
      <c r="AG6" s="109">
        <f>SRG[[#This Row],[GrossSalaryFinanceCode]]</f>
        <v>0</v>
      </c>
      <c r="AH6" s="12" t="s">
        <v>1256</v>
      </c>
      <c r="AI6" s="12" t="s">
        <v>1254</v>
      </c>
      <c r="AJ6" s="16"/>
      <c r="AK6" s="16"/>
      <c r="AL6" s="12" t="s">
        <v>1258</v>
      </c>
      <c r="AM6" s="109">
        <f>SRG[[#This Row],[GrossSalaryFinanceCode]]</f>
        <v>0</v>
      </c>
      <c r="AN6" s="12" t="s">
        <v>1325</v>
      </c>
      <c r="AO6" s="12" t="s">
        <v>1233</v>
      </c>
      <c r="AP6" s="12" t="s">
        <v>1304</v>
      </c>
      <c r="AQ6" s="12" t="s">
        <v>1212</v>
      </c>
      <c r="AR6" s="15" t="b">
        <v>0</v>
      </c>
      <c r="AS6" s="15" t="b">
        <v>1</v>
      </c>
      <c r="AT6" s="12">
        <v>1</v>
      </c>
    </row>
    <row r="7" spans="1:46" x14ac:dyDescent="0.25">
      <c r="A7" s="57">
        <f>COUNTIF(SRG[StaffRoleGroupCode],SRG[[#This Row],[StaffRoleGroupCode]])-1</f>
        <v>0</v>
      </c>
      <c r="B7" s="57">
        <f>COUNTIF(SRG[Title],SRG[[#This Row],[Title]])-1</f>
        <v>0</v>
      </c>
      <c r="C7" s="57">
        <f>IFERROR(IF(_xlfn.XLOOKUP(SRG[[#This Row],[MinimumWageTopupFinanceCode]],FC_import[FinanceCode],FC_import[LedgerCode])=_xlfn.XLOOKUP(SRG[[#This Row],[GrossSalaryFinanceCode]],FinanceCodesBudget[FinanceCode],FinanceCodesBudget[LedgerCode]),0,1),1)</f>
        <v>1</v>
      </c>
      <c r="D7" s="57">
        <f>IFERROR(IF(_xlfn.XLOOKUP(SRG[[#This Row],[LivingWageTopupFinanceCode]],FC_import[FinanceCode],FC_import[LedgerCode])=_xlfn.XLOOKUP(SRG[[#This Row],[GrossSalaryFinanceCode]],FinanceCodesBudget[FinanceCode],FinanceCodesBudget[LedgerCode]),0,1),1)</f>
        <v>1</v>
      </c>
      <c r="E7" s="57">
        <f>IFERROR(IF(_xlfn.XLOOKUP(SRG[[#This Row],[OptOutPensionFinanceCode]],FC_import[FinanceCode],FC_import[LedgerCode])=_xlfn.XLOOKUP(SRG[[#This Row],[GrossSalaryFinanceCode]],FinanceCodesBudget[FinanceCode],FinanceCodesBudget[LedgerCode]),0,1),1)</f>
        <v>1</v>
      </c>
      <c r="F7" s="57">
        <f>IF(COUNTIF(FinanceCodesBudget[FinanceCode],SRG[[#This Row],[GrossSalaryFinanceCode]])&gt;0,0,1)</f>
        <v>1</v>
      </c>
      <c r="G7" s="57">
        <f>IF(SRG[[#This Row],[Gross Salary FC Issue]]=0,COUNTIF(FinanceCodesBudget[FinanceCode],SRG[[#This Row],[GrossSalaryFinanceCode]])-1,0)</f>
        <v>0</v>
      </c>
      <c r="H7" s="57">
        <f>IF(COUNTIF(FinanceCodesBudget[FinanceCode],SRG[[#This Row],[LeaveRebateFinanceCode]])&gt;0,0,1)</f>
        <v>1</v>
      </c>
      <c r="I7" s="57">
        <f>IF(SRG[[#This Row],[Leave Rebate FC Issue]]=0,COUNTIF(FinanceCodesBudget[FinanceCode],SRG[[#This Row],[LeaveRebateFinanceCode]])-1,0)</f>
        <v>0</v>
      </c>
      <c r="J7" s="57">
        <f>IF(COUNTIF(FinanceCodesBudget[FinanceCode],SRG[[#This Row],[AllowanceTypesFinanceCode]])&gt;0,0,1)</f>
        <v>1</v>
      </c>
      <c r="K7" s="57">
        <f>IF(SRG[[#This Row],[Allowance FC Issue]]=0,COUNTIF(FinanceCodesBudget[FinanceCode],SRG[[#This Row],[AllowanceTypesFinanceCode]])-1,0)</f>
        <v>0</v>
      </c>
      <c r="L7" s="57">
        <f>IF(COUNTIF(FinanceCodesBudget[FinanceCode],SRG[[#This Row],[AdjustmentsFinanceCode]])&gt;0,0,1)</f>
        <v>1</v>
      </c>
      <c r="M7" s="57">
        <f>IF(SRG[[#This Row],[Adj FC Issue]]=0,COUNTIF(FinanceCodesBudget[FinanceCode],SRG[[#This Row],[AdjustmentsFinanceCode]])-1,0)</f>
        <v>0</v>
      </c>
      <c r="N7" s="57">
        <f>IF(COUNTIF(FinanceCodesBudget[FinanceCode],SRG[[#This Row],[EmployersNiFinanceCode]])&gt;0,0,1)</f>
        <v>1</v>
      </c>
      <c r="O7" s="57">
        <f>IF(SRG[[#This Row],[NI FC Issue]]=0,COUNTIF(FinanceCodesBudget[FinanceCode],SRG[[#This Row],[EmployersNiFinanceCode]])-1,0)</f>
        <v>0</v>
      </c>
      <c r="P7" s="57">
        <f>IF(COUNTIF(FinanceCodesBudget[FinanceCode],SRG[[#This Row],[PensionFinanceCode]])&gt;0,0,1)</f>
        <v>1</v>
      </c>
      <c r="Q7" s="57">
        <f>IF(SRG[[#This Row],[Pension FC Issue]]=0,COUNTIF(FinanceCodesBudget[FinanceCode],SRG[[#This Row],[PensionFinanceCode]])-1,0)</f>
        <v>0</v>
      </c>
      <c r="R7" s="57">
        <f>IFERROR(IF(_xlfn.XLOOKUP(SRG[[#This Row],[WeeklyFteFinanceCode]],FC_import[FinanceCode],FC_import[LedgerCode])=_xlfn.XLOOKUP(SRG[[#This Row],[GrossSalaryFinanceCode]],FinanceCodesBudget[FinanceCode],FinanceCodesBudget[LedgerCode]),0,1),1)</f>
        <v>1</v>
      </c>
      <c r="S7" s="57">
        <f>IFERROR(IF(_xlfn.XLOOKUP(SRG[[#This Row],[AnnualFteFinanceCode]],FC_import[FinanceCode],FC_import[LedgerCode])=_xlfn.XLOOKUP(SRG[[#This Row],[GrossSalaryFinanceCode]],FinanceCodesBudget[FinanceCode],FinanceCodesBudget[LedgerCode]),0,1),1)</f>
        <v>1</v>
      </c>
      <c r="T7" s="57">
        <f>IFERROR(IF(_xlfn.XLOOKUP(SRG[[#This Row],[WeeklyFteLeaveAdjustmentFinanceCode]],FC_import[FinanceCode],FC_import[LedgerCode])=_xlfn.XLOOKUP(SRG[[#This Row],[GrossSalaryFinanceCode]],FinanceCodesBudget[FinanceCode],FinanceCodesBudget[LedgerCode]),0,1),1)</f>
        <v>1</v>
      </c>
      <c r="U7" s="57">
        <f>IFERROR(IF(_xlfn.XLOOKUP(SRG[[#This Row],[AnnualFteLeaveAdjustmentFinanceCode]],FC_import[FinanceCode],FC_import[LedgerCode])=_xlfn.XLOOKUP(SRG[[#This Row],[GrossSalaryFinanceCode]],FinanceCodesBudget[FinanceCode],FinanceCodesBudget[LedgerCode]),0,1),1)</f>
        <v>1</v>
      </c>
      <c r="V7" s="57">
        <f>IF(OR(SRG[[#This Row],[StaffRoleGroupEnabled]]=TRUE,SRG[[#This Row],[StaffRoleGroupEnabled]]=FALSE),IF(OR(SRG[[#This Row],[TeachingRoleGroup]]=TRUE,SRG[[#This Row],[TeachingRoleGroup]]=FALSE),0,1),1)</f>
        <v>0</v>
      </c>
      <c r="W7" s="57">
        <f>IF(LEN(SRG[[#This Row],[StaffRoleGroupCode]])&lt;100,0,1)</f>
        <v>0</v>
      </c>
      <c r="X7" s="57">
        <f>IF(LEN(SRG[[#This Row],[Title]])&lt;100,0,1)</f>
        <v>0</v>
      </c>
      <c r="Y7" s="57">
        <f>IF(SUBSTITUTE(TEXT(SRG[[#This Row],[StaffRoleGroupCode]],10)," ","")=TEXT(SRG[[#This Row],[StaffRoleGroupCode]],10),0,1)</f>
        <v>0</v>
      </c>
      <c r="Z7" s="57">
        <f>SUM(SRG[[#This Row],[Duplicate SRG Code]:[Space in Code]])</f>
        <v>13</v>
      </c>
      <c r="AB7" s="12" t="s">
        <v>1702</v>
      </c>
      <c r="AC7" s="12" t="s">
        <v>1703</v>
      </c>
      <c r="AD7" s="16"/>
      <c r="AE7" s="109">
        <f>SRG[[#This Row],[GrossSalaryFinanceCode]]</f>
        <v>0</v>
      </c>
      <c r="AF7" s="109">
        <f>SRG[[#This Row],[GrossSalaryFinanceCode]]</f>
        <v>0</v>
      </c>
      <c r="AG7" s="109">
        <f>SRG[[#This Row],[GrossSalaryFinanceCode]]</f>
        <v>0</v>
      </c>
      <c r="AH7" s="12" t="s">
        <v>1256</v>
      </c>
      <c r="AI7" s="12" t="s">
        <v>1254</v>
      </c>
      <c r="AJ7" s="16"/>
      <c r="AK7" s="16"/>
      <c r="AL7" s="12" t="s">
        <v>1258</v>
      </c>
      <c r="AM7" s="109">
        <f>SRG[[#This Row],[GrossSalaryFinanceCode]]</f>
        <v>0</v>
      </c>
      <c r="AN7" s="12" t="s">
        <v>1344</v>
      </c>
      <c r="AO7" s="12" t="s">
        <v>1252</v>
      </c>
      <c r="AP7" s="12" t="s">
        <v>1323</v>
      </c>
      <c r="AQ7" s="12" t="s">
        <v>1231</v>
      </c>
      <c r="AR7" s="15" t="b">
        <v>0</v>
      </c>
      <c r="AS7" s="15" t="b">
        <v>1</v>
      </c>
      <c r="AT7" s="12">
        <v>1</v>
      </c>
    </row>
    <row r="8" spans="1:46" x14ac:dyDescent="0.25">
      <c r="A8" s="57">
        <f>COUNTIF(SRG[StaffRoleGroupCode],SRG[[#This Row],[StaffRoleGroupCode]])-1</f>
        <v>0</v>
      </c>
      <c r="B8" s="57">
        <f>COUNTIF(SRG[Title],SRG[[#This Row],[Title]])-1</f>
        <v>0</v>
      </c>
      <c r="C8" s="57">
        <f>IFERROR(IF(_xlfn.XLOOKUP(SRG[[#This Row],[MinimumWageTopupFinanceCode]],FC_import[FinanceCode],FC_import[LedgerCode])=_xlfn.XLOOKUP(SRG[[#This Row],[GrossSalaryFinanceCode]],FinanceCodesBudget[FinanceCode],FinanceCodesBudget[LedgerCode]),0,1),1)</f>
        <v>1</v>
      </c>
      <c r="D8" s="57">
        <f>IFERROR(IF(_xlfn.XLOOKUP(SRG[[#This Row],[LivingWageTopupFinanceCode]],FC_import[FinanceCode],FC_import[LedgerCode])=_xlfn.XLOOKUP(SRG[[#This Row],[GrossSalaryFinanceCode]],FinanceCodesBudget[FinanceCode],FinanceCodesBudget[LedgerCode]),0,1),1)</f>
        <v>1</v>
      </c>
      <c r="E8" s="57">
        <f>IFERROR(IF(_xlfn.XLOOKUP(SRG[[#This Row],[OptOutPensionFinanceCode]],FC_import[FinanceCode],FC_import[LedgerCode])=_xlfn.XLOOKUP(SRG[[#This Row],[GrossSalaryFinanceCode]],FinanceCodesBudget[FinanceCode],FinanceCodesBudget[LedgerCode]),0,1),1)</f>
        <v>1</v>
      </c>
      <c r="F8" s="57">
        <f>IF(COUNTIF(FinanceCodesBudget[FinanceCode],SRG[[#This Row],[GrossSalaryFinanceCode]])&gt;0,0,1)</f>
        <v>1</v>
      </c>
      <c r="G8" s="57">
        <f>IF(SRG[[#This Row],[Gross Salary FC Issue]]=0,COUNTIF(FinanceCodesBudget[FinanceCode],SRG[[#This Row],[GrossSalaryFinanceCode]])-1,0)</f>
        <v>0</v>
      </c>
      <c r="H8" s="57">
        <f>IF(COUNTIF(FinanceCodesBudget[FinanceCode],SRG[[#This Row],[LeaveRebateFinanceCode]])&gt;0,0,1)</f>
        <v>1</v>
      </c>
      <c r="I8" s="57">
        <f>IF(SRG[[#This Row],[Leave Rebate FC Issue]]=0,COUNTIF(FinanceCodesBudget[FinanceCode],SRG[[#This Row],[LeaveRebateFinanceCode]])-1,0)</f>
        <v>0</v>
      </c>
      <c r="J8" s="57">
        <f>IF(COUNTIF(FinanceCodesBudget[FinanceCode],SRG[[#This Row],[AllowanceTypesFinanceCode]])&gt;0,0,1)</f>
        <v>1</v>
      </c>
      <c r="K8" s="57">
        <f>IF(SRG[[#This Row],[Allowance FC Issue]]=0,COUNTIF(FinanceCodesBudget[FinanceCode],SRG[[#This Row],[AllowanceTypesFinanceCode]])-1,0)</f>
        <v>0</v>
      </c>
      <c r="L8" s="57">
        <f>IF(COUNTIF(FinanceCodesBudget[FinanceCode],SRG[[#This Row],[AdjustmentsFinanceCode]])&gt;0,0,1)</f>
        <v>1</v>
      </c>
      <c r="M8" s="57">
        <f>IF(SRG[[#This Row],[Adj FC Issue]]=0,COUNTIF(FinanceCodesBudget[FinanceCode],SRG[[#This Row],[AdjustmentsFinanceCode]])-1,0)</f>
        <v>0</v>
      </c>
      <c r="N8" s="57">
        <f>IF(COUNTIF(FinanceCodesBudget[FinanceCode],SRG[[#This Row],[EmployersNiFinanceCode]])&gt;0,0,1)</f>
        <v>1</v>
      </c>
      <c r="O8" s="57">
        <f>IF(SRG[[#This Row],[NI FC Issue]]=0,COUNTIF(FinanceCodesBudget[FinanceCode],SRG[[#This Row],[EmployersNiFinanceCode]])-1,0)</f>
        <v>0</v>
      </c>
      <c r="P8" s="57">
        <f>IF(COUNTIF(FinanceCodesBudget[FinanceCode],SRG[[#This Row],[PensionFinanceCode]])&gt;0,0,1)</f>
        <v>1</v>
      </c>
      <c r="Q8" s="57">
        <f>IF(SRG[[#This Row],[Pension FC Issue]]=0,COUNTIF(FinanceCodesBudget[FinanceCode],SRG[[#This Row],[PensionFinanceCode]])-1,0)</f>
        <v>0</v>
      </c>
      <c r="R8" s="57">
        <f>IFERROR(IF(_xlfn.XLOOKUP(SRG[[#This Row],[WeeklyFteFinanceCode]],FC_import[FinanceCode],FC_import[LedgerCode])=_xlfn.XLOOKUP(SRG[[#This Row],[GrossSalaryFinanceCode]],FinanceCodesBudget[FinanceCode],FinanceCodesBudget[LedgerCode]),0,1),1)</f>
        <v>1</v>
      </c>
      <c r="S8" s="57">
        <f>IFERROR(IF(_xlfn.XLOOKUP(SRG[[#This Row],[AnnualFteFinanceCode]],FC_import[FinanceCode],FC_import[LedgerCode])=_xlfn.XLOOKUP(SRG[[#This Row],[GrossSalaryFinanceCode]],FinanceCodesBudget[FinanceCode],FinanceCodesBudget[LedgerCode]),0,1),1)</f>
        <v>1</v>
      </c>
      <c r="T8" s="57">
        <f>IFERROR(IF(_xlfn.XLOOKUP(SRG[[#This Row],[WeeklyFteLeaveAdjustmentFinanceCode]],FC_import[FinanceCode],FC_import[LedgerCode])=_xlfn.XLOOKUP(SRG[[#This Row],[GrossSalaryFinanceCode]],FinanceCodesBudget[FinanceCode],FinanceCodesBudget[LedgerCode]),0,1),1)</f>
        <v>1</v>
      </c>
      <c r="U8" s="57">
        <f>IFERROR(IF(_xlfn.XLOOKUP(SRG[[#This Row],[AnnualFteLeaveAdjustmentFinanceCode]],FC_import[FinanceCode],FC_import[LedgerCode])=_xlfn.XLOOKUP(SRG[[#This Row],[GrossSalaryFinanceCode]],FinanceCodesBudget[FinanceCode],FinanceCodesBudget[LedgerCode]),0,1),1)</f>
        <v>1</v>
      </c>
      <c r="V8" s="57">
        <f>IF(OR(SRG[[#This Row],[StaffRoleGroupEnabled]]=TRUE,SRG[[#This Row],[StaffRoleGroupEnabled]]=FALSE),IF(OR(SRG[[#This Row],[TeachingRoleGroup]]=TRUE,SRG[[#This Row],[TeachingRoleGroup]]=FALSE),0,1),1)</f>
        <v>0</v>
      </c>
      <c r="W8" s="57">
        <f>IF(LEN(SRG[[#This Row],[StaffRoleGroupCode]])&lt;100,0,1)</f>
        <v>0</v>
      </c>
      <c r="X8" s="57">
        <f>IF(LEN(SRG[[#This Row],[Title]])&lt;100,0,1)</f>
        <v>0</v>
      </c>
      <c r="Y8" s="57">
        <f>IF(SUBSTITUTE(TEXT(SRG[[#This Row],[StaffRoleGroupCode]],10)," ","")=TEXT(SRG[[#This Row],[StaffRoleGroupCode]],10),0,1)</f>
        <v>0</v>
      </c>
      <c r="Z8" s="57">
        <f>SUM(SRG[[#This Row],[Duplicate SRG Code]:[Space in Code]])</f>
        <v>13</v>
      </c>
      <c r="AB8" s="12" t="s">
        <v>1704</v>
      </c>
      <c r="AC8" s="12" t="s">
        <v>1705</v>
      </c>
      <c r="AD8" s="16"/>
      <c r="AE8" s="109">
        <f>SRG[[#This Row],[GrossSalaryFinanceCode]]</f>
        <v>0</v>
      </c>
      <c r="AF8" s="109">
        <f>SRG[[#This Row],[GrossSalaryFinanceCode]]</f>
        <v>0</v>
      </c>
      <c r="AG8" s="109">
        <f>SRG[[#This Row],[GrossSalaryFinanceCode]]</f>
        <v>0</v>
      </c>
      <c r="AH8" s="12" t="s">
        <v>1256</v>
      </c>
      <c r="AI8" s="12" t="s">
        <v>1254</v>
      </c>
      <c r="AJ8" s="16"/>
      <c r="AK8" s="16"/>
      <c r="AL8" s="12" t="s">
        <v>1258</v>
      </c>
      <c r="AM8" s="109">
        <f>SRG[[#This Row],[GrossSalaryFinanceCode]]</f>
        <v>0</v>
      </c>
      <c r="AN8" s="12" t="s">
        <v>1268</v>
      </c>
      <c r="AO8" s="12" t="s">
        <v>1176</v>
      </c>
      <c r="AP8" s="12" t="s">
        <v>1290</v>
      </c>
      <c r="AQ8" s="12" t="s">
        <v>1198</v>
      </c>
      <c r="AR8" s="15" t="b">
        <v>0</v>
      </c>
      <c r="AS8" s="15" t="b">
        <v>1</v>
      </c>
      <c r="AT8" s="12">
        <v>1</v>
      </c>
    </row>
    <row r="9" spans="1:46" x14ac:dyDescent="0.25">
      <c r="A9" s="57">
        <f>COUNTIF(SRG[StaffRoleGroupCode],SRG[[#This Row],[StaffRoleGroupCode]])-1</f>
        <v>0</v>
      </c>
      <c r="B9" s="57">
        <f>COUNTIF(SRG[Title],SRG[[#This Row],[Title]])-1</f>
        <v>0</v>
      </c>
      <c r="C9" s="57">
        <f>IFERROR(IF(_xlfn.XLOOKUP(SRG[[#This Row],[MinimumWageTopupFinanceCode]],FC_import[FinanceCode],FC_import[LedgerCode])=_xlfn.XLOOKUP(SRG[[#This Row],[GrossSalaryFinanceCode]],FinanceCodesBudget[FinanceCode],FinanceCodesBudget[LedgerCode]),0,1),1)</f>
        <v>1</v>
      </c>
      <c r="D9" s="57">
        <f>IFERROR(IF(_xlfn.XLOOKUP(SRG[[#This Row],[LivingWageTopupFinanceCode]],FC_import[FinanceCode],FC_import[LedgerCode])=_xlfn.XLOOKUP(SRG[[#This Row],[GrossSalaryFinanceCode]],FinanceCodesBudget[FinanceCode],FinanceCodesBudget[LedgerCode]),0,1),1)</f>
        <v>1</v>
      </c>
      <c r="E9" s="57">
        <f>IFERROR(IF(_xlfn.XLOOKUP(SRG[[#This Row],[OptOutPensionFinanceCode]],FC_import[FinanceCode],FC_import[LedgerCode])=_xlfn.XLOOKUP(SRG[[#This Row],[GrossSalaryFinanceCode]],FinanceCodesBudget[FinanceCode],FinanceCodesBudget[LedgerCode]),0,1),1)</f>
        <v>1</v>
      </c>
      <c r="F9" s="57">
        <f>IF(COUNTIF(FinanceCodesBudget[FinanceCode],SRG[[#This Row],[GrossSalaryFinanceCode]])&gt;0,0,1)</f>
        <v>1</v>
      </c>
      <c r="G9" s="57">
        <f>IF(SRG[[#This Row],[Gross Salary FC Issue]]=0,COUNTIF(FinanceCodesBudget[FinanceCode],SRG[[#This Row],[GrossSalaryFinanceCode]])-1,0)</f>
        <v>0</v>
      </c>
      <c r="H9" s="57">
        <f>IF(COUNTIF(FinanceCodesBudget[FinanceCode],SRG[[#This Row],[LeaveRebateFinanceCode]])&gt;0,0,1)</f>
        <v>1</v>
      </c>
      <c r="I9" s="57">
        <f>IF(SRG[[#This Row],[Leave Rebate FC Issue]]=0,COUNTIF(FinanceCodesBudget[FinanceCode],SRG[[#This Row],[LeaveRebateFinanceCode]])-1,0)</f>
        <v>0</v>
      </c>
      <c r="J9" s="57">
        <f>IF(COUNTIF(FinanceCodesBudget[FinanceCode],SRG[[#This Row],[AllowanceTypesFinanceCode]])&gt;0,0,1)</f>
        <v>1</v>
      </c>
      <c r="K9" s="57">
        <f>IF(SRG[[#This Row],[Allowance FC Issue]]=0,COUNTIF(FinanceCodesBudget[FinanceCode],SRG[[#This Row],[AllowanceTypesFinanceCode]])-1,0)</f>
        <v>0</v>
      </c>
      <c r="L9" s="57">
        <f>IF(COUNTIF(FinanceCodesBudget[FinanceCode],SRG[[#This Row],[AdjustmentsFinanceCode]])&gt;0,0,1)</f>
        <v>1</v>
      </c>
      <c r="M9" s="57">
        <f>IF(SRG[[#This Row],[Adj FC Issue]]=0,COUNTIF(FinanceCodesBudget[FinanceCode],SRG[[#This Row],[AdjustmentsFinanceCode]])-1,0)</f>
        <v>0</v>
      </c>
      <c r="N9" s="57">
        <f>IF(COUNTIF(FinanceCodesBudget[FinanceCode],SRG[[#This Row],[EmployersNiFinanceCode]])&gt;0,0,1)</f>
        <v>1</v>
      </c>
      <c r="O9" s="57">
        <f>IF(SRG[[#This Row],[NI FC Issue]]=0,COUNTIF(FinanceCodesBudget[FinanceCode],SRG[[#This Row],[EmployersNiFinanceCode]])-1,0)</f>
        <v>0</v>
      </c>
      <c r="P9" s="57">
        <f>IF(COUNTIF(FinanceCodesBudget[FinanceCode],SRG[[#This Row],[PensionFinanceCode]])&gt;0,0,1)</f>
        <v>1</v>
      </c>
      <c r="Q9" s="57">
        <f>IF(SRG[[#This Row],[Pension FC Issue]]=0,COUNTIF(FinanceCodesBudget[FinanceCode],SRG[[#This Row],[PensionFinanceCode]])-1,0)</f>
        <v>0</v>
      </c>
      <c r="R9" s="57">
        <f>IFERROR(IF(_xlfn.XLOOKUP(SRG[[#This Row],[WeeklyFteFinanceCode]],FC_import[FinanceCode],FC_import[LedgerCode])=_xlfn.XLOOKUP(SRG[[#This Row],[GrossSalaryFinanceCode]],FinanceCodesBudget[FinanceCode],FinanceCodesBudget[LedgerCode]),0,1),1)</f>
        <v>1</v>
      </c>
      <c r="S9" s="57">
        <f>IFERROR(IF(_xlfn.XLOOKUP(SRG[[#This Row],[AnnualFteFinanceCode]],FC_import[FinanceCode],FC_import[LedgerCode])=_xlfn.XLOOKUP(SRG[[#This Row],[GrossSalaryFinanceCode]],FinanceCodesBudget[FinanceCode],FinanceCodesBudget[LedgerCode]),0,1),1)</f>
        <v>1</v>
      </c>
      <c r="T9" s="57">
        <f>IFERROR(IF(_xlfn.XLOOKUP(SRG[[#This Row],[WeeklyFteLeaveAdjustmentFinanceCode]],FC_import[FinanceCode],FC_import[LedgerCode])=_xlfn.XLOOKUP(SRG[[#This Row],[GrossSalaryFinanceCode]],FinanceCodesBudget[FinanceCode],FinanceCodesBudget[LedgerCode]),0,1),1)</f>
        <v>1</v>
      </c>
      <c r="U9" s="57">
        <f>IFERROR(IF(_xlfn.XLOOKUP(SRG[[#This Row],[AnnualFteLeaveAdjustmentFinanceCode]],FC_import[FinanceCode],FC_import[LedgerCode])=_xlfn.XLOOKUP(SRG[[#This Row],[GrossSalaryFinanceCode]],FinanceCodesBudget[FinanceCode],FinanceCodesBudget[LedgerCode]),0,1),1)</f>
        <v>1</v>
      </c>
      <c r="V9" s="57">
        <f>IF(OR(SRG[[#This Row],[StaffRoleGroupEnabled]]=TRUE,SRG[[#This Row],[StaffRoleGroupEnabled]]=FALSE),IF(OR(SRG[[#This Row],[TeachingRoleGroup]]=TRUE,SRG[[#This Row],[TeachingRoleGroup]]=FALSE),0,1),1)</f>
        <v>0</v>
      </c>
      <c r="W9" s="57">
        <f>IF(LEN(SRG[[#This Row],[StaffRoleGroupCode]])&lt;100,0,1)</f>
        <v>0</v>
      </c>
      <c r="X9" s="57">
        <f>IF(LEN(SRG[[#This Row],[Title]])&lt;100,0,1)</f>
        <v>0</v>
      </c>
      <c r="Y9" s="57">
        <f>IF(SUBSTITUTE(TEXT(SRG[[#This Row],[StaffRoleGroupCode]],10)," ","")=TEXT(SRG[[#This Row],[StaffRoleGroupCode]],10),0,1)</f>
        <v>0</v>
      </c>
      <c r="Z9" s="57">
        <f>SUM(SRG[[#This Row],[Duplicate SRG Code]:[Space in Code]])</f>
        <v>13</v>
      </c>
      <c r="AB9" s="12" t="s">
        <v>1706</v>
      </c>
      <c r="AC9" s="12" t="s">
        <v>1707</v>
      </c>
      <c r="AD9" s="16"/>
      <c r="AE9" s="109">
        <f>SRG[[#This Row],[GrossSalaryFinanceCode]]</f>
        <v>0</v>
      </c>
      <c r="AF9" s="109">
        <f>SRG[[#This Row],[GrossSalaryFinanceCode]]</f>
        <v>0</v>
      </c>
      <c r="AG9" s="109">
        <f>SRG[[#This Row],[GrossSalaryFinanceCode]]</f>
        <v>0</v>
      </c>
      <c r="AH9" s="12" t="s">
        <v>1256</v>
      </c>
      <c r="AI9" s="12" t="s">
        <v>1254</v>
      </c>
      <c r="AJ9" s="16"/>
      <c r="AK9" s="16"/>
      <c r="AL9" s="12" t="s">
        <v>1258</v>
      </c>
      <c r="AM9" s="109">
        <f>SRG[[#This Row],[GrossSalaryFinanceCode]]</f>
        <v>0</v>
      </c>
      <c r="AN9" s="12" t="s">
        <v>1260</v>
      </c>
      <c r="AO9" s="12" t="s">
        <v>1167</v>
      </c>
      <c r="AP9" s="12" t="s">
        <v>1282</v>
      </c>
      <c r="AQ9" s="12" t="s">
        <v>1190</v>
      </c>
      <c r="AR9" s="15" t="b">
        <v>0</v>
      </c>
      <c r="AS9" s="15" t="b">
        <v>1</v>
      </c>
      <c r="AT9" s="12">
        <v>1</v>
      </c>
    </row>
    <row r="10" spans="1:46" x14ac:dyDescent="0.25">
      <c r="A10" s="57">
        <f>COUNTIF(SRG[StaffRoleGroupCode],SRG[[#This Row],[StaffRoleGroupCode]])-1</f>
        <v>0</v>
      </c>
      <c r="B10" s="57">
        <f>COUNTIF(SRG[Title],SRG[[#This Row],[Title]])-1</f>
        <v>0</v>
      </c>
      <c r="C10" s="57">
        <f>IFERROR(IF(_xlfn.XLOOKUP(SRG[[#This Row],[MinimumWageTopupFinanceCode]],FC_import[FinanceCode],FC_import[LedgerCode])=_xlfn.XLOOKUP(SRG[[#This Row],[GrossSalaryFinanceCode]],FinanceCodesBudget[FinanceCode],FinanceCodesBudget[LedgerCode]),0,1),1)</f>
        <v>1</v>
      </c>
      <c r="D10" s="57">
        <f>IFERROR(IF(_xlfn.XLOOKUP(SRG[[#This Row],[LivingWageTopupFinanceCode]],FC_import[FinanceCode],FC_import[LedgerCode])=_xlfn.XLOOKUP(SRG[[#This Row],[GrossSalaryFinanceCode]],FinanceCodesBudget[FinanceCode],FinanceCodesBudget[LedgerCode]),0,1),1)</f>
        <v>1</v>
      </c>
      <c r="E10" s="57">
        <f>IFERROR(IF(_xlfn.XLOOKUP(SRG[[#This Row],[OptOutPensionFinanceCode]],FC_import[FinanceCode],FC_import[LedgerCode])=_xlfn.XLOOKUP(SRG[[#This Row],[GrossSalaryFinanceCode]],FinanceCodesBudget[FinanceCode],FinanceCodesBudget[LedgerCode]),0,1),1)</f>
        <v>1</v>
      </c>
      <c r="F10" s="57">
        <f>IF(COUNTIF(FinanceCodesBudget[FinanceCode],SRG[[#This Row],[GrossSalaryFinanceCode]])&gt;0,0,1)</f>
        <v>1</v>
      </c>
      <c r="G10" s="57">
        <f>IF(SRG[[#This Row],[Gross Salary FC Issue]]=0,COUNTIF(FinanceCodesBudget[FinanceCode],SRG[[#This Row],[GrossSalaryFinanceCode]])-1,0)</f>
        <v>0</v>
      </c>
      <c r="H10" s="57">
        <f>IF(COUNTIF(FinanceCodesBudget[FinanceCode],SRG[[#This Row],[LeaveRebateFinanceCode]])&gt;0,0,1)</f>
        <v>1</v>
      </c>
      <c r="I10" s="57">
        <f>IF(SRG[[#This Row],[Leave Rebate FC Issue]]=0,COUNTIF(FinanceCodesBudget[FinanceCode],SRG[[#This Row],[LeaveRebateFinanceCode]])-1,0)</f>
        <v>0</v>
      </c>
      <c r="J10" s="57">
        <f>IF(COUNTIF(FinanceCodesBudget[FinanceCode],SRG[[#This Row],[AllowanceTypesFinanceCode]])&gt;0,0,1)</f>
        <v>1</v>
      </c>
      <c r="K10" s="57">
        <f>IF(SRG[[#This Row],[Allowance FC Issue]]=0,COUNTIF(FinanceCodesBudget[FinanceCode],SRG[[#This Row],[AllowanceTypesFinanceCode]])-1,0)</f>
        <v>0</v>
      </c>
      <c r="L10" s="57">
        <f>IF(COUNTIF(FinanceCodesBudget[FinanceCode],SRG[[#This Row],[AdjustmentsFinanceCode]])&gt;0,0,1)</f>
        <v>1</v>
      </c>
      <c r="M10" s="57">
        <f>IF(SRG[[#This Row],[Adj FC Issue]]=0,COUNTIF(FinanceCodesBudget[FinanceCode],SRG[[#This Row],[AdjustmentsFinanceCode]])-1,0)</f>
        <v>0</v>
      </c>
      <c r="N10" s="57">
        <f>IF(COUNTIF(FinanceCodesBudget[FinanceCode],SRG[[#This Row],[EmployersNiFinanceCode]])&gt;0,0,1)</f>
        <v>1</v>
      </c>
      <c r="O10" s="57">
        <f>IF(SRG[[#This Row],[NI FC Issue]]=0,COUNTIF(FinanceCodesBudget[FinanceCode],SRG[[#This Row],[EmployersNiFinanceCode]])-1,0)</f>
        <v>0</v>
      </c>
      <c r="P10" s="57">
        <f>IF(COUNTIF(FinanceCodesBudget[FinanceCode],SRG[[#This Row],[PensionFinanceCode]])&gt;0,0,1)</f>
        <v>1</v>
      </c>
      <c r="Q10" s="57">
        <f>IF(SRG[[#This Row],[Pension FC Issue]]=0,COUNTIF(FinanceCodesBudget[FinanceCode],SRG[[#This Row],[PensionFinanceCode]])-1,0)</f>
        <v>0</v>
      </c>
      <c r="R10" s="57">
        <f>IFERROR(IF(_xlfn.XLOOKUP(SRG[[#This Row],[WeeklyFteFinanceCode]],FC_import[FinanceCode],FC_import[LedgerCode])=_xlfn.XLOOKUP(SRG[[#This Row],[GrossSalaryFinanceCode]],FinanceCodesBudget[FinanceCode],FinanceCodesBudget[LedgerCode]),0,1),1)</f>
        <v>1</v>
      </c>
      <c r="S10" s="57">
        <f>IFERROR(IF(_xlfn.XLOOKUP(SRG[[#This Row],[AnnualFteFinanceCode]],FC_import[FinanceCode],FC_import[LedgerCode])=_xlfn.XLOOKUP(SRG[[#This Row],[GrossSalaryFinanceCode]],FinanceCodesBudget[FinanceCode],FinanceCodesBudget[LedgerCode]),0,1),1)</f>
        <v>1</v>
      </c>
      <c r="T10" s="57">
        <f>IFERROR(IF(_xlfn.XLOOKUP(SRG[[#This Row],[WeeklyFteLeaveAdjustmentFinanceCode]],FC_import[FinanceCode],FC_import[LedgerCode])=_xlfn.XLOOKUP(SRG[[#This Row],[GrossSalaryFinanceCode]],FinanceCodesBudget[FinanceCode],FinanceCodesBudget[LedgerCode]),0,1),1)</f>
        <v>1</v>
      </c>
      <c r="U10" s="57">
        <f>IFERROR(IF(_xlfn.XLOOKUP(SRG[[#This Row],[AnnualFteLeaveAdjustmentFinanceCode]],FC_import[FinanceCode],FC_import[LedgerCode])=_xlfn.XLOOKUP(SRG[[#This Row],[GrossSalaryFinanceCode]],FinanceCodesBudget[FinanceCode],FinanceCodesBudget[LedgerCode]),0,1),1)</f>
        <v>1</v>
      </c>
      <c r="V10" s="57">
        <f>IF(OR(SRG[[#This Row],[StaffRoleGroupEnabled]]=TRUE,SRG[[#This Row],[StaffRoleGroupEnabled]]=FALSE),IF(OR(SRG[[#This Row],[TeachingRoleGroup]]=TRUE,SRG[[#This Row],[TeachingRoleGroup]]=FALSE),0,1),1)</f>
        <v>0</v>
      </c>
      <c r="W10" s="57">
        <f>IF(LEN(SRG[[#This Row],[StaffRoleGroupCode]])&lt;100,0,1)</f>
        <v>0</v>
      </c>
      <c r="X10" s="57">
        <f>IF(LEN(SRG[[#This Row],[Title]])&lt;100,0,1)</f>
        <v>0</v>
      </c>
      <c r="Y10" s="57">
        <f>IF(SUBSTITUTE(TEXT(SRG[[#This Row],[StaffRoleGroupCode]],10)," ","")=TEXT(SRG[[#This Row],[StaffRoleGroupCode]],10),0,1)</f>
        <v>0</v>
      </c>
      <c r="Z10" s="57">
        <f>SUM(SRG[[#This Row],[Duplicate SRG Code]:[Space in Code]])</f>
        <v>13</v>
      </c>
      <c r="AB10" s="12" t="s">
        <v>1708</v>
      </c>
      <c r="AC10" s="12" t="s">
        <v>1709</v>
      </c>
      <c r="AD10" s="16"/>
      <c r="AE10" s="109">
        <f>SRG[[#This Row],[GrossSalaryFinanceCode]]</f>
        <v>0</v>
      </c>
      <c r="AF10" s="109">
        <f>SRG[[#This Row],[GrossSalaryFinanceCode]]</f>
        <v>0</v>
      </c>
      <c r="AG10" s="109">
        <f>SRG[[#This Row],[GrossSalaryFinanceCode]]</f>
        <v>0</v>
      </c>
      <c r="AH10" s="12" t="s">
        <v>1256</v>
      </c>
      <c r="AI10" s="12" t="s">
        <v>1254</v>
      </c>
      <c r="AJ10" s="16"/>
      <c r="AK10" s="16"/>
      <c r="AL10" s="12" t="s">
        <v>1258</v>
      </c>
      <c r="AM10" s="109">
        <f>SRG[[#This Row],[GrossSalaryFinanceCode]]</f>
        <v>0</v>
      </c>
      <c r="AN10" s="12" t="s">
        <v>1339</v>
      </c>
      <c r="AO10" s="12" t="s">
        <v>1247</v>
      </c>
      <c r="AP10" s="12" t="s">
        <v>1318</v>
      </c>
      <c r="AQ10" s="12" t="s">
        <v>1226</v>
      </c>
      <c r="AR10" s="15" t="b">
        <v>0</v>
      </c>
      <c r="AS10" s="15" t="b">
        <v>1</v>
      </c>
      <c r="AT10" s="12">
        <v>1</v>
      </c>
    </row>
    <row r="11" spans="1:46" x14ac:dyDescent="0.25">
      <c r="A11" s="57">
        <f>COUNTIF(SRG[StaffRoleGroupCode],SRG[[#This Row],[StaffRoleGroupCode]])-1</f>
        <v>0</v>
      </c>
      <c r="B11" s="57">
        <f>COUNTIF(SRG[Title],SRG[[#This Row],[Title]])-1</f>
        <v>0</v>
      </c>
      <c r="C11" s="57">
        <f>IFERROR(IF(_xlfn.XLOOKUP(SRG[[#This Row],[MinimumWageTopupFinanceCode]],FC_import[FinanceCode],FC_import[LedgerCode])=_xlfn.XLOOKUP(SRG[[#This Row],[GrossSalaryFinanceCode]],FinanceCodesBudget[FinanceCode],FinanceCodesBudget[LedgerCode]),0,1),1)</f>
        <v>1</v>
      </c>
      <c r="D11" s="57">
        <f>IFERROR(IF(_xlfn.XLOOKUP(SRG[[#This Row],[LivingWageTopupFinanceCode]],FC_import[FinanceCode],FC_import[LedgerCode])=_xlfn.XLOOKUP(SRG[[#This Row],[GrossSalaryFinanceCode]],FinanceCodesBudget[FinanceCode],FinanceCodesBudget[LedgerCode]),0,1),1)</f>
        <v>1</v>
      </c>
      <c r="E11" s="57">
        <f>IFERROR(IF(_xlfn.XLOOKUP(SRG[[#This Row],[OptOutPensionFinanceCode]],FC_import[FinanceCode],FC_import[LedgerCode])=_xlfn.XLOOKUP(SRG[[#This Row],[GrossSalaryFinanceCode]],FinanceCodesBudget[FinanceCode],FinanceCodesBudget[LedgerCode]),0,1),1)</f>
        <v>1</v>
      </c>
      <c r="F11" s="57">
        <f>IF(COUNTIF(FinanceCodesBudget[FinanceCode],SRG[[#This Row],[GrossSalaryFinanceCode]])&gt;0,0,1)</f>
        <v>1</v>
      </c>
      <c r="G11" s="57">
        <f>IF(SRG[[#This Row],[Gross Salary FC Issue]]=0,COUNTIF(FinanceCodesBudget[FinanceCode],SRG[[#This Row],[GrossSalaryFinanceCode]])-1,0)</f>
        <v>0</v>
      </c>
      <c r="H11" s="57">
        <f>IF(COUNTIF(FinanceCodesBudget[FinanceCode],SRG[[#This Row],[LeaveRebateFinanceCode]])&gt;0,0,1)</f>
        <v>1</v>
      </c>
      <c r="I11" s="57">
        <f>IF(SRG[[#This Row],[Leave Rebate FC Issue]]=0,COUNTIF(FinanceCodesBudget[FinanceCode],SRG[[#This Row],[LeaveRebateFinanceCode]])-1,0)</f>
        <v>0</v>
      </c>
      <c r="J11" s="57">
        <f>IF(COUNTIF(FinanceCodesBudget[FinanceCode],SRG[[#This Row],[AllowanceTypesFinanceCode]])&gt;0,0,1)</f>
        <v>1</v>
      </c>
      <c r="K11" s="57">
        <f>IF(SRG[[#This Row],[Allowance FC Issue]]=0,COUNTIF(FinanceCodesBudget[FinanceCode],SRG[[#This Row],[AllowanceTypesFinanceCode]])-1,0)</f>
        <v>0</v>
      </c>
      <c r="L11" s="57">
        <f>IF(COUNTIF(FinanceCodesBudget[FinanceCode],SRG[[#This Row],[AdjustmentsFinanceCode]])&gt;0,0,1)</f>
        <v>1</v>
      </c>
      <c r="M11" s="57">
        <f>IF(SRG[[#This Row],[Adj FC Issue]]=0,COUNTIF(FinanceCodesBudget[FinanceCode],SRG[[#This Row],[AdjustmentsFinanceCode]])-1,0)</f>
        <v>0</v>
      </c>
      <c r="N11" s="57">
        <f>IF(COUNTIF(FinanceCodesBudget[FinanceCode],SRG[[#This Row],[EmployersNiFinanceCode]])&gt;0,0,1)</f>
        <v>1</v>
      </c>
      <c r="O11" s="57">
        <f>IF(SRG[[#This Row],[NI FC Issue]]=0,COUNTIF(FinanceCodesBudget[FinanceCode],SRG[[#This Row],[EmployersNiFinanceCode]])-1,0)</f>
        <v>0</v>
      </c>
      <c r="P11" s="57">
        <f>IF(COUNTIF(FinanceCodesBudget[FinanceCode],SRG[[#This Row],[PensionFinanceCode]])&gt;0,0,1)</f>
        <v>1</v>
      </c>
      <c r="Q11" s="57">
        <f>IF(SRG[[#This Row],[Pension FC Issue]]=0,COUNTIF(FinanceCodesBudget[FinanceCode],SRG[[#This Row],[PensionFinanceCode]])-1,0)</f>
        <v>0</v>
      </c>
      <c r="R11" s="57">
        <f>IFERROR(IF(_xlfn.XLOOKUP(SRG[[#This Row],[WeeklyFteFinanceCode]],FC_import[FinanceCode],FC_import[LedgerCode])=_xlfn.XLOOKUP(SRG[[#This Row],[GrossSalaryFinanceCode]],FinanceCodesBudget[FinanceCode],FinanceCodesBudget[LedgerCode]),0,1),1)</f>
        <v>1</v>
      </c>
      <c r="S11" s="57">
        <f>IFERROR(IF(_xlfn.XLOOKUP(SRG[[#This Row],[AnnualFteFinanceCode]],FC_import[FinanceCode],FC_import[LedgerCode])=_xlfn.XLOOKUP(SRG[[#This Row],[GrossSalaryFinanceCode]],FinanceCodesBudget[FinanceCode],FinanceCodesBudget[LedgerCode]),0,1),1)</f>
        <v>1</v>
      </c>
      <c r="T11" s="57">
        <f>IFERROR(IF(_xlfn.XLOOKUP(SRG[[#This Row],[WeeklyFteLeaveAdjustmentFinanceCode]],FC_import[FinanceCode],FC_import[LedgerCode])=_xlfn.XLOOKUP(SRG[[#This Row],[GrossSalaryFinanceCode]],FinanceCodesBudget[FinanceCode],FinanceCodesBudget[LedgerCode]),0,1),1)</f>
        <v>1</v>
      </c>
      <c r="U11" s="57">
        <f>IFERROR(IF(_xlfn.XLOOKUP(SRG[[#This Row],[AnnualFteLeaveAdjustmentFinanceCode]],FC_import[FinanceCode],FC_import[LedgerCode])=_xlfn.XLOOKUP(SRG[[#This Row],[GrossSalaryFinanceCode]],FinanceCodesBudget[FinanceCode],FinanceCodesBudget[LedgerCode]),0,1),1)</f>
        <v>1</v>
      </c>
      <c r="V11" s="57">
        <f>IF(OR(SRG[[#This Row],[StaffRoleGroupEnabled]]=TRUE,SRG[[#This Row],[StaffRoleGroupEnabled]]=FALSE),IF(OR(SRG[[#This Row],[TeachingRoleGroup]]=TRUE,SRG[[#This Row],[TeachingRoleGroup]]=FALSE),0,1),1)</f>
        <v>0</v>
      </c>
      <c r="W11" s="57">
        <f>IF(LEN(SRG[[#This Row],[StaffRoleGroupCode]])&lt;100,0,1)</f>
        <v>0</v>
      </c>
      <c r="X11" s="57">
        <f>IF(LEN(SRG[[#This Row],[Title]])&lt;100,0,1)</f>
        <v>0</v>
      </c>
      <c r="Y11" s="57">
        <f>IF(SUBSTITUTE(TEXT(SRG[[#This Row],[StaffRoleGroupCode]],10)," ","")=TEXT(SRG[[#This Row],[StaffRoleGroupCode]],10),0,1)</f>
        <v>0</v>
      </c>
      <c r="Z11" s="57">
        <f>SUM(SRG[[#This Row],[Duplicate SRG Code]:[Space in Code]])</f>
        <v>13</v>
      </c>
      <c r="AB11" s="12" t="s">
        <v>1710</v>
      </c>
      <c r="AC11" s="12" t="s">
        <v>1711</v>
      </c>
      <c r="AD11" s="16"/>
      <c r="AE11" s="109">
        <f>SRG[[#This Row],[GrossSalaryFinanceCode]]</f>
        <v>0</v>
      </c>
      <c r="AF11" s="109">
        <f>SRG[[#This Row],[GrossSalaryFinanceCode]]</f>
        <v>0</v>
      </c>
      <c r="AG11" s="109">
        <f>SRG[[#This Row],[GrossSalaryFinanceCode]]</f>
        <v>0</v>
      </c>
      <c r="AH11" s="12" t="s">
        <v>1256</v>
      </c>
      <c r="AI11" s="12" t="s">
        <v>1254</v>
      </c>
      <c r="AJ11" s="16"/>
      <c r="AK11" s="16"/>
      <c r="AL11" s="12" t="s">
        <v>1258</v>
      </c>
      <c r="AM11" s="109">
        <f>SRG[[#This Row],[GrossSalaryFinanceCode]]</f>
        <v>0</v>
      </c>
      <c r="AN11" s="12" t="s">
        <v>1264</v>
      </c>
      <c r="AO11" s="12" t="s">
        <v>1172</v>
      </c>
      <c r="AP11" s="12" t="s">
        <v>1286</v>
      </c>
      <c r="AQ11" s="12" t="s">
        <v>1194</v>
      </c>
      <c r="AR11" s="15" t="b">
        <v>0</v>
      </c>
      <c r="AS11" s="15" t="b">
        <v>1</v>
      </c>
      <c r="AT11" s="12">
        <v>1</v>
      </c>
    </row>
    <row r="12" spans="1:46" x14ac:dyDescent="0.25">
      <c r="A12" s="57">
        <f>COUNTIF(SRG[StaffRoleGroupCode],SRG[[#This Row],[StaffRoleGroupCode]])-1</f>
        <v>0</v>
      </c>
      <c r="B12" s="57">
        <f>COUNTIF(SRG[Title],SRG[[#This Row],[Title]])-1</f>
        <v>0</v>
      </c>
      <c r="C12" s="57">
        <f>IFERROR(IF(_xlfn.XLOOKUP(SRG[[#This Row],[MinimumWageTopupFinanceCode]],FC_import[FinanceCode],FC_import[LedgerCode])=_xlfn.XLOOKUP(SRG[[#This Row],[GrossSalaryFinanceCode]],FinanceCodesBudget[FinanceCode],FinanceCodesBudget[LedgerCode]),0,1),1)</f>
        <v>1</v>
      </c>
      <c r="D12" s="57">
        <f>IFERROR(IF(_xlfn.XLOOKUP(SRG[[#This Row],[LivingWageTopupFinanceCode]],FC_import[FinanceCode],FC_import[LedgerCode])=_xlfn.XLOOKUP(SRG[[#This Row],[GrossSalaryFinanceCode]],FinanceCodesBudget[FinanceCode],FinanceCodesBudget[LedgerCode]),0,1),1)</f>
        <v>1</v>
      </c>
      <c r="E12" s="57">
        <f>IFERROR(IF(_xlfn.XLOOKUP(SRG[[#This Row],[OptOutPensionFinanceCode]],FC_import[FinanceCode],FC_import[LedgerCode])=_xlfn.XLOOKUP(SRG[[#This Row],[GrossSalaryFinanceCode]],FinanceCodesBudget[FinanceCode],FinanceCodesBudget[LedgerCode]),0,1),1)</f>
        <v>1</v>
      </c>
      <c r="F12" s="57">
        <f>IF(COUNTIF(FinanceCodesBudget[FinanceCode],SRG[[#This Row],[GrossSalaryFinanceCode]])&gt;0,0,1)</f>
        <v>1</v>
      </c>
      <c r="G12" s="57">
        <f>IF(SRG[[#This Row],[Gross Salary FC Issue]]=0,COUNTIF(FinanceCodesBudget[FinanceCode],SRG[[#This Row],[GrossSalaryFinanceCode]])-1,0)</f>
        <v>0</v>
      </c>
      <c r="H12" s="57">
        <f>IF(COUNTIF(FinanceCodesBudget[FinanceCode],SRG[[#This Row],[LeaveRebateFinanceCode]])&gt;0,0,1)</f>
        <v>1</v>
      </c>
      <c r="I12" s="57">
        <f>IF(SRG[[#This Row],[Leave Rebate FC Issue]]=0,COUNTIF(FinanceCodesBudget[FinanceCode],SRG[[#This Row],[LeaveRebateFinanceCode]])-1,0)</f>
        <v>0</v>
      </c>
      <c r="J12" s="57">
        <f>IF(COUNTIF(FinanceCodesBudget[FinanceCode],SRG[[#This Row],[AllowanceTypesFinanceCode]])&gt;0,0,1)</f>
        <v>1</v>
      </c>
      <c r="K12" s="57">
        <f>IF(SRG[[#This Row],[Allowance FC Issue]]=0,COUNTIF(FinanceCodesBudget[FinanceCode],SRG[[#This Row],[AllowanceTypesFinanceCode]])-1,0)</f>
        <v>0</v>
      </c>
      <c r="L12" s="57">
        <f>IF(COUNTIF(FinanceCodesBudget[FinanceCode],SRG[[#This Row],[AdjustmentsFinanceCode]])&gt;0,0,1)</f>
        <v>1</v>
      </c>
      <c r="M12" s="57">
        <f>IF(SRG[[#This Row],[Adj FC Issue]]=0,COUNTIF(FinanceCodesBudget[FinanceCode],SRG[[#This Row],[AdjustmentsFinanceCode]])-1,0)</f>
        <v>0</v>
      </c>
      <c r="N12" s="57">
        <f>IF(COUNTIF(FinanceCodesBudget[FinanceCode],SRG[[#This Row],[EmployersNiFinanceCode]])&gt;0,0,1)</f>
        <v>1</v>
      </c>
      <c r="O12" s="57">
        <f>IF(SRG[[#This Row],[NI FC Issue]]=0,COUNTIF(FinanceCodesBudget[FinanceCode],SRG[[#This Row],[EmployersNiFinanceCode]])-1,0)</f>
        <v>0</v>
      </c>
      <c r="P12" s="57">
        <f>IF(COUNTIF(FinanceCodesBudget[FinanceCode],SRG[[#This Row],[PensionFinanceCode]])&gt;0,0,1)</f>
        <v>1</v>
      </c>
      <c r="Q12" s="57">
        <f>IF(SRG[[#This Row],[Pension FC Issue]]=0,COUNTIF(FinanceCodesBudget[FinanceCode],SRG[[#This Row],[PensionFinanceCode]])-1,0)</f>
        <v>0</v>
      </c>
      <c r="R12" s="57">
        <f>IFERROR(IF(_xlfn.XLOOKUP(SRG[[#This Row],[WeeklyFteFinanceCode]],FC_import[FinanceCode],FC_import[LedgerCode])=_xlfn.XLOOKUP(SRG[[#This Row],[GrossSalaryFinanceCode]],FinanceCodesBudget[FinanceCode],FinanceCodesBudget[LedgerCode]),0,1),1)</f>
        <v>1</v>
      </c>
      <c r="S12" s="57">
        <f>IFERROR(IF(_xlfn.XLOOKUP(SRG[[#This Row],[AnnualFteFinanceCode]],FC_import[FinanceCode],FC_import[LedgerCode])=_xlfn.XLOOKUP(SRG[[#This Row],[GrossSalaryFinanceCode]],FinanceCodesBudget[FinanceCode],FinanceCodesBudget[LedgerCode]),0,1),1)</f>
        <v>1</v>
      </c>
      <c r="T12" s="57">
        <f>IFERROR(IF(_xlfn.XLOOKUP(SRG[[#This Row],[WeeklyFteLeaveAdjustmentFinanceCode]],FC_import[FinanceCode],FC_import[LedgerCode])=_xlfn.XLOOKUP(SRG[[#This Row],[GrossSalaryFinanceCode]],FinanceCodesBudget[FinanceCode],FinanceCodesBudget[LedgerCode]),0,1),1)</f>
        <v>1</v>
      </c>
      <c r="U12" s="57">
        <f>IFERROR(IF(_xlfn.XLOOKUP(SRG[[#This Row],[AnnualFteLeaveAdjustmentFinanceCode]],FC_import[FinanceCode],FC_import[LedgerCode])=_xlfn.XLOOKUP(SRG[[#This Row],[GrossSalaryFinanceCode]],FinanceCodesBudget[FinanceCode],FinanceCodesBudget[LedgerCode]),0,1),1)</f>
        <v>1</v>
      </c>
      <c r="V12" s="57">
        <f>IF(OR(SRG[[#This Row],[StaffRoleGroupEnabled]]=TRUE,SRG[[#This Row],[StaffRoleGroupEnabled]]=FALSE),IF(OR(SRG[[#This Row],[TeachingRoleGroup]]=TRUE,SRG[[#This Row],[TeachingRoleGroup]]=FALSE),0,1),1)</f>
        <v>0</v>
      </c>
      <c r="W12" s="57">
        <f>IF(LEN(SRG[[#This Row],[StaffRoleGroupCode]])&lt;100,0,1)</f>
        <v>0</v>
      </c>
      <c r="X12" s="57">
        <f>IF(LEN(SRG[[#This Row],[Title]])&lt;100,0,1)</f>
        <v>0</v>
      </c>
      <c r="Y12" s="57">
        <f>IF(SUBSTITUTE(TEXT(SRG[[#This Row],[StaffRoleGroupCode]],10)," ","")=TEXT(SRG[[#This Row],[StaffRoleGroupCode]],10),0,1)</f>
        <v>0</v>
      </c>
      <c r="Z12" s="57">
        <f>SUM(SRG[[#This Row],[Duplicate SRG Code]:[Space in Code]])</f>
        <v>13</v>
      </c>
      <c r="AB12" s="12" t="s">
        <v>1712</v>
      </c>
      <c r="AC12" s="12" t="s">
        <v>1713</v>
      </c>
      <c r="AD12" s="16"/>
      <c r="AE12" s="109">
        <f>SRG[[#This Row],[GrossSalaryFinanceCode]]</f>
        <v>0</v>
      </c>
      <c r="AF12" s="109">
        <f>SRG[[#This Row],[GrossSalaryFinanceCode]]</f>
        <v>0</v>
      </c>
      <c r="AG12" s="109">
        <f>SRG[[#This Row],[GrossSalaryFinanceCode]]</f>
        <v>0</v>
      </c>
      <c r="AH12" s="12" t="s">
        <v>1256</v>
      </c>
      <c r="AI12" s="12" t="s">
        <v>1254</v>
      </c>
      <c r="AJ12" s="16"/>
      <c r="AK12" s="16"/>
      <c r="AL12" s="12" t="s">
        <v>1258</v>
      </c>
      <c r="AM12" s="109">
        <f>SRG[[#This Row],[GrossSalaryFinanceCode]]</f>
        <v>0</v>
      </c>
      <c r="AN12" s="12" t="s">
        <v>1262</v>
      </c>
      <c r="AO12" s="12" t="s">
        <v>1170</v>
      </c>
      <c r="AP12" s="12" t="s">
        <v>1284</v>
      </c>
      <c r="AQ12" s="12" t="s">
        <v>1192</v>
      </c>
      <c r="AR12" s="15" t="b">
        <v>0</v>
      </c>
      <c r="AS12" s="15" t="b">
        <v>1</v>
      </c>
      <c r="AT12" s="12">
        <v>1</v>
      </c>
    </row>
    <row r="13" spans="1:46" x14ac:dyDescent="0.25">
      <c r="A13" s="57">
        <f>COUNTIF(SRG[StaffRoleGroupCode],SRG[[#This Row],[StaffRoleGroupCode]])-1</f>
        <v>0</v>
      </c>
      <c r="B13" s="57">
        <f>COUNTIF(SRG[Title],SRG[[#This Row],[Title]])-1</f>
        <v>0</v>
      </c>
      <c r="C13" s="57">
        <f>IFERROR(IF(_xlfn.XLOOKUP(SRG[[#This Row],[MinimumWageTopupFinanceCode]],FC_import[FinanceCode],FC_import[LedgerCode])=_xlfn.XLOOKUP(SRG[[#This Row],[GrossSalaryFinanceCode]],FinanceCodesBudget[FinanceCode],FinanceCodesBudget[LedgerCode]),0,1),1)</f>
        <v>1</v>
      </c>
      <c r="D13" s="57">
        <f>IFERROR(IF(_xlfn.XLOOKUP(SRG[[#This Row],[LivingWageTopupFinanceCode]],FC_import[FinanceCode],FC_import[LedgerCode])=_xlfn.XLOOKUP(SRG[[#This Row],[GrossSalaryFinanceCode]],FinanceCodesBudget[FinanceCode],FinanceCodesBudget[LedgerCode]),0,1),1)</f>
        <v>1</v>
      </c>
      <c r="E13" s="57">
        <f>IFERROR(IF(_xlfn.XLOOKUP(SRG[[#This Row],[OptOutPensionFinanceCode]],FC_import[FinanceCode],FC_import[LedgerCode])=_xlfn.XLOOKUP(SRG[[#This Row],[GrossSalaryFinanceCode]],FinanceCodesBudget[FinanceCode],FinanceCodesBudget[LedgerCode]),0,1),1)</f>
        <v>1</v>
      </c>
      <c r="F13" s="57">
        <f>IF(COUNTIF(FinanceCodesBudget[FinanceCode],SRG[[#This Row],[GrossSalaryFinanceCode]])&gt;0,0,1)</f>
        <v>1</v>
      </c>
      <c r="G13" s="57">
        <f>IF(SRG[[#This Row],[Gross Salary FC Issue]]=0,COUNTIF(FinanceCodesBudget[FinanceCode],SRG[[#This Row],[GrossSalaryFinanceCode]])-1,0)</f>
        <v>0</v>
      </c>
      <c r="H13" s="57">
        <f>IF(COUNTIF(FinanceCodesBudget[FinanceCode],SRG[[#This Row],[LeaveRebateFinanceCode]])&gt;0,0,1)</f>
        <v>1</v>
      </c>
      <c r="I13" s="57">
        <f>IF(SRG[[#This Row],[Leave Rebate FC Issue]]=0,COUNTIF(FinanceCodesBudget[FinanceCode],SRG[[#This Row],[LeaveRebateFinanceCode]])-1,0)</f>
        <v>0</v>
      </c>
      <c r="J13" s="57">
        <f>IF(COUNTIF(FinanceCodesBudget[FinanceCode],SRG[[#This Row],[AllowanceTypesFinanceCode]])&gt;0,0,1)</f>
        <v>1</v>
      </c>
      <c r="K13" s="57">
        <f>IF(SRG[[#This Row],[Allowance FC Issue]]=0,COUNTIF(FinanceCodesBudget[FinanceCode],SRG[[#This Row],[AllowanceTypesFinanceCode]])-1,0)</f>
        <v>0</v>
      </c>
      <c r="L13" s="57">
        <f>IF(COUNTIF(FinanceCodesBudget[FinanceCode],SRG[[#This Row],[AdjustmentsFinanceCode]])&gt;0,0,1)</f>
        <v>1</v>
      </c>
      <c r="M13" s="57">
        <f>IF(SRG[[#This Row],[Adj FC Issue]]=0,COUNTIF(FinanceCodesBudget[FinanceCode],SRG[[#This Row],[AdjustmentsFinanceCode]])-1,0)</f>
        <v>0</v>
      </c>
      <c r="N13" s="57">
        <f>IF(COUNTIF(FinanceCodesBudget[FinanceCode],SRG[[#This Row],[EmployersNiFinanceCode]])&gt;0,0,1)</f>
        <v>1</v>
      </c>
      <c r="O13" s="57">
        <f>IF(SRG[[#This Row],[NI FC Issue]]=0,COUNTIF(FinanceCodesBudget[FinanceCode],SRG[[#This Row],[EmployersNiFinanceCode]])-1,0)</f>
        <v>0</v>
      </c>
      <c r="P13" s="57">
        <f>IF(COUNTIF(FinanceCodesBudget[FinanceCode],SRG[[#This Row],[PensionFinanceCode]])&gt;0,0,1)</f>
        <v>1</v>
      </c>
      <c r="Q13" s="57">
        <f>IF(SRG[[#This Row],[Pension FC Issue]]=0,COUNTIF(FinanceCodesBudget[FinanceCode],SRG[[#This Row],[PensionFinanceCode]])-1,0)</f>
        <v>0</v>
      </c>
      <c r="R13" s="57">
        <f>IFERROR(IF(_xlfn.XLOOKUP(SRG[[#This Row],[WeeklyFteFinanceCode]],FC_import[FinanceCode],FC_import[LedgerCode])=_xlfn.XLOOKUP(SRG[[#This Row],[GrossSalaryFinanceCode]],FinanceCodesBudget[FinanceCode],FinanceCodesBudget[LedgerCode]),0,1),1)</f>
        <v>1</v>
      </c>
      <c r="S13" s="57">
        <f>IFERROR(IF(_xlfn.XLOOKUP(SRG[[#This Row],[AnnualFteFinanceCode]],FC_import[FinanceCode],FC_import[LedgerCode])=_xlfn.XLOOKUP(SRG[[#This Row],[GrossSalaryFinanceCode]],FinanceCodesBudget[FinanceCode],FinanceCodesBudget[LedgerCode]),0,1),1)</f>
        <v>1</v>
      </c>
      <c r="T13" s="57">
        <f>IFERROR(IF(_xlfn.XLOOKUP(SRG[[#This Row],[WeeklyFteLeaveAdjustmentFinanceCode]],FC_import[FinanceCode],FC_import[LedgerCode])=_xlfn.XLOOKUP(SRG[[#This Row],[GrossSalaryFinanceCode]],FinanceCodesBudget[FinanceCode],FinanceCodesBudget[LedgerCode]),0,1),1)</f>
        <v>1</v>
      </c>
      <c r="U13" s="57">
        <f>IFERROR(IF(_xlfn.XLOOKUP(SRG[[#This Row],[AnnualFteLeaveAdjustmentFinanceCode]],FC_import[FinanceCode],FC_import[LedgerCode])=_xlfn.XLOOKUP(SRG[[#This Row],[GrossSalaryFinanceCode]],FinanceCodesBudget[FinanceCode],FinanceCodesBudget[LedgerCode]),0,1),1)</f>
        <v>1</v>
      </c>
      <c r="V13" s="57">
        <f>IF(OR(SRG[[#This Row],[StaffRoleGroupEnabled]]=TRUE,SRG[[#This Row],[StaffRoleGroupEnabled]]=FALSE),IF(OR(SRG[[#This Row],[TeachingRoleGroup]]=TRUE,SRG[[#This Row],[TeachingRoleGroup]]=FALSE),0,1),1)</f>
        <v>0</v>
      </c>
      <c r="W13" s="57">
        <f>IF(LEN(SRG[[#This Row],[StaffRoleGroupCode]])&lt;100,0,1)</f>
        <v>0</v>
      </c>
      <c r="X13" s="57">
        <f>IF(LEN(SRG[[#This Row],[Title]])&lt;100,0,1)</f>
        <v>0</v>
      </c>
      <c r="Y13" s="57">
        <f>IF(SUBSTITUTE(TEXT(SRG[[#This Row],[StaffRoleGroupCode]],10)," ","")=TEXT(SRG[[#This Row],[StaffRoleGroupCode]],10),0,1)</f>
        <v>0</v>
      </c>
      <c r="Z13" s="57">
        <f>SUM(SRG[[#This Row],[Duplicate SRG Code]:[Space in Code]])</f>
        <v>13</v>
      </c>
      <c r="AB13" s="12" t="s">
        <v>1714</v>
      </c>
      <c r="AC13" s="12" t="s">
        <v>1715</v>
      </c>
      <c r="AD13" s="16"/>
      <c r="AE13" s="109">
        <f>SRG[[#This Row],[GrossSalaryFinanceCode]]</f>
        <v>0</v>
      </c>
      <c r="AF13" s="109">
        <f>SRG[[#This Row],[GrossSalaryFinanceCode]]</f>
        <v>0</v>
      </c>
      <c r="AG13" s="109">
        <f>SRG[[#This Row],[GrossSalaryFinanceCode]]</f>
        <v>0</v>
      </c>
      <c r="AH13" s="12" t="s">
        <v>1256</v>
      </c>
      <c r="AI13" s="12" t="s">
        <v>1254</v>
      </c>
      <c r="AJ13" s="16"/>
      <c r="AK13" s="16"/>
      <c r="AL13" s="12" t="s">
        <v>1258</v>
      </c>
      <c r="AM13" s="109">
        <f>SRG[[#This Row],[GrossSalaryFinanceCode]]</f>
        <v>0</v>
      </c>
      <c r="AN13" s="12" t="s">
        <v>1331</v>
      </c>
      <c r="AO13" s="12" t="s">
        <v>1239</v>
      </c>
      <c r="AP13" s="12" t="s">
        <v>1310</v>
      </c>
      <c r="AQ13" s="12" t="s">
        <v>1218</v>
      </c>
      <c r="AR13" s="15" t="b">
        <v>0</v>
      </c>
      <c r="AS13" s="15" t="b">
        <v>1</v>
      </c>
      <c r="AT13" s="12">
        <v>1</v>
      </c>
    </row>
    <row r="14" spans="1:46" x14ac:dyDescent="0.25">
      <c r="A14" s="57">
        <f>COUNTIF(SRG[StaffRoleGroupCode],SRG[[#This Row],[StaffRoleGroupCode]])-1</f>
        <v>0</v>
      </c>
      <c r="B14" s="57">
        <f>COUNTIF(SRG[Title],SRG[[#This Row],[Title]])-1</f>
        <v>0</v>
      </c>
      <c r="C14" s="57">
        <f>IFERROR(IF(_xlfn.XLOOKUP(SRG[[#This Row],[MinimumWageTopupFinanceCode]],FC_import[FinanceCode],FC_import[LedgerCode])=_xlfn.XLOOKUP(SRG[[#This Row],[GrossSalaryFinanceCode]],FinanceCodesBudget[FinanceCode],FinanceCodesBudget[LedgerCode]),0,1),1)</f>
        <v>1</v>
      </c>
      <c r="D14" s="57">
        <f>IFERROR(IF(_xlfn.XLOOKUP(SRG[[#This Row],[LivingWageTopupFinanceCode]],FC_import[FinanceCode],FC_import[LedgerCode])=_xlfn.XLOOKUP(SRG[[#This Row],[GrossSalaryFinanceCode]],FinanceCodesBudget[FinanceCode],FinanceCodesBudget[LedgerCode]),0,1),1)</f>
        <v>1</v>
      </c>
      <c r="E14" s="57">
        <f>IFERROR(IF(_xlfn.XLOOKUP(SRG[[#This Row],[OptOutPensionFinanceCode]],FC_import[FinanceCode],FC_import[LedgerCode])=_xlfn.XLOOKUP(SRG[[#This Row],[GrossSalaryFinanceCode]],FinanceCodesBudget[FinanceCode],FinanceCodesBudget[LedgerCode]),0,1),1)</f>
        <v>1</v>
      </c>
      <c r="F14" s="57">
        <f>IF(COUNTIF(FinanceCodesBudget[FinanceCode],SRG[[#This Row],[GrossSalaryFinanceCode]])&gt;0,0,1)</f>
        <v>1</v>
      </c>
      <c r="G14" s="57">
        <f>IF(SRG[[#This Row],[Gross Salary FC Issue]]=0,COUNTIF(FinanceCodesBudget[FinanceCode],SRG[[#This Row],[GrossSalaryFinanceCode]])-1,0)</f>
        <v>0</v>
      </c>
      <c r="H14" s="57">
        <f>IF(COUNTIF(FinanceCodesBudget[FinanceCode],SRG[[#This Row],[LeaveRebateFinanceCode]])&gt;0,0,1)</f>
        <v>1</v>
      </c>
      <c r="I14" s="57">
        <f>IF(SRG[[#This Row],[Leave Rebate FC Issue]]=0,COUNTIF(FinanceCodesBudget[FinanceCode],SRG[[#This Row],[LeaveRebateFinanceCode]])-1,0)</f>
        <v>0</v>
      </c>
      <c r="J14" s="57">
        <f>IF(COUNTIF(FinanceCodesBudget[FinanceCode],SRG[[#This Row],[AllowanceTypesFinanceCode]])&gt;0,0,1)</f>
        <v>1</v>
      </c>
      <c r="K14" s="57">
        <f>IF(SRG[[#This Row],[Allowance FC Issue]]=0,COUNTIF(FinanceCodesBudget[FinanceCode],SRG[[#This Row],[AllowanceTypesFinanceCode]])-1,0)</f>
        <v>0</v>
      </c>
      <c r="L14" s="57">
        <f>IF(COUNTIF(FinanceCodesBudget[FinanceCode],SRG[[#This Row],[AdjustmentsFinanceCode]])&gt;0,0,1)</f>
        <v>1</v>
      </c>
      <c r="M14" s="57">
        <f>IF(SRG[[#This Row],[Adj FC Issue]]=0,COUNTIF(FinanceCodesBudget[FinanceCode],SRG[[#This Row],[AdjustmentsFinanceCode]])-1,0)</f>
        <v>0</v>
      </c>
      <c r="N14" s="57">
        <f>IF(COUNTIF(FinanceCodesBudget[FinanceCode],SRG[[#This Row],[EmployersNiFinanceCode]])&gt;0,0,1)</f>
        <v>1</v>
      </c>
      <c r="O14" s="57">
        <f>IF(SRG[[#This Row],[NI FC Issue]]=0,COUNTIF(FinanceCodesBudget[FinanceCode],SRG[[#This Row],[EmployersNiFinanceCode]])-1,0)</f>
        <v>0</v>
      </c>
      <c r="P14" s="57">
        <f>IF(COUNTIF(FinanceCodesBudget[FinanceCode],SRG[[#This Row],[PensionFinanceCode]])&gt;0,0,1)</f>
        <v>1</v>
      </c>
      <c r="Q14" s="57">
        <f>IF(SRG[[#This Row],[Pension FC Issue]]=0,COUNTIF(FinanceCodesBudget[FinanceCode],SRG[[#This Row],[PensionFinanceCode]])-1,0)</f>
        <v>0</v>
      </c>
      <c r="R14" s="57">
        <f>IFERROR(IF(_xlfn.XLOOKUP(SRG[[#This Row],[WeeklyFteFinanceCode]],FC_import[FinanceCode],FC_import[LedgerCode])=_xlfn.XLOOKUP(SRG[[#This Row],[GrossSalaryFinanceCode]],FinanceCodesBudget[FinanceCode],FinanceCodesBudget[LedgerCode]),0,1),1)</f>
        <v>1</v>
      </c>
      <c r="S14" s="57">
        <f>IFERROR(IF(_xlfn.XLOOKUP(SRG[[#This Row],[AnnualFteFinanceCode]],FC_import[FinanceCode],FC_import[LedgerCode])=_xlfn.XLOOKUP(SRG[[#This Row],[GrossSalaryFinanceCode]],FinanceCodesBudget[FinanceCode],FinanceCodesBudget[LedgerCode]),0,1),1)</f>
        <v>1</v>
      </c>
      <c r="T14" s="57">
        <f>IFERROR(IF(_xlfn.XLOOKUP(SRG[[#This Row],[WeeklyFteLeaveAdjustmentFinanceCode]],FC_import[FinanceCode],FC_import[LedgerCode])=_xlfn.XLOOKUP(SRG[[#This Row],[GrossSalaryFinanceCode]],FinanceCodesBudget[FinanceCode],FinanceCodesBudget[LedgerCode]),0,1),1)</f>
        <v>1</v>
      </c>
      <c r="U14" s="57">
        <f>IFERROR(IF(_xlfn.XLOOKUP(SRG[[#This Row],[AnnualFteLeaveAdjustmentFinanceCode]],FC_import[FinanceCode],FC_import[LedgerCode])=_xlfn.XLOOKUP(SRG[[#This Row],[GrossSalaryFinanceCode]],FinanceCodesBudget[FinanceCode],FinanceCodesBudget[LedgerCode]),0,1),1)</f>
        <v>1</v>
      </c>
      <c r="V14" s="57">
        <f>IF(OR(SRG[[#This Row],[StaffRoleGroupEnabled]]=TRUE,SRG[[#This Row],[StaffRoleGroupEnabled]]=FALSE),IF(OR(SRG[[#This Row],[TeachingRoleGroup]]=TRUE,SRG[[#This Row],[TeachingRoleGroup]]=FALSE),0,1),1)</f>
        <v>0</v>
      </c>
      <c r="W14" s="57">
        <f>IF(LEN(SRG[[#This Row],[StaffRoleGroupCode]])&lt;100,0,1)</f>
        <v>0</v>
      </c>
      <c r="X14" s="57">
        <f>IF(LEN(SRG[[#This Row],[Title]])&lt;100,0,1)</f>
        <v>0</v>
      </c>
      <c r="Y14" s="57">
        <f>IF(SUBSTITUTE(TEXT(SRG[[#This Row],[StaffRoleGroupCode]],10)," ","")=TEXT(SRG[[#This Row],[StaffRoleGroupCode]],10),0,1)</f>
        <v>0</v>
      </c>
      <c r="Z14" s="57">
        <f>SUM(SRG[[#This Row],[Duplicate SRG Code]:[Space in Code]])</f>
        <v>13</v>
      </c>
      <c r="AB14" s="12" t="s">
        <v>1716</v>
      </c>
      <c r="AC14" s="12" t="s">
        <v>1717</v>
      </c>
      <c r="AD14" s="16"/>
      <c r="AE14" s="109">
        <f>SRG[[#This Row],[GrossSalaryFinanceCode]]</f>
        <v>0</v>
      </c>
      <c r="AF14" s="109">
        <f>SRG[[#This Row],[GrossSalaryFinanceCode]]</f>
        <v>0</v>
      </c>
      <c r="AG14" s="109">
        <f>SRG[[#This Row],[GrossSalaryFinanceCode]]</f>
        <v>0</v>
      </c>
      <c r="AH14" s="12" t="s">
        <v>1256</v>
      </c>
      <c r="AI14" s="12" t="s">
        <v>1254</v>
      </c>
      <c r="AJ14" s="16"/>
      <c r="AK14" s="16"/>
      <c r="AL14" s="12" t="s">
        <v>1258</v>
      </c>
      <c r="AM14" s="109">
        <f>SRG[[#This Row],[GrossSalaryFinanceCode]]</f>
        <v>0</v>
      </c>
      <c r="AN14" s="12" t="s">
        <v>1333</v>
      </c>
      <c r="AO14" s="12" t="s">
        <v>1241</v>
      </c>
      <c r="AP14" s="12" t="s">
        <v>1312</v>
      </c>
      <c r="AQ14" s="12" t="s">
        <v>1220</v>
      </c>
      <c r="AR14" s="15" t="b">
        <v>0</v>
      </c>
      <c r="AS14" s="15" t="b">
        <v>1</v>
      </c>
      <c r="AT14" s="12">
        <v>1</v>
      </c>
    </row>
    <row r="15" spans="1:46" x14ac:dyDescent="0.25">
      <c r="A15" s="57">
        <f>COUNTIF(SRG[StaffRoleGroupCode],SRG[[#This Row],[StaffRoleGroupCode]])-1</f>
        <v>0</v>
      </c>
      <c r="B15" s="57">
        <f>COUNTIF(SRG[Title],SRG[[#This Row],[Title]])-1</f>
        <v>0</v>
      </c>
      <c r="C15" s="57">
        <f>IFERROR(IF(_xlfn.XLOOKUP(SRG[[#This Row],[MinimumWageTopupFinanceCode]],FC_import[FinanceCode],FC_import[LedgerCode])=_xlfn.XLOOKUP(SRG[[#This Row],[GrossSalaryFinanceCode]],FinanceCodesBudget[FinanceCode],FinanceCodesBudget[LedgerCode]),0,1),1)</f>
        <v>1</v>
      </c>
      <c r="D15" s="57">
        <f>IFERROR(IF(_xlfn.XLOOKUP(SRG[[#This Row],[LivingWageTopupFinanceCode]],FC_import[FinanceCode],FC_import[LedgerCode])=_xlfn.XLOOKUP(SRG[[#This Row],[GrossSalaryFinanceCode]],FinanceCodesBudget[FinanceCode],FinanceCodesBudget[LedgerCode]),0,1),1)</f>
        <v>1</v>
      </c>
      <c r="E15" s="57">
        <f>IFERROR(IF(_xlfn.XLOOKUP(SRG[[#This Row],[OptOutPensionFinanceCode]],FC_import[FinanceCode],FC_import[LedgerCode])=_xlfn.XLOOKUP(SRG[[#This Row],[GrossSalaryFinanceCode]],FinanceCodesBudget[FinanceCode],FinanceCodesBudget[LedgerCode]),0,1),1)</f>
        <v>1</v>
      </c>
      <c r="F15" s="57">
        <f>IF(COUNTIF(FinanceCodesBudget[FinanceCode],SRG[[#This Row],[GrossSalaryFinanceCode]])&gt;0,0,1)</f>
        <v>1</v>
      </c>
      <c r="G15" s="57">
        <f>IF(SRG[[#This Row],[Gross Salary FC Issue]]=0,COUNTIF(FinanceCodesBudget[FinanceCode],SRG[[#This Row],[GrossSalaryFinanceCode]])-1,0)</f>
        <v>0</v>
      </c>
      <c r="H15" s="57">
        <f>IF(COUNTIF(FinanceCodesBudget[FinanceCode],SRG[[#This Row],[LeaveRebateFinanceCode]])&gt;0,0,1)</f>
        <v>1</v>
      </c>
      <c r="I15" s="57">
        <f>IF(SRG[[#This Row],[Leave Rebate FC Issue]]=0,COUNTIF(FinanceCodesBudget[FinanceCode],SRG[[#This Row],[LeaveRebateFinanceCode]])-1,0)</f>
        <v>0</v>
      </c>
      <c r="J15" s="57">
        <f>IF(COUNTIF(FinanceCodesBudget[FinanceCode],SRG[[#This Row],[AllowanceTypesFinanceCode]])&gt;0,0,1)</f>
        <v>1</v>
      </c>
      <c r="K15" s="57">
        <f>IF(SRG[[#This Row],[Allowance FC Issue]]=0,COUNTIF(FinanceCodesBudget[FinanceCode],SRG[[#This Row],[AllowanceTypesFinanceCode]])-1,0)</f>
        <v>0</v>
      </c>
      <c r="L15" s="57">
        <f>IF(COUNTIF(FinanceCodesBudget[FinanceCode],SRG[[#This Row],[AdjustmentsFinanceCode]])&gt;0,0,1)</f>
        <v>1</v>
      </c>
      <c r="M15" s="57">
        <f>IF(SRG[[#This Row],[Adj FC Issue]]=0,COUNTIF(FinanceCodesBudget[FinanceCode],SRG[[#This Row],[AdjustmentsFinanceCode]])-1,0)</f>
        <v>0</v>
      </c>
      <c r="N15" s="57">
        <f>IF(COUNTIF(FinanceCodesBudget[FinanceCode],SRG[[#This Row],[EmployersNiFinanceCode]])&gt;0,0,1)</f>
        <v>1</v>
      </c>
      <c r="O15" s="57">
        <f>IF(SRG[[#This Row],[NI FC Issue]]=0,COUNTIF(FinanceCodesBudget[FinanceCode],SRG[[#This Row],[EmployersNiFinanceCode]])-1,0)</f>
        <v>0</v>
      </c>
      <c r="P15" s="57">
        <f>IF(COUNTIF(FinanceCodesBudget[FinanceCode],SRG[[#This Row],[PensionFinanceCode]])&gt;0,0,1)</f>
        <v>1</v>
      </c>
      <c r="Q15" s="57">
        <f>IF(SRG[[#This Row],[Pension FC Issue]]=0,COUNTIF(FinanceCodesBudget[FinanceCode],SRG[[#This Row],[PensionFinanceCode]])-1,0)</f>
        <v>0</v>
      </c>
      <c r="R15" s="57">
        <f>IFERROR(IF(_xlfn.XLOOKUP(SRG[[#This Row],[WeeklyFteFinanceCode]],FC_import[FinanceCode],FC_import[LedgerCode])=_xlfn.XLOOKUP(SRG[[#This Row],[GrossSalaryFinanceCode]],FinanceCodesBudget[FinanceCode],FinanceCodesBudget[LedgerCode]),0,1),1)</f>
        <v>1</v>
      </c>
      <c r="S15" s="57">
        <f>IFERROR(IF(_xlfn.XLOOKUP(SRG[[#This Row],[AnnualFteFinanceCode]],FC_import[FinanceCode],FC_import[LedgerCode])=_xlfn.XLOOKUP(SRG[[#This Row],[GrossSalaryFinanceCode]],FinanceCodesBudget[FinanceCode],FinanceCodesBudget[LedgerCode]),0,1),1)</f>
        <v>1</v>
      </c>
      <c r="T15" s="57">
        <f>IFERROR(IF(_xlfn.XLOOKUP(SRG[[#This Row],[WeeklyFteLeaveAdjustmentFinanceCode]],FC_import[FinanceCode],FC_import[LedgerCode])=_xlfn.XLOOKUP(SRG[[#This Row],[GrossSalaryFinanceCode]],FinanceCodesBudget[FinanceCode],FinanceCodesBudget[LedgerCode]),0,1),1)</f>
        <v>1</v>
      </c>
      <c r="U15" s="57">
        <f>IFERROR(IF(_xlfn.XLOOKUP(SRG[[#This Row],[AnnualFteLeaveAdjustmentFinanceCode]],FC_import[FinanceCode],FC_import[LedgerCode])=_xlfn.XLOOKUP(SRG[[#This Row],[GrossSalaryFinanceCode]],FinanceCodesBudget[FinanceCode],FinanceCodesBudget[LedgerCode]),0,1),1)</f>
        <v>1</v>
      </c>
      <c r="V15" s="57">
        <f>IF(OR(SRG[[#This Row],[StaffRoleGroupEnabled]]=TRUE,SRG[[#This Row],[StaffRoleGroupEnabled]]=FALSE),IF(OR(SRG[[#This Row],[TeachingRoleGroup]]=TRUE,SRG[[#This Row],[TeachingRoleGroup]]=FALSE),0,1),1)</f>
        <v>0</v>
      </c>
      <c r="W15" s="57">
        <f>IF(LEN(SRG[[#This Row],[StaffRoleGroupCode]])&lt;100,0,1)</f>
        <v>0</v>
      </c>
      <c r="X15" s="57">
        <f>IF(LEN(SRG[[#This Row],[Title]])&lt;100,0,1)</f>
        <v>0</v>
      </c>
      <c r="Y15" s="57">
        <f>IF(SUBSTITUTE(TEXT(SRG[[#This Row],[StaffRoleGroupCode]],10)," ","")=TEXT(SRG[[#This Row],[StaffRoleGroupCode]],10),0,1)</f>
        <v>0</v>
      </c>
      <c r="Z15" s="57">
        <f>SUM(SRG[[#This Row],[Duplicate SRG Code]:[Space in Code]])</f>
        <v>13</v>
      </c>
      <c r="AB15" s="12" t="s">
        <v>1718</v>
      </c>
      <c r="AC15" s="12" t="s">
        <v>1719</v>
      </c>
      <c r="AD15" s="16"/>
      <c r="AE15" s="109">
        <f>SRG[[#This Row],[GrossSalaryFinanceCode]]</f>
        <v>0</v>
      </c>
      <c r="AF15" s="109">
        <f>SRG[[#This Row],[GrossSalaryFinanceCode]]</f>
        <v>0</v>
      </c>
      <c r="AG15" s="109">
        <f>SRG[[#This Row],[GrossSalaryFinanceCode]]</f>
        <v>0</v>
      </c>
      <c r="AH15" s="12" t="s">
        <v>1256</v>
      </c>
      <c r="AI15" s="12" t="s">
        <v>1254</v>
      </c>
      <c r="AJ15" s="16"/>
      <c r="AK15" s="16"/>
      <c r="AL15" s="12" t="s">
        <v>1258</v>
      </c>
      <c r="AM15" s="109">
        <f>SRG[[#This Row],[GrossSalaryFinanceCode]]</f>
        <v>0</v>
      </c>
      <c r="AN15" s="12" t="s">
        <v>1278</v>
      </c>
      <c r="AO15" s="12" t="s">
        <v>1186</v>
      </c>
      <c r="AP15" s="12" t="s">
        <v>1300</v>
      </c>
      <c r="AQ15" s="12" t="s">
        <v>1208</v>
      </c>
      <c r="AR15" s="15" t="b">
        <v>0</v>
      </c>
      <c r="AS15" s="15" t="b">
        <v>1</v>
      </c>
      <c r="AT15" s="12">
        <v>1</v>
      </c>
    </row>
    <row r="16" spans="1:46" x14ac:dyDescent="0.25">
      <c r="A16" s="57">
        <f>COUNTIF(SRG[StaffRoleGroupCode],SRG[[#This Row],[StaffRoleGroupCode]])-1</f>
        <v>0</v>
      </c>
      <c r="B16" s="57">
        <f>COUNTIF(SRG[Title],SRG[[#This Row],[Title]])-1</f>
        <v>0</v>
      </c>
      <c r="C16" s="57">
        <f>IFERROR(IF(_xlfn.XLOOKUP(SRG[[#This Row],[MinimumWageTopupFinanceCode]],FC_import[FinanceCode],FC_import[LedgerCode])=_xlfn.XLOOKUP(SRG[[#This Row],[GrossSalaryFinanceCode]],FinanceCodesBudget[FinanceCode],FinanceCodesBudget[LedgerCode]),0,1),1)</f>
        <v>1</v>
      </c>
      <c r="D16" s="57">
        <f>IFERROR(IF(_xlfn.XLOOKUP(SRG[[#This Row],[LivingWageTopupFinanceCode]],FC_import[FinanceCode],FC_import[LedgerCode])=_xlfn.XLOOKUP(SRG[[#This Row],[GrossSalaryFinanceCode]],FinanceCodesBudget[FinanceCode],FinanceCodesBudget[LedgerCode]),0,1),1)</f>
        <v>1</v>
      </c>
      <c r="E16" s="57">
        <f>IFERROR(IF(_xlfn.XLOOKUP(SRG[[#This Row],[OptOutPensionFinanceCode]],FC_import[FinanceCode],FC_import[LedgerCode])=_xlfn.XLOOKUP(SRG[[#This Row],[GrossSalaryFinanceCode]],FinanceCodesBudget[FinanceCode],FinanceCodesBudget[LedgerCode]),0,1),1)</f>
        <v>1</v>
      </c>
      <c r="F16" s="57">
        <f>IF(COUNTIF(FinanceCodesBudget[FinanceCode],SRG[[#This Row],[GrossSalaryFinanceCode]])&gt;0,0,1)</f>
        <v>1</v>
      </c>
      <c r="G16" s="57">
        <f>IF(SRG[[#This Row],[Gross Salary FC Issue]]=0,COUNTIF(FinanceCodesBudget[FinanceCode],SRG[[#This Row],[GrossSalaryFinanceCode]])-1,0)</f>
        <v>0</v>
      </c>
      <c r="H16" s="57">
        <f>IF(COUNTIF(FinanceCodesBudget[FinanceCode],SRG[[#This Row],[LeaveRebateFinanceCode]])&gt;0,0,1)</f>
        <v>1</v>
      </c>
      <c r="I16" s="57">
        <f>IF(SRG[[#This Row],[Leave Rebate FC Issue]]=0,COUNTIF(FinanceCodesBudget[FinanceCode],SRG[[#This Row],[LeaveRebateFinanceCode]])-1,0)</f>
        <v>0</v>
      </c>
      <c r="J16" s="57">
        <f>IF(COUNTIF(FinanceCodesBudget[FinanceCode],SRG[[#This Row],[AllowanceTypesFinanceCode]])&gt;0,0,1)</f>
        <v>1</v>
      </c>
      <c r="K16" s="57">
        <f>IF(SRG[[#This Row],[Allowance FC Issue]]=0,COUNTIF(FinanceCodesBudget[FinanceCode],SRG[[#This Row],[AllowanceTypesFinanceCode]])-1,0)</f>
        <v>0</v>
      </c>
      <c r="L16" s="57">
        <f>IF(COUNTIF(FinanceCodesBudget[FinanceCode],SRG[[#This Row],[AdjustmentsFinanceCode]])&gt;0,0,1)</f>
        <v>1</v>
      </c>
      <c r="M16" s="57">
        <f>IF(SRG[[#This Row],[Adj FC Issue]]=0,COUNTIF(FinanceCodesBudget[FinanceCode],SRG[[#This Row],[AdjustmentsFinanceCode]])-1,0)</f>
        <v>0</v>
      </c>
      <c r="N16" s="57">
        <f>IF(COUNTIF(FinanceCodesBudget[FinanceCode],SRG[[#This Row],[EmployersNiFinanceCode]])&gt;0,0,1)</f>
        <v>1</v>
      </c>
      <c r="O16" s="57">
        <f>IF(SRG[[#This Row],[NI FC Issue]]=0,COUNTIF(FinanceCodesBudget[FinanceCode],SRG[[#This Row],[EmployersNiFinanceCode]])-1,0)</f>
        <v>0</v>
      </c>
      <c r="P16" s="57">
        <f>IF(COUNTIF(FinanceCodesBudget[FinanceCode],SRG[[#This Row],[PensionFinanceCode]])&gt;0,0,1)</f>
        <v>1</v>
      </c>
      <c r="Q16" s="57">
        <f>IF(SRG[[#This Row],[Pension FC Issue]]=0,COUNTIF(FinanceCodesBudget[FinanceCode],SRG[[#This Row],[PensionFinanceCode]])-1,0)</f>
        <v>0</v>
      </c>
      <c r="R16" s="57">
        <f>IFERROR(IF(_xlfn.XLOOKUP(SRG[[#This Row],[WeeklyFteFinanceCode]],FC_import[FinanceCode],FC_import[LedgerCode])=_xlfn.XLOOKUP(SRG[[#This Row],[GrossSalaryFinanceCode]],FinanceCodesBudget[FinanceCode],FinanceCodesBudget[LedgerCode]),0,1),1)</f>
        <v>1</v>
      </c>
      <c r="S16" s="57">
        <f>IFERROR(IF(_xlfn.XLOOKUP(SRG[[#This Row],[AnnualFteFinanceCode]],FC_import[FinanceCode],FC_import[LedgerCode])=_xlfn.XLOOKUP(SRG[[#This Row],[GrossSalaryFinanceCode]],FinanceCodesBudget[FinanceCode],FinanceCodesBudget[LedgerCode]),0,1),1)</f>
        <v>1</v>
      </c>
      <c r="T16" s="57">
        <f>IFERROR(IF(_xlfn.XLOOKUP(SRG[[#This Row],[WeeklyFteLeaveAdjustmentFinanceCode]],FC_import[FinanceCode],FC_import[LedgerCode])=_xlfn.XLOOKUP(SRG[[#This Row],[GrossSalaryFinanceCode]],FinanceCodesBudget[FinanceCode],FinanceCodesBudget[LedgerCode]),0,1),1)</f>
        <v>1</v>
      </c>
      <c r="U16" s="57">
        <f>IFERROR(IF(_xlfn.XLOOKUP(SRG[[#This Row],[AnnualFteLeaveAdjustmentFinanceCode]],FC_import[FinanceCode],FC_import[LedgerCode])=_xlfn.XLOOKUP(SRG[[#This Row],[GrossSalaryFinanceCode]],FinanceCodesBudget[FinanceCode],FinanceCodesBudget[LedgerCode]),0,1),1)</f>
        <v>1</v>
      </c>
      <c r="V16" s="57">
        <f>IF(OR(SRG[[#This Row],[StaffRoleGroupEnabled]]=TRUE,SRG[[#This Row],[StaffRoleGroupEnabled]]=FALSE),IF(OR(SRG[[#This Row],[TeachingRoleGroup]]=TRUE,SRG[[#This Row],[TeachingRoleGroup]]=FALSE),0,1),1)</f>
        <v>0</v>
      </c>
      <c r="W16" s="57">
        <f>IF(LEN(SRG[[#This Row],[StaffRoleGroupCode]])&lt;100,0,1)</f>
        <v>0</v>
      </c>
      <c r="X16" s="57">
        <f>IF(LEN(SRG[[#This Row],[Title]])&lt;100,0,1)</f>
        <v>0</v>
      </c>
      <c r="Y16" s="57">
        <f>IF(SUBSTITUTE(TEXT(SRG[[#This Row],[StaffRoleGroupCode]],10)," ","")=TEXT(SRG[[#This Row],[StaffRoleGroupCode]],10),0,1)</f>
        <v>0</v>
      </c>
      <c r="Z16" s="57">
        <f>SUM(SRG[[#This Row],[Duplicate SRG Code]:[Space in Code]])</f>
        <v>13</v>
      </c>
      <c r="AB16" s="12" t="s">
        <v>1720</v>
      </c>
      <c r="AC16" s="12" t="s">
        <v>1721</v>
      </c>
      <c r="AD16" s="16"/>
      <c r="AE16" s="109">
        <f>SRG[[#This Row],[GrossSalaryFinanceCode]]</f>
        <v>0</v>
      </c>
      <c r="AF16" s="109">
        <f>SRG[[#This Row],[GrossSalaryFinanceCode]]</f>
        <v>0</v>
      </c>
      <c r="AG16" s="109">
        <f>SRG[[#This Row],[GrossSalaryFinanceCode]]</f>
        <v>0</v>
      </c>
      <c r="AH16" s="12" t="s">
        <v>1256</v>
      </c>
      <c r="AI16" s="12" t="s">
        <v>1254</v>
      </c>
      <c r="AJ16" s="16"/>
      <c r="AK16" s="16"/>
      <c r="AL16" s="12" t="s">
        <v>1258</v>
      </c>
      <c r="AM16" s="109">
        <f>SRG[[#This Row],[GrossSalaryFinanceCode]]</f>
        <v>0</v>
      </c>
      <c r="AN16" s="12" t="s">
        <v>1280</v>
      </c>
      <c r="AO16" s="12" t="s">
        <v>1188</v>
      </c>
      <c r="AP16" s="12" t="s">
        <v>1302</v>
      </c>
      <c r="AQ16" s="12" t="s">
        <v>1210</v>
      </c>
      <c r="AR16" s="15" t="b">
        <v>0</v>
      </c>
      <c r="AS16" s="15" t="b">
        <v>1</v>
      </c>
      <c r="AT16" s="12">
        <v>1</v>
      </c>
    </row>
    <row r="17" spans="1:46" x14ac:dyDescent="0.25">
      <c r="A17" s="57">
        <f>COUNTIF(SRG[StaffRoleGroupCode],SRG[[#This Row],[StaffRoleGroupCode]])-1</f>
        <v>0</v>
      </c>
      <c r="B17" s="57">
        <f>COUNTIF(SRG[Title],SRG[[#This Row],[Title]])-1</f>
        <v>0</v>
      </c>
      <c r="C17" s="57">
        <f>IFERROR(IF(_xlfn.XLOOKUP(SRG[[#This Row],[MinimumWageTopupFinanceCode]],FC_import[FinanceCode],FC_import[LedgerCode])=_xlfn.XLOOKUP(SRG[[#This Row],[GrossSalaryFinanceCode]],FinanceCodesBudget[FinanceCode],FinanceCodesBudget[LedgerCode]),0,1),1)</f>
        <v>1</v>
      </c>
      <c r="D17" s="57">
        <f>IFERROR(IF(_xlfn.XLOOKUP(SRG[[#This Row],[LivingWageTopupFinanceCode]],FC_import[FinanceCode],FC_import[LedgerCode])=_xlfn.XLOOKUP(SRG[[#This Row],[GrossSalaryFinanceCode]],FinanceCodesBudget[FinanceCode],FinanceCodesBudget[LedgerCode]),0,1),1)</f>
        <v>1</v>
      </c>
      <c r="E17" s="57">
        <f>IFERROR(IF(_xlfn.XLOOKUP(SRG[[#This Row],[OptOutPensionFinanceCode]],FC_import[FinanceCode],FC_import[LedgerCode])=_xlfn.XLOOKUP(SRG[[#This Row],[GrossSalaryFinanceCode]],FinanceCodesBudget[FinanceCode],FinanceCodesBudget[LedgerCode]),0,1),1)</f>
        <v>1</v>
      </c>
      <c r="F17" s="57">
        <f>IF(COUNTIF(FinanceCodesBudget[FinanceCode],SRG[[#This Row],[GrossSalaryFinanceCode]])&gt;0,0,1)</f>
        <v>1</v>
      </c>
      <c r="G17" s="57">
        <f>IF(SRG[[#This Row],[Gross Salary FC Issue]]=0,COUNTIF(FinanceCodesBudget[FinanceCode],SRG[[#This Row],[GrossSalaryFinanceCode]])-1,0)</f>
        <v>0</v>
      </c>
      <c r="H17" s="57">
        <f>IF(COUNTIF(FinanceCodesBudget[FinanceCode],SRG[[#This Row],[LeaveRebateFinanceCode]])&gt;0,0,1)</f>
        <v>1</v>
      </c>
      <c r="I17" s="57">
        <f>IF(SRG[[#This Row],[Leave Rebate FC Issue]]=0,COUNTIF(FinanceCodesBudget[FinanceCode],SRG[[#This Row],[LeaveRebateFinanceCode]])-1,0)</f>
        <v>0</v>
      </c>
      <c r="J17" s="57">
        <f>IF(COUNTIF(FinanceCodesBudget[FinanceCode],SRG[[#This Row],[AllowanceTypesFinanceCode]])&gt;0,0,1)</f>
        <v>1</v>
      </c>
      <c r="K17" s="57">
        <f>IF(SRG[[#This Row],[Allowance FC Issue]]=0,COUNTIF(FinanceCodesBudget[FinanceCode],SRG[[#This Row],[AllowanceTypesFinanceCode]])-1,0)</f>
        <v>0</v>
      </c>
      <c r="L17" s="57">
        <f>IF(COUNTIF(FinanceCodesBudget[FinanceCode],SRG[[#This Row],[AdjustmentsFinanceCode]])&gt;0,0,1)</f>
        <v>1</v>
      </c>
      <c r="M17" s="57">
        <f>IF(SRG[[#This Row],[Adj FC Issue]]=0,COUNTIF(FinanceCodesBudget[FinanceCode],SRG[[#This Row],[AdjustmentsFinanceCode]])-1,0)</f>
        <v>0</v>
      </c>
      <c r="N17" s="57">
        <f>IF(COUNTIF(FinanceCodesBudget[FinanceCode],SRG[[#This Row],[EmployersNiFinanceCode]])&gt;0,0,1)</f>
        <v>1</v>
      </c>
      <c r="O17" s="57">
        <f>IF(SRG[[#This Row],[NI FC Issue]]=0,COUNTIF(FinanceCodesBudget[FinanceCode],SRG[[#This Row],[EmployersNiFinanceCode]])-1,0)</f>
        <v>0</v>
      </c>
      <c r="P17" s="57">
        <f>IF(COUNTIF(FinanceCodesBudget[FinanceCode],SRG[[#This Row],[PensionFinanceCode]])&gt;0,0,1)</f>
        <v>1</v>
      </c>
      <c r="Q17" s="57">
        <f>IF(SRG[[#This Row],[Pension FC Issue]]=0,COUNTIF(FinanceCodesBudget[FinanceCode],SRG[[#This Row],[PensionFinanceCode]])-1,0)</f>
        <v>0</v>
      </c>
      <c r="R17" s="57">
        <f>IFERROR(IF(_xlfn.XLOOKUP(SRG[[#This Row],[WeeklyFteFinanceCode]],FC_import[FinanceCode],FC_import[LedgerCode])=_xlfn.XLOOKUP(SRG[[#This Row],[GrossSalaryFinanceCode]],FinanceCodesBudget[FinanceCode],FinanceCodesBudget[LedgerCode]),0,1),1)</f>
        <v>1</v>
      </c>
      <c r="S17" s="57">
        <f>IFERROR(IF(_xlfn.XLOOKUP(SRG[[#This Row],[AnnualFteFinanceCode]],FC_import[FinanceCode],FC_import[LedgerCode])=_xlfn.XLOOKUP(SRG[[#This Row],[GrossSalaryFinanceCode]],FinanceCodesBudget[FinanceCode],FinanceCodesBudget[LedgerCode]),0,1),1)</f>
        <v>1</v>
      </c>
      <c r="T17" s="57">
        <f>IFERROR(IF(_xlfn.XLOOKUP(SRG[[#This Row],[WeeklyFteLeaveAdjustmentFinanceCode]],FC_import[FinanceCode],FC_import[LedgerCode])=_xlfn.XLOOKUP(SRG[[#This Row],[GrossSalaryFinanceCode]],FinanceCodesBudget[FinanceCode],FinanceCodesBudget[LedgerCode]),0,1),1)</f>
        <v>1</v>
      </c>
      <c r="U17" s="57">
        <f>IFERROR(IF(_xlfn.XLOOKUP(SRG[[#This Row],[AnnualFteLeaveAdjustmentFinanceCode]],FC_import[FinanceCode],FC_import[LedgerCode])=_xlfn.XLOOKUP(SRG[[#This Row],[GrossSalaryFinanceCode]],FinanceCodesBudget[FinanceCode],FinanceCodesBudget[LedgerCode]),0,1),1)</f>
        <v>1</v>
      </c>
      <c r="V17" s="57">
        <f>IF(OR(SRG[[#This Row],[StaffRoleGroupEnabled]]=TRUE,SRG[[#This Row],[StaffRoleGroupEnabled]]=FALSE),IF(OR(SRG[[#This Row],[TeachingRoleGroup]]=TRUE,SRG[[#This Row],[TeachingRoleGroup]]=FALSE),0,1),1)</f>
        <v>0</v>
      </c>
      <c r="W17" s="57">
        <f>IF(LEN(SRG[[#This Row],[StaffRoleGroupCode]])&lt;100,0,1)</f>
        <v>0</v>
      </c>
      <c r="X17" s="57">
        <f>IF(LEN(SRG[[#This Row],[Title]])&lt;100,0,1)</f>
        <v>0</v>
      </c>
      <c r="Y17" s="57">
        <f>IF(SUBSTITUTE(TEXT(SRG[[#This Row],[StaffRoleGroupCode]],10)," ","")=TEXT(SRG[[#This Row],[StaffRoleGroupCode]],10),0,1)</f>
        <v>0</v>
      </c>
      <c r="Z17" s="57">
        <f>SUM(SRG[[#This Row],[Duplicate SRG Code]:[Space in Code]])</f>
        <v>13</v>
      </c>
      <c r="AB17" s="12" t="s">
        <v>1722</v>
      </c>
      <c r="AC17" s="12" t="s">
        <v>1723</v>
      </c>
      <c r="AD17" s="16"/>
      <c r="AE17" s="109">
        <f>SRG[[#This Row],[GrossSalaryFinanceCode]]</f>
        <v>0</v>
      </c>
      <c r="AF17" s="109">
        <f>SRG[[#This Row],[GrossSalaryFinanceCode]]</f>
        <v>0</v>
      </c>
      <c r="AG17" s="109">
        <f>SRG[[#This Row],[GrossSalaryFinanceCode]]</f>
        <v>0</v>
      </c>
      <c r="AH17" s="12" t="s">
        <v>1256</v>
      </c>
      <c r="AI17" s="12" t="s">
        <v>1254</v>
      </c>
      <c r="AJ17" s="16"/>
      <c r="AK17" s="16"/>
      <c r="AL17" s="12" t="s">
        <v>1258</v>
      </c>
      <c r="AM17" s="109">
        <f>SRG[[#This Row],[GrossSalaryFinanceCode]]</f>
        <v>0</v>
      </c>
      <c r="AN17" s="12" t="s">
        <v>1274</v>
      </c>
      <c r="AO17" s="12" t="s">
        <v>1182</v>
      </c>
      <c r="AP17" s="12" t="s">
        <v>1296</v>
      </c>
      <c r="AQ17" s="12" t="s">
        <v>1204</v>
      </c>
      <c r="AR17" s="15" t="b">
        <v>0</v>
      </c>
      <c r="AS17" s="15" t="b">
        <v>1</v>
      </c>
      <c r="AT17" s="12">
        <v>1</v>
      </c>
    </row>
    <row r="18" spans="1:46" x14ac:dyDescent="0.25">
      <c r="A18" s="57">
        <f>COUNTIF(SRG[StaffRoleGroupCode],SRG[[#This Row],[StaffRoleGroupCode]])-1</f>
        <v>0</v>
      </c>
      <c r="B18" s="57">
        <f>COUNTIF(SRG[Title],SRG[[#This Row],[Title]])-1</f>
        <v>0</v>
      </c>
      <c r="C18" s="57">
        <f>IFERROR(IF(_xlfn.XLOOKUP(SRG[[#This Row],[MinimumWageTopupFinanceCode]],FC_import[FinanceCode],FC_import[LedgerCode])=_xlfn.XLOOKUP(SRG[[#This Row],[GrossSalaryFinanceCode]],FinanceCodesBudget[FinanceCode],FinanceCodesBudget[LedgerCode]),0,1),1)</f>
        <v>1</v>
      </c>
      <c r="D18" s="57">
        <f>IFERROR(IF(_xlfn.XLOOKUP(SRG[[#This Row],[LivingWageTopupFinanceCode]],FC_import[FinanceCode],FC_import[LedgerCode])=_xlfn.XLOOKUP(SRG[[#This Row],[GrossSalaryFinanceCode]],FinanceCodesBudget[FinanceCode],FinanceCodesBudget[LedgerCode]),0,1),1)</f>
        <v>1</v>
      </c>
      <c r="E18" s="57">
        <f>IFERROR(IF(_xlfn.XLOOKUP(SRG[[#This Row],[OptOutPensionFinanceCode]],FC_import[FinanceCode],FC_import[LedgerCode])=_xlfn.XLOOKUP(SRG[[#This Row],[GrossSalaryFinanceCode]],FinanceCodesBudget[FinanceCode],FinanceCodesBudget[LedgerCode]),0,1),1)</f>
        <v>1</v>
      </c>
      <c r="F18" s="57">
        <f>IF(COUNTIF(FinanceCodesBudget[FinanceCode],SRG[[#This Row],[GrossSalaryFinanceCode]])&gt;0,0,1)</f>
        <v>1</v>
      </c>
      <c r="G18" s="57">
        <f>IF(SRG[[#This Row],[Gross Salary FC Issue]]=0,COUNTIF(FinanceCodesBudget[FinanceCode],SRG[[#This Row],[GrossSalaryFinanceCode]])-1,0)</f>
        <v>0</v>
      </c>
      <c r="H18" s="57">
        <f>IF(COUNTIF(FinanceCodesBudget[FinanceCode],SRG[[#This Row],[LeaveRebateFinanceCode]])&gt;0,0,1)</f>
        <v>1</v>
      </c>
      <c r="I18" s="57">
        <f>IF(SRG[[#This Row],[Leave Rebate FC Issue]]=0,COUNTIF(FinanceCodesBudget[FinanceCode],SRG[[#This Row],[LeaveRebateFinanceCode]])-1,0)</f>
        <v>0</v>
      </c>
      <c r="J18" s="57">
        <f>IF(COUNTIF(FinanceCodesBudget[FinanceCode],SRG[[#This Row],[AllowanceTypesFinanceCode]])&gt;0,0,1)</f>
        <v>1</v>
      </c>
      <c r="K18" s="57">
        <f>IF(SRG[[#This Row],[Allowance FC Issue]]=0,COUNTIF(FinanceCodesBudget[FinanceCode],SRG[[#This Row],[AllowanceTypesFinanceCode]])-1,0)</f>
        <v>0</v>
      </c>
      <c r="L18" s="57">
        <f>IF(COUNTIF(FinanceCodesBudget[FinanceCode],SRG[[#This Row],[AdjustmentsFinanceCode]])&gt;0,0,1)</f>
        <v>1</v>
      </c>
      <c r="M18" s="57">
        <f>IF(SRG[[#This Row],[Adj FC Issue]]=0,COUNTIF(FinanceCodesBudget[FinanceCode],SRG[[#This Row],[AdjustmentsFinanceCode]])-1,0)</f>
        <v>0</v>
      </c>
      <c r="N18" s="57">
        <f>IF(COUNTIF(FinanceCodesBudget[FinanceCode],SRG[[#This Row],[EmployersNiFinanceCode]])&gt;0,0,1)</f>
        <v>1</v>
      </c>
      <c r="O18" s="57">
        <f>IF(SRG[[#This Row],[NI FC Issue]]=0,COUNTIF(FinanceCodesBudget[FinanceCode],SRG[[#This Row],[EmployersNiFinanceCode]])-1,0)</f>
        <v>0</v>
      </c>
      <c r="P18" s="57">
        <f>IF(COUNTIF(FinanceCodesBudget[FinanceCode],SRG[[#This Row],[PensionFinanceCode]])&gt;0,0,1)</f>
        <v>1</v>
      </c>
      <c r="Q18" s="57">
        <f>IF(SRG[[#This Row],[Pension FC Issue]]=0,COUNTIF(FinanceCodesBudget[FinanceCode],SRG[[#This Row],[PensionFinanceCode]])-1,0)</f>
        <v>0</v>
      </c>
      <c r="R18" s="57">
        <f>IFERROR(IF(_xlfn.XLOOKUP(SRG[[#This Row],[WeeklyFteFinanceCode]],FC_import[FinanceCode],FC_import[LedgerCode])=_xlfn.XLOOKUP(SRG[[#This Row],[GrossSalaryFinanceCode]],FinanceCodesBudget[FinanceCode],FinanceCodesBudget[LedgerCode]),0,1),1)</f>
        <v>1</v>
      </c>
      <c r="S18" s="57">
        <f>IFERROR(IF(_xlfn.XLOOKUP(SRG[[#This Row],[AnnualFteFinanceCode]],FC_import[FinanceCode],FC_import[LedgerCode])=_xlfn.XLOOKUP(SRG[[#This Row],[GrossSalaryFinanceCode]],FinanceCodesBudget[FinanceCode],FinanceCodesBudget[LedgerCode]),0,1),1)</f>
        <v>1</v>
      </c>
      <c r="T18" s="57">
        <f>IFERROR(IF(_xlfn.XLOOKUP(SRG[[#This Row],[WeeklyFteLeaveAdjustmentFinanceCode]],FC_import[FinanceCode],FC_import[LedgerCode])=_xlfn.XLOOKUP(SRG[[#This Row],[GrossSalaryFinanceCode]],FinanceCodesBudget[FinanceCode],FinanceCodesBudget[LedgerCode]),0,1),1)</f>
        <v>1</v>
      </c>
      <c r="U18" s="57">
        <f>IFERROR(IF(_xlfn.XLOOKUP(SRG[[#This Row],[AnnualFteLeaveAdjustmentFinanceCode]],FC_import[FinanceCode],FC_import[LedgerCode])=_xlfn.XLOOKUP(SRG[[#This Row],[GrossSalaryFinanceCode]],FinanceCodesBudget[FinanceCode],FinanceCodesBudget[LedgerCode]),0,1),1)</f>
        <v>1</v>
      </c>
      <c r="V18" s="57">
        <f>IF(OR(SRG[[#This Row],[StaffRoleGroupEnabled]]=TRUE,SRG[[#This Row],[StaffRoleGroupEnabled]]=FALSE),IF(OR(SRG[[#This Row],[TeachingRoleGroup]]=TRUE,SRG[[#This Row],[TeachingRoleGroup]]=FALSE),0,1),1)</f>
        <v>0</v>
      </c>
      <c r="W18" s="57">
        <f>IF(LEN(SRG[[#This Row],[StaffRoleGroupCode]])&lt;100,0,1)</f>
        <v>0</v>
      </c>
      <c r="X18" s="57">
        <f>IF(LEN(SRG[[#This Row],[Title]])&lt;100,0,1)</f>
        <v>0</v>
      </c>
      <c r="Y18" s="57">
        <f>IF(SUBSTITUTE(TEXT(SRG[[#This Row],[StaffRoleGroupCode]],10)," ","")=TEXT(SRG[[#This Row],[StaffRoleGroupCode]],10),0,1)</f>
        <v>0</v>
      </c>
      <c r="Z18" s="57">
        <f>SUM(SRG[[#This Row],[Duplicate SRG Code]:[Space in Code]])</f>
        <v>13</v>
      </c>
      <c r="AB18" s="12" t="s">
        <v>1630</v>
      </c>
      <c r="AC18" s="12" t="s">
        <v>1724</v>
      </c>
      <c r="AD18" s="16"/>
      <c r="AE18" s="109">
        <f>SRG[[#This Row],[GrossSalaryFinanceCode]]</f>
        <v>0</v>
      </c>
      <c r="AF18" s="109">
        <f>SRG[[#This Row],[GrossSalaryFinanceCode]]</f>
        <v>0</v>
      </c>
      <c r="AG18" s="109">
        <f>SRG[[#This Row],[GrossSalaryFinanceCode]]</f>
        <v>0</v>
      </c>
      <c r="AH18" s="12" t="s">
        <v>1256</v>
      </c>
      <c r="AI18" s="12" t="s">
        <v>1254</v>
      </c>
      <c r="AJ18" s="16"/>
      <c r="AK18" s="16"/>
      <c r="AL18" s="12" t="s">
        <v>1258</v>
      </c>
      <c r="AM18" s="109">
        <f>SRG[[#This Row],[GrossSalaryFinanceCode]]</f>
        <v>0</v>
      </c>
      <c r="AN18" s="12" t="s">
        <v>1335</v>
      </c>
      <c r="AO18" s="12" t="s">
        <v>1243</v>
      </c>
      <c r="AP18" s="12" t="s">
        <v>1314</v>
      </c>
      <c r="AQ18" s="12" t="s">
        <v>1222</v>
      </c>
      <c r="AR18" s="15" t="b">
        <v>0</v>
      </c>
      <c r="AS18" s="15" t="b">
        <v>1</v>
      </c>
      <c r="AT18" s="12">
        <v>1</v>
      </c>
    </row>
    <row r="20" spans="1:46" s="108" customFormat="1" ht="15.75" x14ac:dyDescent="0.25">
      <c r="A20" s="107"/>
      <c r="AB20" s="108" t="s">
        <v>1725</v>
      </c>
      <c r="AR20" s="107"/>
      <c r="AS20" s="107"/>
    </row>
  </sheetData>
  <phoneticPr fontId="2" type="noConversion"/>
  <pageMargins left="0.7" right="0.7" top="0.75" bottom="0.75" header="0.3" footer="0.3"/>
  <legacyDrawing r:id="rId1"/>
  <tableParts count="1">
    <tablePart r:id="rId2"/>
  </tableParts>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65844-8521-4920-BC60-ECF9A4DC802E}">
  <sheetPr codeName="Sheet211">
    <tabColor theme="4" tint="0.79998168889431442"/>
  </sheetPr>
  <dimension ref="A1:Z35"/>
  <sheetViews>
    <sheetView zoomScaleNormal="100" workbookViewId="0">
      <pane ySplit="1" topLeftCell="A2" activePane="bottomLeft" state="frozen"/>
      <selection activeCell="E2" sqref="E2"/>
      <selection pane="bottomLeft" activeCell="AB25" sqref="AB25"/>
    </sheetView>
  </sheetViews>
  <sheetFormatPr defaultColWidth="17.5703125" defaultRowHeight="15" customHeight="1" outlineLevelCol="1" x14ac:dyDescent="0.25"/>
  <cols>
    <col min="1" max="1" width="8.85546875" style="15" hidden="1" customWidth="1" outlineLevel="1"/>
    <col min="2" max="2" width="8.85546875" style="12" hidden="1" customWidth="1" outlineLevel="1"/>
    <col min="3" max="3" width="9.5703125" style="12" hidden="1" customWidth="1" outlineLevel="1"/>
    <col min="4" max="4" width="9" style="12" hidden="1" customWidth="1" outlineLevel="1"/>
    <col min="5" max="5" width="8.42578125" style="12" hidden="1" customWidth="1" outlineLevel="1"/>
    <col min="6" max="6" width="8.5703125" style="12" hidden="1" customWidth="1" outlineLevel="1"/>
    <col min="7" max="7" width="14" style="12" hidden="1" customWidth="1" outlineLevel="1"/>
    <col min="8" max="8" width="10.7109375" style="12" hidden="1" customWidth="1" outlineLevel="1"/>
    <col min="9" max="9" width="9.140625" style="12" hidden="1" customWidth="1" outlineLevel="1"/>
    <col min="10" max="13" width="9" style="12" hidden="1" customWidth="1" outlineLevel="1"/>
    <col min="14" max="14" width="8.42578125" style="12" customWidth="1" collapsed="1"/>
    <col min="15" max="15" width="14.5703125" style="12" bestFit="1" customWidth="1"/>
    <col min="16" max="16" width="13.5703125" style="12" customWidth="1"/>
    <col min="17" max="17" width="15.28515625" style="12" bestFit="1" customWidth="1"/>
    <col min="18" max="18" width="28.5703125" style="12" customWidth="1"/>
    <col min="19" max="19" width="15.28515625" style="12" bestFit="1" customWidth="1"/>
    <col min="20" max="20" width="13.140625" style="12" customWidth="1"/>
    <col min="21" max="21" width="9.42578125" style="14" customWidth="1"/>
    <col min="22" max="23" width="12.28515625" style="15" customWidth="1"/>
    <col min="24" max="24" width="13.140625" style="15" customWidth="1"/>
    <col min="25" max="25" width="12.28515625" style="12" customWidth="1"/>
    <col min="26" max="16384" width="17.5703125" style="12"/>
  </cols>
  <sheetData>
    <row r="1" spans="1:26" s="24" customFormat="1" ht="75" x14ac:dyDescent="0.25">
      <c r="A1" s="65" t="s">
        <v>1726</v>
      </c>
      <c r="B1" s="65" t="s">
        <v>1654</v>
      </c>
      <c r="C1" s="65" t="s">
        <v>1727</v>
      </c>
      <c r="D1" s="65" t="s">
        <v>1728</v>
      </c>
      <c r="E1" s="65" t="s">
        <v>1729</v>
      </c>
      <c r="F1" s="59" t="s">
        <v>1429</v>
      </c>
      <c r="G1" s="167" t="s">
        <v>1730</v>
      </c>
      <c r="H1" s="53" t="s">
        <v>1362</v>
      </c>
      <c r="I1" s="65" t="s">
        <v>1364</v>
      </c>
      <c r="J1" s="53" t="s">
        <v>1365</v>
      </c>
      <c r="K1" s="53" t="s">
        <v>1366</v>
      </c>
      <c r="L1" s="53" t="s">
        <v>1367</v>
      </c>
      <c r="M1" s="131" t="s">
        <v>1368</v>
      </c>
      <c r="N1" s="59" t="s">
        <v>1126</v>
      </c>
      <c r="O1" s="25" t="s">
        <v>1371</v>
      </c>
      <c r="P1" s="25" t="s">
        <v>1674</v>
      </c>
      <c r="Q1" s="25" t="s">
        <v>1731</v>
      </c>
      <c r="R1" s="25" t="s">
        <v>1076</v>
      </c>
      <c r="S1" s="25" t="s">
        <v>1372</v>
      </c>
      <c r="T1" s="25" t="s">
        <v>1732</v>
      </c>
      <c r="U1" s="49" t="s">
        <v>1150</v>
      </c>
      <c r="V1" s="50" t="s">
        <v>1151</v>
      </c>
      <c r="W1" s="50" t="s">
        <v>1733</v>
      </c>
      <c r="X1" s="50" t="s">
        <v>1734</v>
      </c>
      <c r="Y1" s="25" t="s">
        <v>1735</v>
      </c>
      <c r="Z1" s="50" t="s">
        <v>1736</v>
      </c>
    </row>
    <row r="2" spans="1:26" ht="15" customHeight="1" x14ac:dyDescent="0.25">
      <c r="A2" s="57">
        <f>COUNTIF(ROLES[StaffRoleCode],ROLES[[#This Row],[StaffRoleCode]])-1</f>
        <v>0</v>
      </c>
      <c r="B2" s="57">
        <f>COUNTIF(ROLES[Title],ROLES[[#This Row],[Title]])-1</f>
        <v>0</v>
      </c>
      <c r="C2" s="66">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 s="66">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 s="66">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 s="57">
        <f>IF(COUNTIF(PAYSCALES[PayScaleCode],ROLES[[#This Row],[PayScaleCode]])&gt;0,0,1)</f>
        <v>0</v>
      </c>
      <c r="G2" s="66" cm="1">
        <f t="array" ref="G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 s="66">
        <f>IF(ROLES[[#This Row],[AvailableToAllSchools]]=FALSE,IF(ISBLANK(ROLES[[#This Row],[SchoolCodes]]),1,0),IF(ROLES[[#This Row],[AvailableToAllSchools]]=TRUE,IF(ISBLANK(ROLES[[#This Row],[SchoolCodes]]),0,)))</f>
        <v>0</v>
      </c>
      <c r="I2" s="66">
        <f>IF(OR(ROLES[[#This Row],[StaffRoleEnabled]]=TRUE,ROLES[[#This Row],[StaffRoleEnabled]]=FALSE),IF(OR(ROLES[[#This Row],[AvailableToAllSchools]]=TRUE,ROLES[[#This Row],[AvailableToAllSchools]]=FALSE),0,1),1)</f>
        <v>0</v>
      </c>
      <c r="J2" s="57">
        <f>IF(LEN(ROLES[[#This Row],[StaffRoleCode]])&lt;100,0,1)</f>
        <v>0</v>
      </c>
      <c r="K2" s="57">
        <f>IF(LEN(ROLES[[#This Row],[Title]])&lt;100,0,1)</f>
        <v>0</v>
      </c>
      <c r="L2" s="66">
        <f>(COUNTBLANK(ROLES[[#This Row],[MonthsServiceBeforeIncrement]:[StaffRoleEnabled]]))+COUNTBLANK(ROLES[[#This Row],[FullTimeHoursPerWeek]])</f>
        <v>0</v>
      </c>
      <c r="M2" s="57">
        <f>IF(SUBSTITUTE(TEXT(ROLES[[#This Row],[StaffRoleCode]],10)," ","")=TEXT(ROLES[[#This Row],[StaffRoleCode]],10),0,1)</f>
        <v>0</v>
      </c>
      <c r="N2" s="57">
        <f>SUM(ROLES[[#This Row],[Duplicate Role Code]:[Space in Code]])</f>
        <v>3</v>
      </c>
      <c r="P2" s="12" t="s">
        <v>1692</v>
      </c>
      <c r="Q2" s="12" t="s">
        <v>1737</v>
      </c>
      <c r="R2" s="12" t="s">
        <v>1738</v>
      </c>
      <c r="S2" s="12" t="s">
        <v>1388</v>
      </c>
      <c r="T2" s="12">
        <v>32.5</v>
      </c>
      <c r="U2" s="144" t="b">
        <f>_xlfn.XLOOKUP(ROLES[[#This Row],[PayScaleCode]],'19_PayScales'!N:N,'19_PayScales'!T:T)</f>
        <v>1</v>
      </c>
      <c r="V2" s="146" t="str">
        <f>IF(ROLES[[#This Row],[AvailableToAllSchools]]=TRUE,"",_xlfn.XLOOKUP(ROLES[[#This Row],[PayScaleCode]],'19_PayScales'!N:N,'19_PayScales'!U:U))</f>
        <v/>
      </c>
      <c r="W2" s="12">
        <v>0</v>
      </c>
      <c r="X2" s="12">
        <v>0</v>
      </c>
      <c r="Y2" s="12" t="b">
        <v>1</v>
      </c>
      <c r="Z2" s="12" t="b">
        <v>0</v>
      </c>
    </row>
    <row r="3" spans="1:26" ht="15" customHeight="1" x14ac:dyDescent="0.25">
      <c r="A3" s="57">
        <f>COUNTIF(ROLES[StaffRoleCode],ROLES[[#This Row],[StaffRoleCode]])-1</f>
        <v>0</v>
      </c>
      <c r="B3" s="57">
        <f>COUNTIF(ROLES[Title],ROLES[[#This Row],[Title]])-1</f>
        <v>0</v>
      </c>
      <c r="C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3" s="57">
        <f>IF(COUNTIF(PAYSCALES[PayScaleCode],ROLES[[#This Row],[PayScaleCode]])&gt;0,0,1)</f>
        <v>0</v>
      </c>
      <c r="G3" s="57" cm="1">
        <f t="array" ref="G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 s="57">
        <f>IF(ROLES[[#This Row],[AvailableToAllSchools]]=FALSE,IF(ISBLANK(ROLES[[#This Row],[SchoolCodes]]),1,0),IF(ROLES[[#This Row],[AvailableToAllSchools]]=TRUE,IF(ISBLANK(ROLES[[#This Row],[SchoolCodes]]),0,)))</f>
        <v>0</v>
      </c>
      <c r="I3" s="57">
        <f>IF(OR(ROLES[[#This Row],[StaffRoleEnabled]]=TRUE,ROLES[[#This Row],[StaffRoleEnabled]]=FALSE),IF(OR(ROLES[[#This Row],[AvailableToAllSchools]]=TRUE,ROLES[[#This Row],[AvailableToAllSchools]]=FALSE),0,1),1)</f>
        <v>0</v>
      </c>
      <c r="J3" s="57">
        <f>IF(LEN(ROLES[[#This Row],[StaffRoleCode]])&lt;100,0,1)</f>
        <v>0</v>
      </c>
      <c r="K3" s="57">
        <f>IF(LEN(ROLES[[#This Row],[Title]])&lt;100,0,1)</f>
        <v>0</v>
      </c>
      <c r="L3" s="57">
        <f>(COUNTBLANK(ROLES[[#This Row],[MonthsServiceBeforeIncrement]:[StaffRoleEnabled]]))+COUNTBLANK(ROLES[[#This Row],[FullTimeHoursPerWeek]])</f>
        <v>0</v>
      </c>
      <c r="M3" s="57">
        <f>IF(SUBSTITUTE(TEXT(ROLES[[#This Row],[StaffRoleCode]],10)," ","")=TEXT(ROLES[[#This Row],[StaffRoleCode]],10),0,1)</f>
        <v>0</v>
      </c>
      <c r="N3" s="57">
        <f>SUM(ROLES[[#This Row],[Duplicate Role Code]:[Space in Code]])</f>
        <v>3</v>
      </c>
      <c r="P3" s="12" t="s">
        <v>1692</v>
      </c>
      <c r="Q3" s="12" t="s">
        <v>1739</v>
      </c>
      <c r="R3" s="12" t="s">
        <v>1740</v>
      </c>
      <c r="S3" s="12" t="s">
        <v>1388</v>
      </c>
      <c r="T3" s="12">
        <v>32.5</v>
      </c>
      <c r="U3" s="144" t="b">
        <f>_xlfn.XLOOKUP(ROLES[[#This Row],[PayScaleCode]],'19_PayScales'!N:N,'19_PayScales'!T:T)</f>
        <v>1</v>
      </c>
      <c r="V3" s="146" t="str">
        <f>IF(ROLES[[#This Row],[AvailableToAllSchools]]=TRUE,"",_xlfn.XLOOKUP(ROLES[[#This Row],[PayScaleCode]],'19_PayScales'!N:N,'19_PayScales'!U:U))</f>
        <v/>
      </c>
      <c r="W3" s="12">
        <v>0</v>
      </c>
      <c r="X3" s="12">
        <v>0</v>
      </c>
      <c r="Y3" s="12" t="b">
        <v>1</v>
      </c>
      <c r="Z3" s="12" t="b">
        <v>0</v>
      </c>
    </row>
    <row r="4" spans="1:26" ht="15" customHeight="1" x14ac:dyDescent="0.25">
      <c r="A4" s="57">
        <f>COUNTIF(ROLES[StaffRoleCode],ROLES[[#This Row],[StaffRoleCode]])-1</f>
        <v>0</v>
      </c>
      <c r="B4" s="57">
        <f>COUNTIF(ROLES[Title],ROLES[[#This Row],[Title]])-1</f>
        <v>0</v>
      </c>
      <c r="C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4" s="57">
        <f>IF(COUNTIF(PAYSCALES[PayScaleCode],ROLES[[#This Row],[PayScaleCode]])&gt;0,0,1)</f>
        <v>0</v>
      </c>
      <c r="G4" s="57" cm="1">
        <f t="array" ref="G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4" s="57">
        <f>IF(ROLES[[#This Row],[AvailableToAllSchools]]=FALSE,IF(ISBLANK(ROLES[[#This Row],[SchoolCodes]]),1,0),IF(ROLES[[#This Row],[AvailableToAllSchools]]=TRUE,IF(ISBLANK(ROLES[[#This Row],[SchoolCodes]]),0,)))</f>
        <v>0</v>
      </c>
      <c r="I4" s="57">
        <f>IF(OR(ROLES[[#This Row],[StaffRoleEnabled]]=TRUE,ROLES[[#This Row],[StaffRoleEnabled]]=FALSE),IF(OR(ROLES[[#This Row],[AvailableToAllSchools]]=TRUE,ROLES[[#This Row],[AvailableToAllSchools]]=FALSE),0,1),1)</f>
        <v>0</v>
      </c>
      <c r="J4" s="57">
        <f>IF(LEN(ROLES[[#This Row],[StaffRoleCode]])&lt;100,0,1)</f>
        <v>0</v>
      </c>
      <c r="K4" s="57">
        <f>IF(LEN(ROLES[[#This Row],[Title]])&lt;100,0,1)</f>
        <v>0</v>
      </c>
      <c r="L4" s="57">
        <f>(COUNTBLANK(ROLES[[#This Row],[MonthsServiceBeforeIncrement]:[StaffRoleEnabled]]))+COUNTBLANK(ROLES[[#This Row],[FullTimeHoursPerWeek]])</f>
        <v>0</v>
      </c>
      <c r="M4" s="57">
        <f>IF(SUBSTITUTE(TEXT(ROLES[[#This Row],[StaffRoleCode]],10)," ","")=TEXT(ROLES[[#This Row],[StaffRoleCode]],10),0,1)</f>
        <v>0</v>
      </c>
      <c r="N4" s="57">
        <f>SUM(ROLES[[#This Row],[Duplicate Role Code]:[Space in Code]])</f>
        <v>3</v>
      </c>
      <c r="P4" s="12" t="s">
        <v>1692</v>
      </c>
      <c r="Q4" s="12" t="s">
        <v>1741</v>
      </c>
      <c r="R4" s="12" t="s">
        <v>1742</v>
      </c>
      <c r="S4" s="12" t="s">
        <v>1388</v>
      </c>
      <c r="T4" s="12">
        <v>32.5</v>
      </c>
      <c r="U4" s="144" t="b">
        <f>_xlfn.XLOOKUP(ROLES[[#This Row],[PayScaleCode]],'19_PayScales'!N:N,'19_PayScales'!T:T)</f>
        <v>1</v>
      </c>
      <c r="V4" s="146" t="str">
        <f>IF(ROLES[[#This Row],[AvailableToAllSchools]]=TRUE,"",_xlfn.XLOOKUP(ROLES[[#This Row],[PayScaleCode]],'19_PayScales'!N:N,'19_PayScales'!U:U))</f>
        <v/>
      </c>
      <c r="W4" s="12">
        <v>0</v>
      </c>
      <c r="X4" s="12">
        <v>0</v>
      </c>
      <c r="Y4" s="12" t="b">
        <v>1</v>
      </c>
      <c r="Z4" s="12" t="b">
        <v>0</v>
      </c>
    </row>
    <row r="5" spans="1:26" ht="15" customHeight="1" x14ac:dyDescent="0.25">
      <c r="A5" s="57">
        <f>COUNTIF(ROLES[StaffRoleCode],ROLES[[#This Row],[StaffRoleCode]])-1</f>
        <v>0</v>
      </c>
      <c r="B5" s="57">
        <f>COUNTIF(ROLES[Title],ROLES[[#This Row],[Title]])-1</f>
        <v>0</v>
      </c>
      <c r="C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5" s="57">
        <f>IF(COUNTIF(PAYSCALES[PayScaleCode],ROLES[[#This Row],[PayScaleCode]])&gt;0,0,1)</f>
        <v>0</v>
      </c>
      <c r="G5" s="57" cm="1">
        <f t="array" ref="G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5" s="57">
        <f>IF(ROLES[[#This Row],[AvailableToAllSchools]]=FALSE,IF(ISBLANK(ROLES[[#This Row],[SchoolCodes]]),1,0),IF(ROLES[[#This Row],[AvailableToAllSchools]]=TRUE,IF(ISBLANK(ROLES[[#This Row],[SchoolCodes]]),0,)))</f>
        <v>0</v>
      </c>
      <c r="I5" s="57">
        <f>IF(OR(ROLES[[#This Row],[StaffRoleEnabled]]=TRUE,ROLES[[#This Row],[StaffRoleEnabled]]=FALSE),IF(OR(ROLES[[#This Row],[AvailableToAllSchools]]=TRUE,ROLES[[#This Row],[AvailableToAllSchools]]=FALSE),0,1),1)</f>
        <v>0</v>
      </c>
      <c r="J5" s="57">
        <f>IF(LEN(ROLES[[#This Row],[StaffRoleCode]])&lt;100,0,1)</f>
        <v>0</v>
      </c>
      <c r="K5" s="57">
        <f>IF(LEN(ROLES[[#This Row],[Title]])&lt;100,0,1)</f>
        <v>0</v>
      </c>
      <c r="L5" s="57">
        <f>(COUNTBLANK(ROLES[[#This Row],[MonthsServiceBeforeIncrement]:[StaffRoleEnabled]]))+COUNTBLANK(ROLES[[#This Row],[FullTimeHoursPerWeek]])</f>
        <v>0</v>
      </c>
      <c r="M5" s="57">
        <f>IF(SUBSTITUTE(TEXT(ROLES[[#This Row],[StaffRoleCode]],10)," ","")=TEXT(ROLES[[#This Row],[StaffRoleCode]],10),0,1)</f>
        <v>0</v>
      </c>
      <c r="N5" s="57">
        <f>SUM(ROLES[[#This Row],[Duplicate Role Code]:[Space in Code]])</f>
        <v>3</v>
      </c>
      <c r="P5" s="12" t="s">
        <v>1692</v>
      </c>
      <c r="Q5" s="12" t="s">
        <v>1743</v>
      </c>
      <c r="R5" s="12" t="s">
        <v>1744</v>
      </c>
      <c r="S5" s="12" t="s">
        <v>1388</v>
      </c>
      <c r="T5" s="12">
        <v>32.5</v>
      </c>
      <c r="U5" s="144" t="b">
        <f>_xlfn.XLOOKUP(ROLES[[#This Row],[PayScaleCode]],'19_PayScales'!N:N,'19_PayScales'!T:T)</f>
        <v>1</v>
      </c>
      <c r="V5" s="146" t="str">
        <f>IF(ROLES[[#This Row],[AvailableToAllSchools]]=TRUE,"",_xlfn.XLOOKUP(ROLES[[#This Row],[PayScaleCode]],'19_PayScales'!N:N,'19_PayScales'!U:U))</f>
        <v/>
      </c>
      <c r="W5" s="12">
        <v>0</v>
      </c>
      <c r="X5" s="12">
        <v>0</v>
      </c>
      <c r="Y5" s="12" t="b">
        <v>1</v>
      </c>
      <c r="Z5" s="12" t="b">
        <v>0</v>
      </c>
    </row>
    <row r="6" spans="1:26" ht="15" customHeight="1" x14ac:dyDescent="0.25">
      <c r="A6" s="57">
        <f>COUNTIF(ROLES[StaffRoleCode],ROLES[[#This Row],[StaffRoleCode]])-1</f>
        <v>0</v>
      </c>
      <c r="B6" s="57">
        <f>COUNTIF(ROLES[Title],ROLES[[#This Row],[Title]])-1</f>
        <v>0</v>
      </c>
      <c r="C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6" s="57">
        <f>IF(COUNTIF(PAYSCALES[PayScaleCode],ROLES[[#This Row],[PayScaleCode]])&gt;0,0,1)</f>
        <v>0</v>
      </c>
      <c r="G6" s="57" cm="1">
        <f t="array" ref="G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6" s="57">
        <f>IF(ROLES[[#This Row],[AvailableToAllSchools]]=FALSE,IF(ISBLANK(ROLES[[#This Row],[SchoolCodes]]),1,0),IF(ROLES[[#This Row],[AvailableToAllSchools]]=TRUE,IF(ISBLANK(ROLES[[#This Row],[SchoolCodes]]),0,)))</f>
        <v>0</v>
      </c>
      <c r="I6" s="57">
        <f>IF(OR(ROLES[[#This Row],[StaffRoleEnabled]]=TRUE,ROLES[[#This Row],[StaffRoleEnabled]]=FALSE),IF(OR(ROLES[[#This Row],[AvailableToAllSchools]]=TRUE,ROLES[[#This Row],[AvailableToAllSchools]]=FALSE),0,1),1)</f>
        <v>0</v>
      </c>
      <c r="J6" s="57">
        <f>IF(LEN(ROLES[[#This Row],[StaffRoleCode]])&lt;100,0,1)</f>
        <v>0</v>
      </c>
      <c r="K6" s="57">
        <f>IF(LEN(ROLES[[#This Row],[Title]])&lt;100,0,1)</f>
        <v>0</v>
      </c>
      <c r="L6" s="57">
        <f>(COUNTBLANK(ROLES[[#This Row],[MonthsServiceBeforeIncrement]:[StaffRoleEnabled]]))+COUNTBLANK(ROLES[[#This Row],[FullTimeHoursPerWeek]])</f>
        <v>0</v>
      </c>
      <c r="M6" s="57">
        <f>IF(SUBSTITUTE(TEXT(ROLES[[#This Row],[StaffRoleCode]],10)," ","")=TEXT(ROLES[[#This Row],[StaffRoleCode]],10),0,1)</f>
        <v>0</v>
      </c>
      <c r="N6" s="57">
        <f>SUM(ROLES[[#This Row],[Duplicate Role Code]:[Space in Code]])</f>
        <v>3</v>
      </c>
      <c r="P6" s="12" t="s">
        <v>1694</v>
      </c>
      <c r="Q6" s="12" t="s">
        <v>1745</v>
      </c>
      <c r="R6" s="12" t="s">
        <v>1746</v>
      </c>
      <c r="S6" s="12" t="s">
        <v>1388</v>
      </c>
      <c r="T6" s="12">
        <v>32.5</v>
      </c>
      <c r="U6" s="144" t="b">
        <f>_xlfn.XLOOKUP(ROLES[[#This Row],[PayScaleCode]],'19_PayScales'!N:N,'19_PayScales'!T:T)</f>
        <v>1</v>
      </c>
      <c r="V6" s="146" t="str">
        <f>IF(ROLES[[#This Row],[AvailableToAllSchools]]=TRUE,"",_xlfn.XLOOKUP(ROLES[[#This Row],[PayScaleCode]],'19_PayScales'!N:N,'19_PayScales'!U:U))</f>
        <v/>
      </c>
      <c r="W6" s="12">
        <v>0</v>
      </c>
      <c r="X6" s="12">
        <v>0</v>
      </c>
      <c r="Y6" s="12" t="b">
        <v>1</v>
      </c>
      <c r="Z6" s="12" t="b">
        <v>0</v>
      </c>
    </row>
    <row r="7" spans="1:26" ht="15" customHeight="1" x14ac:dyDescent="0.25">
      <c r="A7" s="57">
        <f>COUNTIF(ROLES[StaffRoleCode],ROLES[[#This Row],[StaffRoleCode]])-1</f>
        <v>0</v>
      </c>
      <c r="B7" s="57">
        <f>COUNTIF(ROLES[Title],ROLES[[#This Row],[Title]])-1</f>
        <v>0</v>
      </c>
      <c r="C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7" s="57">
        <f>IF(COUNTIF(PAYSCALES[PayScaleCode],ROLES[[#This Row],[PayScaleCode]])&gt;0,0,1)</f>
        <v>0</v>
      </c>
      <c r="G7" s="57" cm="1">
        <f t="array" ref="G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7" s="57">
        <f>IF(ROLES[[#This Row],[AvailableToAllSchools]]=FALSE,IF(ISBLANK(ROLES[[#This Row],[SchoolCodes]]),1,0),IF(ROLES[[#This Row],[AvailableToAllSchools]]=TRUE,IF(ISBLANK(ROLES[[#This Row],[SchoolCodes]]),0,)))</f>
        <v>0</v>
      </c>
      <c r="I7" s="57">
        <f>IF(OR(ROLES[[#This Row],[StaffRoleEnabled]]=TRUE,ROLES[[#This Row],[StaffRoleEnabled]]=FALSE),IF(OR(ROLES[[#This Row],[AvailableToAllSchools]]=TRUE,ROLES[[#This Row],[AvailableToAllSchools]]=FALSE),0,1),1)</f>
        <v>0</v>
      </c>
      <c r="J7" s="57">
        <f>IF(LEN(ROLES[[#This Row],[StaffRoleCode]])&lt;100,0,1)</f>
        <v>0</v>
      </c>
      <c r="K7" s="57">
        <f>IF(LEN(ROLES[[#This Row],[Title]])&lt;100,0,1)</f>
        <v>0</v>
      </c>
      <c r="L7" s="57">
        <f>(COUNTBLANK(ROLES[[#This Row],[MonthsServiceBeforeIncrement]:[StaffRoleEnabled]]))+COUNTBLANK(ROLES[[#This Row],[FullTimeHoursPerWeek]])</f>
        <v>0</v>
      </c>
      <c r="M7" s="57">
        <f>IF(SUBSTITUTE(TEXT(ROLES[[#This Row],[StaffRoleCode]],10)," ","")=TEXT(ROLES[[#This Row],[StaffRoleCode]],10),0,1)</f>
        <v>0</v>
      </c>
      <c r="N7" s="57">
        <f>SUM(ROLES[[#This Row],[Duplicate Role Code]:[Space in Code]])</f>
        <v>3</v>
      </c>
      <c r="P7" s="12" t="s">
        <v>1694</v>
      </c>
      <c r="Q7" s="12" t="s">
        <v>1747</v>
      </c>
      <c r="R7" s="12" t="s">
        <v>1748</v>
      </c>
      <c r="S7" s="12" t="s">
        <v>1388</v>
      </c>
      <c r="T7" s="12">
        <v>32.5</v>
      </c>
      <c r="U7" s="144" t="b">
        <f>_xlfn.XLOOKUP(ROLES[[#This Row],[PayScaleCode]],'19_PayScales'!N:N,'19_PayScales'!T:T)</f>
        <v>1</v>
      </c>
      <c r="V7" s="146" t="str">
        <f>IF(ROLES[[#This Row],[AvailableToAllSchools]]=TRUE,"",_xlfn.XLOOKUP(ROLES[[#This Row],[PayScaleCode]],'19_PayScales'!N:N,'19_PayScales'!U:U))</f>
        <v/>
      </c>
      <c r="W7" s="12">
        <v>0</v>
      </c>
      <c r="X7" s="12">
        <v>0</v>
      </c>
      <c r="Y7" s="12" t="b">
        <v>1</v>
      </c>
      <c r="Z7" s="12" t="b">
        <v>0</v>
      </c>
    </row>
    <row r="8" spans="1:26" ht="15" customHeight="1" x14ac:dyDescent="0.25">
      <c r="A8" s="57">
        <f>COUNTIF(ROLES[StaffRoleCode],ROLES[[#This Row],[StaffRoleCode]])-1</f>
        <v>0</v>
      </c>
      <c r="B8" s="57">
        <f>COUNTIF(ROLES[Title],ROLES[[#This Row],[Title]])-1</f>
        <v>0</v>
      </c>
      <c r="C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8" s="57">
        <f>IF(COUNTIF(PAYSCALES[PayScaleCode],ROLES[[#This Row],[PayScaleCode]])&gt;0,0,1)</f>
        <v>0</v>
      </c>
      <c r="G8" s="57" cm="1">
        <f t="array" ref="G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8" s="57">
        <f>IF(ROLES[[#This Row],[AvailableToAllSchools]]=FALSE,IF(ISBLANK(ROLES[[#This Row],[SchoolCodes]]),1,0),IF(ROLES[[#This Row],[AvailableToAllSchools]]=TRUE,IF(ISBLANK(ROLES[[#This Row],[SchoolCodes]]),0,)))</f>
        <v>0</v>
      </c>
      <c r="I8" s="57">
        <f>IF(OR(ROLES[[#This Row],[StaffRoleEnabled]]=TRUE,ROLES[[#This Row],[StaffRoleEnabled]]=FALSE),IF(OR(ROLES[[#This Row],[AvailableToAllSchools]]=TRUE,ROLES[[#This Row],[AvailableToAllSchools]]=FALSE),0,1),1)</f>
        <v>0</v>
      </c>
      <c r="J8" s="57">
        <f>IF(LEN(ROLES[[#This Row],[StaffRoleCode]])&lt;100,0,1)</f>
        <v>0</v>
      </c>
      <c r="K8" s="57">
        <f>IF(LEN(ROLES[[#This Row],[Title]])&lt;100,0,1)</f>
        <v>0</v>
      </c>
      <c r="L8" s="57">
        <f>(COUNTBLANK(ROLES[[#This Row],[MonthsServiceBeforeIncrement]:[StaffRoleEnabled]]))+COUNTBLANK(ROLES[[#This Row],[FullTimeHoursPerWeek]])</f>
        <v>0</v>
      </c>
      <c r="M8" s="57">
        <f>IF(SUBSTITUTE(TEXT(ROLES[[#This Row],[StaffRoleCode]],10)," ","")=TEXT(ROLES[[#This Row],[StaffRoleCode]],10),0,1)</f>
        <v>0</v>
      </c>
      <c r="N8" s="57">
        <f>SUM(ROLES[[#This Row],[Duplicate Role Code]:[Space in Code]])</f>
        <v>3</v>
      </c>
      <c r="P8" s="12" t="s">
        <v>1694</v>
      </c>
      <c r="Q8" s="12" t="s">
        <v>1749</v>
      </c>
      <c r="R8" s="12" t="s">
        <v>1750</v>
      </c>
      <c r="S8" s="12" t="s">
        <v>1388</v>
      </c>
      <c r="T8" s="12">
        <v>32.5</v>
      </c>
      <c r="U8" s="144" t="b">
        <f>_xlfn.XLOOKUP(ROLES[[#This Row],[PayScaleCode]],'19_PayScales'!N:N,'19_PayScales'!T:T)</f>
        <v>1</v>
      </c>
      <c r="V8" s="146" t="str">
        <f>IF(ROLES[[#This Row],[AvailableToAllSchools]]=TRUE,"",_xlfn.XLOOKUP(ROLES[[#This Row],[PayScaleCode]],'19_PayScales'!N:N,'19_PayScales'!U:U))</f>
        <v/>
      </c>
      <c r="W8" s="12">
        <v>0</v>
      </c>
      <c r="X8" s="12">
        <v>0</v>
      </c>
      <c r="Y8" s="12" t="b">
        <v>1</v>
      </c>
      <c r="Z8" s="12" t="b">
        <v>0</v>
      </c>
    </row>
    <row r="9" spans="1:26" ht="15" customHeight="1" x14ac:dyDescent="0.25">
      <c r="A9" s="57">
        <f>COUNTIF(ROLES[StaffRoleCode],ROLES[[#This Row],[StaffRoleCode]])-1</f>
        <v>0</v>
      </c>
      <c r="B9" s="57">
        <f>COUNTIF(ROLES[Title],ROLES[[#This Row],[Title]])-1</f>
        <v>0</v>
      </c>
      <c r="C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9" s="57">
        <f>IF(COUNTIF(PAYSCALES[PayScaleCode],ROLES[[#This Row],[PayScaleCode]])&gt;0,0,1)</f>
        <v>0</v>
      </c>
      <c r="G9" s="57" cm="1">
        <f t="array" ref="G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9" s="57">
        <f>IF(ROLES[[#This Row],[AvailableToAllSchools]]=FALSE,IF(ISBLANK(ROLES[[#This Row],[SchoolCodes]]),1,0),IF(ROLES[[#This Row],[AvailableToAllSchools]]=TRUE,IF(ISBLANK(ROLES[[#This Row],[SchoolCodes]]),0,)))</f>
        <v>0</v>
      </c>
      <c r="I9" s="57">
        <f>IF(OR(ROLES[[#This Row],[StaffRoleEnabled]]=TRUE,ROLES[[#This Row],[StaffRoleEnabled]]=FALSE),IF(OR(ROLES[[#This Row],[AvailableToAllSchools]]=TRUE,ROLES[[#This Row],[AvailableToAllSchools]]=FALSE),0,1),1)</f>
        <v>0</v>
      </c>
      <c r="J9" s="57">
        <f>IF(LEN(ROLES[[#This Row],[StaffRoleCode]])&lt;100,0,1)</f>
        <v>0</v>
      </c>
      <c r="K9" s="57">
        <f>IF(LEN(ROLES[[#This Row],[Title]])&lt;100,0,1)</f>
        <v>0</v>
      </c>
      <c r="L9" s="57">
        <f>(COUNTBLANK(ROLES[[#This Row],[MonthsServiceBeforeIncrement]:[StaffRoleEnabled]]))+COUNTBLANK(ROLES[[#This Row],[FullTimeHoursPerWeek]])</f>
        <v>0</v>
      </c>
      <c r="M9" s="57">
        <f>IF(SUBSTITUTE(TEXT(ROLES[[#This Row],[StaffRoleCode]],10)," ","")=TEXT(ROLES[[#This Row],[StaffRoleCode]],10),0,1)</f>
        <v>0</v>
      </c>
      <c r="N9" s="57">
        <f>SUM(ROLES[[#This Row],[Duplicate Role Code]:[Space in Code]])</f>
        <v>3</v>
      </c>
      <c r="P9" s="12" t="s">
        <v>1696</v>
      </c>
      <c r="Q9" s="12" t="s">
        <v>1696</v>
      </c>
      <c r="R9" s="12" t="s">
        <v>1751</v>
      </c>
      <c r="S9" s="12" t="s">
        <v>1381</v>
      </c>
      <c r="T9" s="12">
        <v>32.5</v>
      </c>
      <c r="U9" s="144" t="b">
        <f>_xlfn.XLOOKUP(ROLES[[#This Row],[PayScaleCode]],'19_PayScales'!N:N,'19_PayScales'!T:T)</f>
        <v>1</v>
      </c>
      <c r="V9" s="146" t="str">
        <f>IF(ROLES[[#This Row],[AvailableToAllSchools]]=TRUE,"",_xlfn.XLOOKUP(ROLES[[#This Row],[PayScaleCode]],'19_PayScales'!N:N,'19_PayScales'!U:U))</f>
        <v/>
      </c>
      <c r="W9" s="12">
        <v>0</v>
      </c>
      <c r="X9" s="12">
        <v>0</v>
      </c>
      <c r="Y9" s="12" t="b">
        <v>1</v>
      </c>
      <c r="Z9" s="12" t="b">
        <v>0</v>
      </c>
    </row>
    <row r="10" spans="1:26" ht="15" customHeight="1" x14ac:dyDescent="0.25">
      <c r="A10" s="57">
        <f>COUNTIF(ROLES[StaffRoleCode],ROLES[[#This Row],[StaffRoleCode]])-1</f>
        <v>0</v>
      </c>
      <c r="B10" s="57">
        <f>COUNTIF(ROLES[Title],ROLES[[#This Row],[Title]])-1</f>
        <v>0</v>
      </c>
      <c r="C1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0" s="57">
        <f>IF(COUNTIF(PAYSCALES[PayScaleCode],ROLES[[#This Row],[PayScaleCode]])&gt;0,0,1)</f>
        <v>0</v>
      </c>
      <c r="G10" s="57" cm="1">
        <f t="array" ref="G1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0" s="57">
        <f>IF(ROLES[[#This Row],[AvailableToAllSchools]]=FALSE,IF(ISBLANK(ROLES[[#This Row],[SchoolCodes]]),1,0),IF(ROLES[[#This Row],[AvailableToAllSchools]]=TRUE,IF(ISBLANK(ROLES[[#This Row],[SchoolCodes]]),0,)))</f>
        <v>0</v>
      </c>
      <c r="I10" s="57">
        <f>IF(OR(ROLES[[#This Row],[StaffRoleEnabled]]=TRUE,ROLES[[#This Row],[StaffRoleEnabled]]=FALSE),IF(OR(ROLES[[#This Row],[AvailableToAllSchools]]=TRUE,ROLES[[#This Row],[AvailableToAllSchools]]=FALSE),0,1),1)</f>
        <v>0</v>
      </c>
      <c r="J10" s="57">
        <f>IF(LEN(ROLES[[#This Row],[StaffRoleCode]])&lt;100,0,1)</f>
        <v>0</v>
      </c>
      <c r="K10" s="57">
        <f>IF(LEN(ROLES[[#This Row],[Title]])&lt;100,0,1)</f>
        <v>0</v>
      </c>
      <c r="L10" s="57">
        <f>(COUNTBLANK(ROLES[[#This Row],[MonthsServiceBeforeIncrement]:[StaffRoleEnabled]]))+COUNTBLANK(ROLES[[#This Row],[FullTimeHoursPerWeek]])</f>
        <v>0</v>
      </c>
      <c r="M10" s="57">
        <f>IF(SUBSTITUTE(TEXT(ROLES[[#This Row],[StaffRoleCode]],10)," ","")=TEXT(ROLES[[#This Row],[StaffRoleCode]],10),0,1)</f>
        <v>0</v>
      </c>
      <c r="N10" s="57">
        <f>SUM(ROLES[[#This Row],[Duplicate Role Code]:[Space in Code]])</f>
        <v>3</v>
      </c>
      <c r="P10" s="12" t="s">
        <v>1696</v>
      </c>
      <c r="Q10" s="12" t="s">
        <v>1752</v>
      </c>
      <c r="R10" s="12" t="s">
        <v>1753</v>
      </c>
      <c r="S10" s="12" t="s">
        <v>1386</v>
      </c>
      <c r="T10" s="12">
        <v>32.5</v>
      </c>
      <c r="U10" s="144" t="b">
        <f>_xlfn.XLOOKUP(ROLES[[#This Row],[PayScaleCode]],'19_PayScales'!N:N,'19_PayScales'!T:T)</f>
        <v>1</v>
      </c>
      <c r="V10" s="146" t="str">
        <f>IF(ROLES[[#This Row],[AvailableToAllSchools]]=TRUE,"",_xlfn.XLOOKUP(ROLES[[#This Row],[PayScaleCode]],'19_PayScales'!N:N,'19_PayScales'!U:U))</f>
        <v/>
      </c>
      <c r="W10" s="12">
        <v>0</v>
      </c>
      <c r="X10" s="12">
        <v>0</v>
      </c>
      <c r="Y10" s="12" t="b">
        <v>1</v>
      </c>
      <c r="Z10" s="12" t="b">
        <v>0</v>
      </c>
    </row>
    <row r="11" spans="1:26" ht="15" customHeight="1" x14ac:dyDescent="0.25">
      <c r="A11" s="57">
        <f>COUNTIF(ROLES[StaffRoleCode],ROLES[[#This Row],[StaffRoleCode]])-1</f>
        <v>0</v>
      </c>
      <c r="B11" s="57">
        <f>COUNTIF(ROLES[Title],ROLES[[#This Row],[Title]])-1</f>
        <v>0</v>
      </c>
      <c r="C1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1" s="57">
        <f>IF(COUNTIF(PAYSCALES[PayScaleCode],ROLES[[#This Row],[PayScaleCode]])&gt;0,0,1)</f>
        <v>0</v>
      </c>
      <c r="G11" s="57" cm="1">
        <f t="array" ref="G1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1" s="57">
        <f>IF(ROLES[[#This Row],[AvailableToAllSchools]]=FALSE,IF(ISBLANK(ROLES[[#This Row],[SchoolCodes]]),1,0),IF(ROLES[[#This Row],[AvailableToAllSchools]]=TRUE,IF(ISBLANK(ROLES[[#This Row],[SchoolCodes]]),0,)))</f>
        <v>0</v>
      </c>
      <c r="I11" s="57">
        <f>IF(OR(ROLES[[#This Row],[StaffRoleEnabled]]=TRUE,ROLES[[#This Row],[StaffRoleEnabled]]=FALSE),IF(OR(ROLES[[#This Row],[AvailableToAllSchools]]=TRUE,ROLES[[#This Row],[AvailableToAllSchools]]=FALSE),0,1),1)</f>
        <v>0</v>
      </c>
      <c r="J11" s="57">
        <f>IF(LEN(ROLES[[#This Row],[StaffRoleCode]])&lt;100,0,1)</f>
        <v>0</v>
      </c>
      <c r="K11" s="57">
        <f>IF(LEN(ROLES[[#This Row],[Title]])&lt;100,0,1)</f>
        <v>0</v>
      </c>
      <c r="L11" s="57">
        <f>(COUNTBLANK(ROLES[[#This Row],[MonthsServiceBeforeIncrement]:[StaffRoleEnabled]]))+COUNTBLANK(ROLES[[#This Row],[FullTimeHoursPerWeek]])</f>
        <v>0</v>
      </c>
      <c r="M11" s="57">
        <f>IF(SUBSTITUTE(TEXT(ROLES[[#This Row],[StaffRoleCode]],10)," ","")=TEXT(ROLES[[#This Row],[StaffRoleCode]],10),0,1)</f>
        <v>0</v>
      </c>
      <c r="N11" s="57">
        <f>SUM(ROLES[[#This Row],[Duplicate Role Code]:[Space in Code]])</f>
        <v>3</v>
      </c>
      <c r="P11" s="12" t="s">
        <v>1698</v>
      </c>
      <c r="Q11" s="12" t="s">
        <v>1698</v>
      </c>
      <c r="R11" s="12" t="s">
        <v>1754</v>
      </c>
      <c r="S11" s="12" t="s">
        <v>1390</v>
      </c>
      <c r="T11" s="12">
        <v>37</v>
      </c>
      <c r="U11" s="144" t="b">
        <f>_xlfn.XLOOKUP(ROLES[[#This Row],[PayScaleCode]],'19_PayScales'!N:N,'19_PayScales'!T:T)</f>
        <v>1</v>
      </c>
      <c r="V11" s="146" t="str">
        <f>IF(ROLES[[#This Row],[AvailableToAllSchools]]=TRUE,"",_xlfn.XLOOKUP(ROLES[[#This Row],[PayScaleCode]],'19_PayScales'!N:N,'19_PayScales'!U:U))</f>
        <v/>
      </c>
      <c r="W11" s="12">
        <v>0</v>
      </c>
      <c r="X11" s="12">
        <v>0</v>
      </c>
      <c r="Y11" s="12" t="b">
        <v>1</v>
      </c>
      <c r="Z11" s="12" t="b">
        <v>0</v>
      </c>
    </row>
    <row r="12" spans="1:26" ht="15" customHeight="1" x14ac:dyDescent="0.25">
      <c r="A12" s="57">
        <f>COUNTIF(ROLES[StaffRoleCode],ROLES[[#This Row],[StaffRoleCode]])-1</f>
        <v>0</v>
      </c>
      <c r="B12" s="57">
        <f>COUNTIF(ROLES[Title],ROLES[[#This Row],[Title]])-1</f>
        <v>0</v>
      </c>
      <c r="C1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2" s="57">
        <f>IF(COUNTIF(PAYSCALES[PayScaleCode],ROLES[[#This Row],[PayScaleCode]])&gt;0,0,1)</f>
        <v>0</v>
      </c>
      <c r="G12" s="57" cm="1">
        <f t="array" ref="G1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2" s="57">
        <f>IF(ROLES[[#This Row],[AvailableToAllSchools]]=FALSE,IF(ISBLANK(ROLES[[#This Row],[SchoolCodes]]),1,0),IF(ROLES[[#This Row],[AvailableToAllSchools]]=TRUE,IF(ISBLANK(ROLES[[#This Row],[SchoolCodes]]),0,)))</f>
        <v>0</v>
      </c>
      <c r="I12" s="57">
        <f>IF(OR(ROLES[[#This Row],[StaffRoleEnabled]]=TRUE,ROLES[[#This Row],[StaffRoleEnabled]]=FALSE),IF(OR(ROLES[[#This Row],[AvailableToAllSchools]]=TRUE,ROLES[[#This Row],[AvailableToAllSchools]]=FALSE),0,1),1)</f>
        <v>0</v>
      </c>
      <c r="J12" s="57">
        <f>IF(LEN(ROLES[[#This Row],[StaffRoleCode]])&lt;100,0,1)</f>
        <v>0</v>
      </c>
      <c r="K12" s="57">
        <f>IF(LEN(ROLES[[#This Row],[Title]])&lt;100,0,1)</f>
        <v>0</v>
      </c>
      <c r="L12" s="57">
        <f>(COUNTBLANK(ROLES[[#This Row],[MonthsServiceBeforeIncrement]:[StaffRoleEnabled]]))+COUNTBLANK(ROLES[[#This Row],[FullTimeHoursPerWeek]])</f>
        <v>0</v>
      </c>
      <c r="M12" s="57">
        <f>IF(SUBSTITUTE(TEXT(ROLES[[#This Row],[StaffRoleCode]],10)," ","")=TEXT(ROLES[[#This Row],[StaffRoleCode]],10),0,1)</f>
        <v>0</v>
      </c>
      <c r="N12" s="57">
        <f>SUM(ROLES[[#This Row],[Duplicate Role Code]:[Space in Code]])</f>
        <v>3</v>
      </c>
      <c r="P12" s="12" t="s">
        <v>1698</v>
      </c>
      <c r="Q12" s="12" t="s">
        <v>1755</v>
      </c>
      <c r="R12" s="12" t="s">
        <v>1756</v>
      </c>
      <c r="S12" s="12" t="s">
        <v>1390</v>
      </c>
      <c r="T12" s="12">
        <v>37</v>
      </c>
      <c r="U12" s="144" t="b">
        <f>_xlfn.XLOOKUP(ROLES[[#This Row],[PayScaleCode]],'19_PayScales'!N:N,'19_PayScales'!T:T)</f>
        <v>1</v>
      </c>
      <c r="V12" s="146" t="str">
        <f>IF(ROLES[[#This Row],[AvailableToAllSchools]]=TRUE,"",_xlfn.XLOOKUP(ROLES[[#This Row],[PayScaleCode]],'19_PayScales'!N:N,'19_PayScales'!U:U))</f>
        <v/>
      </c>
      <c r="W12" s="12">
        <v>0</v>
      </c>
      <c r="X12" s="12">
        <v>0</v>
      </c>
      <c r="Y12" s="12" t="b">
        <v>1</v>
      </c>
      <c r="Z12" s="12" t="b">
        <v>0</v>
      </c>
    </row>
    <row r="13" spans="1:26" ht="15" customHeight="1" x14ac:dyDescent="0.25">
      <c r="A13" s="57">
        <f>COUNTIF(ROLES[StaffRoleCode],ROLES[[#This Row],[StaffRoleCode]])-1</f>
        <v>0</v>
      </c>
      <c r="B13" s="57">
        <f>COUNTIF(ROLES[Title],ROLES[[#This Row],[Title]])-1</f>
        <v>0</v>
      </c>
      <c r="C1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3" s="57">
        <f>IF(COUNTIF(PAYSCALES[PayScaleCode],ROLES[[#This Row],[PayScaleCode]])&gt;0,0,1)</f>
        <v>0</v>
      </c>
      <c r="G13" s="57" cm="1">
        <f t="array" ref="G1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3" s="57">
        <f>IF(ROLES[[#This Row],[AvailableToAllSchools]]=FALSE,IF(ISBLANK(ROLES[[#This Row],[SchoolCodes]]),1,0),IF(ROLES[[#This Row],[AvailableToAllSchools]]=TRUE,IF(ISBLANK(ROLES[[#This Row],[SchoolCodes]]),0,)))</f>
        <v>0</v>
      </c>
      <c r="I13" s="57">
        <f>IF(OR(ROLES[[#This Row],[StaffRoleEnabled]]=TRUE,ROLES[[#This Row],[StaffRoleEnabled]]=FALSE),IF(OR(ROLES[[#This Row],[AvailableToAllSchools]]=TRUE,ROLES[[#This Row],[AvailableToAllSchools]]=FALSE),0,1),1)</f>
        <v>0</v>
      </c>
      <c r="J13" s="57">
        <f>IF(LEN(ROLES[[#This Row],[StaffRoleCode]])&lt;100,0,1)</f>
        <v>0</v>
      </c>
      <c r="K13" s="57">
        <f>IF(LEN(ROLES[[#This Row],[Title]])&lt;100,0,1)</f>
        <v>0</v>
      </c>
      <c r="L13" s="57">
        <f>(COUNTBLANK(ROLES[[#This Row],[MonthsServiceBeforeIncrement]:[StaffRoleEnabled]]))+COUNTBLANK(ROLES[[#This Row],[FullTimeHoursPerWeek]])</f>
        <v>0</v>
      </c>
      <c r="M13" s="57">
        <f>IF(SUBSTITUTE(TEXT(ROLES[[#This Row],[StaffRoleCode]],10)," ","")=TEXT(ROLES[[#This Row],[StaffRoleCode]],10),0,1)</f>
        <v>0</v>
      </c>
      <c r="N13" s="57">
        <f>SUM(ROLES[[#This Row],[Duplicate Role Code]:[Space in Code]])</f>
        <v>3</v>
      </c>
      <c r="P13" s="12" t="s">
        <v>1700</v>
      </c>
      <c r="Q13" s="12" t="s">
        <v>1700</v>
      </c>
      <c r="R13" s="12" t="s">
        <v>1757</v>
      </c>
      <c r="S13" s="12" t="s">
        <v>1390</v>
      </c>
      <c r="T13" s="12">
        <v>37</v>
      </c>
      <c r="U13" s="144" t="b">
        <f>_xlfn.XLOOKUP(ROLES[[#This Row],[PayScaleCode]],'19_PayScales'!N:N,'19_PayScales'!T:T)</f>
        <v>1</v>
      </c>
      <c r="V13" s="146" t="str">
        <f>IF(ROLES[[#This Row],[AvailableToAllSchools]]=TRUE,"",_xlfn.XLOOKUP(ROLES[[#This Row],[PayScaleCode]],'19_PayScales'!N:N,'19_PayScales'!U:U))</f>
        <v/>
      </c>
      <c r="W13" s="12">
        <v>0</v>
      </c>
      <c r="X13" s="12">
        <v>0</v>
      </c>
      <c r="Y13" s="12" t="b">
        <v>1</v>
      </c>
      <c r="Z13" s="12" t="b">
        <v>0</v>
      </c>
    </row>
    <row r="14" spans="1:26" ht="15" customHeight="1" x14ac:dyDescent="0.25">
      <c r="A14" s="57">
        <f>COUNTIF(ROLES[StaffRoleCode],ROLES[[#This Row],[StaffRoleCode]])-1</f>
        <v>0</v>
      </c>
      <c r="B14" s="57">
        <f>COUNTIF(ROLES[Title],ROLES[[#This Row],[Title]])-1</f>
        <v>0</v>
      </c>
      <c r="C1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4" s="57">
        <f>IF(COUNTIF(PAYSCALES[PayScaleCode],ROLES[[#This Row],[PayScaleCode]])&gt;0,0,1)</f>
        <v>0</v>
      </c>
      <c r="G14" s="57" cm="1">
        <f t="array" ref="G1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4" s="57">
        <f>IF(ROLES[[#This Row],[AvailableToAllSchools]]=FALSE,IF(ISBLANK(ROLES[[#This Row],[SchoolCodes]]),1,0),IF(ROLES[[#This Row],[AvailableToAllSchools]]=TRUE,IF(ISBLANK(ROLES[[#This Row],[SchoolCodes]]),0,)))</f>
        <v>0</v>
      </c>
      <c r="I14" s="57">
        <f>IF(OR(ROLES[[#This Row],[StaffRoleEnabled]]=TRUE,ROLES[[#This Row],[StaffRoleEnabled]]=FALSE),IF(OR(ROLES[[#This Row],[AvailableToAllSchools]]=TRUE,ROLES[[#This Row],[AvailableToAllSchools]]=FALSE),0,1),1)</f>
        <v>0</v>
      </c>
      <c r="J14" s="57">
        <f>IF(LEN(ROLES[[#This Row],[StaffRoleCode]])&lt;100,0,1)</f>
        <v>0</v>
      </c>
      <c r="K14" s="57">
        <f>IF(LEN(ROLES[[#This Row],[Title]])&lt;100,0,1)</f>
        <v>0</v>
      </c>
      <c r="L14" s="57">
        <f>(COUNTBLANK(ROLES[[#This Row],[MonthsServiceBeforeIncrement]:[StaffRoleEnabled]]))+COUNTBLANK(ROLES[[#This Row],[FullTimeHoursPerWeek]])</f>
        <v>0</v>
      </c>
      <c r="M14" s="57">
        <f>IF(SUBSTITUTE(TEXT(ROLES[[#This Row],[StaffRoleCode]],10)," ","")=TEXT(ROLES[[#This Row],[StaffRoleCode]],10),0,1)</f>
        <v>0</v>
      </c>
      <c r="N14" s="57">
        <f>SUM(ROLES[[#This Row],[Duplicate Role Code]:[Space in Code]])</f>
        <v>3</v>
      </c>
      <c r="P14" s="12" t="s">
        <v>1706</v>
      </c>
      <c r="Q14" s="12" t="s">
        <v>1758</v>
      </c>
      <c r="R14" s="12" t="s">
        <v>1759</v>
      </c>
      <c r="S14" s="12" t="s">
        <v>1390</v>
      </c>
      <c r="T14" s="12">
        <v>37</v>
      </c>
      <c r="U14" s="144" t="b">
        <f>_xlfn.XLOOKUP(ROLES[[#This Row],[PayScaleCode]],'19_PayScales'!N:N,'19_PayScales'!T:T)</f>
        <v>1</v>
      </c>
      <c r="V14" s="146" t="str">
        <f>IF(ROLES[[#This Row],[AvailableToAllSchools]]=TRUE,"",_xlfn.XLOOKUP(ROLES[[#This Row],[PayScaleCode]],'19_PayScales'!N:N,'19_PayScales'!U:U))</f>
        <v/>
      </c>
      <c r="W14" s="12">
        <v>0</v>
      </c>
      <c r="X14" s="12">
        <v>0</v>
      </c>
      <c r="Y14" s="12" t="b">
        <v>1</v>
      </c>
      <c r="Z14" s="12" t="b">
        <v>0</v>
      </c>
    </row>
    <row r="15" spans="1:26" ht="15" customHeight="1" x14ac:dyDescent="0.25">
      <c r="A15" s="57">
        <f>COUNTIF(ROLES[StaffRoleCode],ROLES[[#This Row],[StaffRoleCode]])-1</f>
        <v>0</v>
      </c>
      <c r="B15" s="57">
        <f>COUNTIF(ROLES[Title],ROLES[[#This Row],[Title]])-1</f>
        <v>0</v>
      </c>
      <c r="C1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5" s="57">
        <f>IF(COUNTIF(PAYSCALES[PayScaleCode],ROLES[[#This Row],[PayScaleCode]])&gt;0,0,1)</f>
        <v>0</v>
      </c>
      <c r="G15" s="57" cm="1">
        <f t="array" ref="G1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5" s="57">
        <f>IF(ROLES[[#This Row],[AvailableToAllSchools]]=FALSE,IF(ISBLANK(ROLES[[#This Row],[SchoolCodes]]),1,0),IF(ROLES[[#This Row],[AvailableToAllSchools]]=TRUE,IF(ISBLANK(ROLES[[#This Row],[SchoolCodes]]),0,)))</f>
        <v>0</v>
      </c>
      <c r="I15" s="57">
        <f>IF(OR(ROLES[[#This Row],[StaffRoleEnabled]]=TRUE,ROLES[[#This Row],[StaffRoleEnabled]]=FALSE),IF(OR(ROLES[[#This Row],[AvailableToAllSchools]]=TRUE,ROLES[[#This Row],[AvailableToAllSchools]]=FALSE),0,1),1)</f>
        <v>0</v>
      </c>
      <c r="J15" s="57">
        <f>IF(LEN(ROLES[[#This Row],[StaffRoleCode]])&lt;100,0,1)</f>
        <v>0</v>
      </c>
      <c r="K15" s="57">
        <f>IF(LEN(ROLES[[#This Row],[Title]])&lt;100,0,1)</f>
        <v>0</v>
      </c>
      <c r="L15" s="57">
        <f>(COUNTBLANK(ROLES[[#This Row],[MonthsServiceBeforeIncrement]:[StaffRoleEnabled]]))+COUNTBLANK(ROLES[[#This Row],[FullTimeHoursPerWeek]])</f>
        <v>0</v>
      </c>
      <c r="M15" s="57">
        <f>IF(SUBSTITUTE(TEXT(ROLES[[#This Row],[StaffRoleCode]],10)," ","")=TEXT(ROLES[[#This Row],[StaffRoleCode]],10),0,1)</f>
        <v>0</v>
      </c>
      <c r="N15" s="57">
        <f>SUM(ROLES[[#This Row],[Duplicate Role Code]:[Space in Code]])</f>
        <v>3</v>
      </c>
      <c r="P15" s="12" t="s">
        <v>1706</v>
      </c>
      <c r="Q15" s="12" t="s">
        <v>1760</v>
      </c>
      <c r="R15" s="12" t="s">
        <v>1761</v>
      </c>
      <c r="S15" s="12" t="s">
        <v>1390</v>
      </c>
      <c r="T15" s="12">
        <v>37</v>
      </c>
      <c r="U15" s="144" t="b">
        <f>_xlfn.XLOOKUP(ROLES[[#This Row],[PayScaleCode]],'19_PayScales'!N:N,'19_PayScales'!T:T)</f>
        <v>1</v>
      </c>
      <c r="V15" s="146" t="str">
        <f>IF(ROLES[[#This Row],[AvailableToAllSchools]]=TRUE,"",_xlfn.XLOOKUP(ROLES[[#This Row],[PayScaleCode]],'19_PayScales'!N:N,'19_PayScales'!U:U))</f>
        <v/>
      </c>
      <c r="W15" s="12">
        <v>0</v>
      </c>
      <c r="X15" s="12">
        <v>0</v>
      </c>
      <c r="Y15" s="12" t="b">
        <v>1</v>
      </c>
      <c r="Z15" s="12" t="b">
        <v>0</v>
      </c>
    </row>
    <row r="16" spans="1:26" ht="15" customHeight="1" x14ac:dyDescent="0.25">
      <c r="A16" s="57">
        <f>COUNTIF(ROLES[StaffRoleCode],ROLES[[#This Row],[StaffRoleCode]])-1</f>
        <v>0</v>
      </c>
      <c r="B16" s="57">
        <f>COUNTIF(ROLES[Title],ROLES[[#This Row],[Title]])-1</f>
        <v>0</v>
      </c>
      <c r="C1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6" s="57">
        <f>IF(COUNTIF(PAYSCALES[PayScaleCode],ROLES[[#This Row],[PayScaleCode]])&gt;0,0,1)</f>
        <v>0</v>
      </c>
      <c r="G16" s="57" cm="1">
        <f t="array" ref="G1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6" s="57">
        <f>IF(ROLES[[#This Row],[AvailableToAllSchools]]=FALSE,IF(ISBLANK(ROLES[[#This Row],[SchoolCodes]]),1,0),IF(ROLES[[#This Row],[AvailableToAllSchools]]=TRUE,IF(ISBLANK(ROLES[[#This Row],[SchoolCodes]]),0,)))</f>
        <v>0</v>
      </c>
      <c r="I16" s="57">
        <f>IF(OR(ROLES[[#This Row],[StaffRoleEnabled]]=TRUE,ROLES[[#This Row],[StaffRoleEnabled]]=FALSE),IF(OR(ROLES[[#This Row],[AvailableToAllSchools]]=TRUE,ROLES[[#This Row],[AvailableToAllSchools]]=FALSE),0,1),1)</f>
        <v>0</v>
      </c>
      <c r="J16" s="57">
        <f>IF(LEN(ROLES[[#This Row],[StaffRoleCode]])&lt;100,0,1)</f>
        <v>0</v>
      </c>
      <c r="K16" s="57">
        <f>IF(LEN(ROLES[[#This Row],[Title]])&lt;100,0,1)</f>
        <v>0</v>
      </c>
      <c r="L16" s="57">
        <f>(COUNTBLANK(ROLES[[#This Row],[MonthsServiceBeforeIncrement]:[StaffRoleEnabled]]))+COUNTBLANK(ROLES[[#This Row],[FullTimeHoursPerWeek]])</f>
        <v>0</v>
      </c>
      <c r="M16" s="57">
        <f>IF(SUBSTITUTE(TEXT(ROLES[[#This Row],[StaffRoleCode]],10)," ","")=TEXT(ROLES[[#This Row],[StaffRoleCode]],10),0,1)</f>
        <v>0</v>
      </c>
      <c r="N16" s="57">
        <f>SUM(ROLES[[#This Row],[Duplicate Role Code]:[Space in Code]])</f>
        <v>3</v>
      </c>
      <c r="P16" s="12" t="s">
        <v>1706</v>
      </c>
      <c r="Q16" s="12" t="s">
        <v>1762</v>
      </c>
      <c r="R16" s="12" t="s">
        <v>1763</v>
      </c>
      <c r="S16" s="12" t="s">
        <v>1390</v>
      </c>
      <c r="T16" s="12">
        <v>37</v>
      </c>
      <c r="U16" s="144" t="b">
        <f>_xlfn.XLOOKUP(ROLES[[#This Row],[PayScaleCode]],'19_PayScales'!N:N,'19_PayScales'!T:T)</f>
        <v>1</v>
      </c>
      <c r="V16" s="146" t="str">
        <f>IF(ROLES[[#This Row],[AvailableToAllSchools]]=TRUE,"",_xlfn.XLOOKUP(ROLES[[#This Row],[PayScaleCode]],'19_PayScales'!N:N,'19_PayScales'!U:U))</f>
        <v/>
      </c>
      <c r="W16" s="12">
        <v>0</v>
      </c>
      <c r="X16" s="12">
        <v>0</v>
      </c>
      <c r="Y16" s="12" t="b">
        <v>1</v>
      </c>
      <c r="Z16" s="12" t="b">
        <v>0</v>
      </c>
    </row>
    <row r="17" spans="1:26" ht="15" customHeight="1" x14ac:dyDescent="0.25">
      <c r="A17" s="57">
        <f>COUNTIF(ROLES[StaffRoleCode],ROLES[[#This Row],[StaffRoleCode]])-1</f>
        <v>0</v>
      </c>
      <c r="B17" s="57">
        <f>COUNTIF(ROLES[Title],ROLES[[#This Row],[Title]])-1</f>
        <v>0</v>
      </c>
      <c r="C1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7" s="57">
        <f>IF(COUNTIF(PAYSCALES[PayScaleCode],ROLES[[#This Row],[PayScaleCode]])&gt;0,0,1)</f>
        <v>0</v>
      </c>
      <c r="G17" s="57" cm="1">
        <f t="array" ref="G1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7" s="57">
        <f>IF(ROLES[[#This Row],[AvailableToAllSchools]]=FALSE,IF(ISBLANK(ROLES[[#This Row],[SchoolCodes]]),1,0),IF(ROLES[[#This Row],[AvailableToAllSchools]]=TRUE,IF(ISBLANK(ROLES[[#This Row],[SchoolCodes]]),0,)))</f>
        <v>0</v>
      </c>
      <c r="I17" s="57">
        <f>IF(OR(ROLES[[#This Row],[StaffRoleEnabled]]=TRUE,ROLES[[#This Row],[StaffRoleEnabled]]=FALSE),IF(OR(ROLES[[#This Row],[AvailableToAllSchools]]=TRUE,ROLES[[#This Row],[AvailableToAllSchools]]=FALSE),0,1),1)</f>
        <v>0</v>
      </c>
      <c r="J17" s="57">
        <f>IF(LEN(ROLES[[#This Row],[StaffRoleCode]])&lt;100,0,1)</f>
        <v>0</v>
      </c>
      <c r="K17" s="57">
        <f>IF(LEN(ROLES[[#This Row],[Title]])&lt;100,0,1)</f>
        <v>0</v>
      </c>
      <c r="L17" s="57">
        <f>(COUNTBLANK(ROLES[[#This Row],[MonthsServiceBeforeIncrement]:[StaffRoleEnabled]]))+COUNTBLANK(ROLES[[#This Row],[FullTimeHoursPerWeek]])</f>
        <v>0</v>
      </c>
      <c r="M17" s="57">
        <f>IF(SUBSTITUTE(TEXT(ROLES[[#This Row],[StaffRoleCode]],10)," ","")=TEXT(ROLES[[#This Row],[StaffRoleCode]],10),0,1)</f>
        <v>0</v>
      </c>
      <c r="N17" s="57">
        <f>SUM(ROLES[[#This Row],[Duplicate Role Code]:[Space in Code]])</f>
        <v>3</v>
      </c>
      <c r="P17" s="12" t="s">
        <v>1706</v>
      </c>
      <c r="Q17" s="12" t="s">
        <v>1764</v>
      </c>
      <c r="R17" s="12" t="s">
        <v>1765</v>
      </c>
      <c r="S17" s="12" t="s">
        <v>1390</v>
      </c>
      <c r="T17" s="12">
        <v>37</v>
      </c>
      <c r="U17" s="144" t="b">
        <f>_xlfn.XLOOKUP(ROLES[[#This Row],[PayScaleCode]],'19_PayScales'!N:N,'19_PayScales'!T:T)</f>
        <v>1</v>
      </c>
      <c r="V17" s="146" t="str">
        <f>IF(ROLES[[#This Row],[AvailableToAllSchools]]=TRUE,"",_xlfn.XLOOKUP(ROLES[[#This Row],[PayScaleCode]],'19_PayScales'!N:N,'19_PayScales'!U:U))</f>
        <v/>
      </c>
      <c r="W17" s="12">
        <v>0</v>
      </c>
      <c r="X17" s="12">
        <v>0</v>
      </c>
      <c r="Y17" s="12" t="b">
        <v>1</v>
      </c>
      <c r="Z17" s="12" t="b">
        <v>0</v>
      </c>
    </row>
    <row r="18" spans="1:26" ht="15" customHeight="1" x14ac:dyDescent="0.25">
      <c r="A18" s="57">
        <f>COUNTIF(ROLES[StaffRoleCode],ROLES[[#This Row],[StaffRoleCode]])-1</f>
        <v>0</v>
      </c>
      <c r="B18" s="57">
        <f>COUNTIF(ROLES[Title],ROLES[[#This Row],[Title]])-1</f>
        <v>0</v>
      </c>
      <c r="C1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8" s="57">
        <f>IF(COUNTIF(PAYSCALES[PayScaleCode],ROLES[[#This Row],[PayScaleCode]])&gt;0,0,1)</f>
        <v>0</v>
      </c>
      <c r="G18" s="57" cm="1">
        <f t="array" ref="G1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8" s="57">
        <f>IF(ROLES[[#This Row],[AvailableToAllSchools]]=FALSE,IF(ISBLANK(ROLES[[#This Row],[SchoolCodes]]),1,0),IF(ROLES[[#This Row],[AvailableToAllSchools]]=TRUE,IF(ISBLANK(ROLES[[#This Row],[SchoolCodes]]),0,)))</f>
        <v>0</v>
      </c>
      <c r="I18" s="57">
        <f>IF(OR(ROLES[[#This Row],[StaffRoleEnabled]]=TRUE,ROLES[[#This Row],[StaffRoleEnabled]]=FALSE),IF(OR(ROLES[[#This Row],[AvailableToAllSchools]]=TRUE,ROLES[[#This Row],[AvailableToAllSchools]]=FALSE),0,1),1)</f>
        <v>0</v>
      </c>
      <c r="J18" s="57">
        <f>IF(LEN(ROLES[[#This Row],[StaffRoleCode]])&lt;100,0,1)</f>
        <v>0</v>
      </c>
      <c r="K18" s="57">
        <f>IF(LEN(ROLES[[#This Row],[Title]])&lt;100,0,1)</f>
        <v>0</v>
      </c>
      <c r="L18" s="57">
        <f>(COUNTBLANK(ROLES[[#This Row],[MonthsServiceBeforeIncrement]:[StaffRoleEnabled]]))+COUNTBLANK(ROLES[[#This Row],[FullTimeHoursPerWeek]])</f>
        <v>0</v>
      </c>
      <c r="M18" s="57">
        <f>IF(SUBSTITUTE(TEXT(ROLES[[#This Row],[StaffRoleCode]],10)," ","")=TEXT(ROLES[[#This Row],[StaffRoleCode]],10),0,1)</f>
        <v>0</v>
      </c>
      <c r="N18" s="57">
        <f>SUM(ROLES[[#This Row],[Duplicate Role Code]:[Space in Code]])</f>
        <v>3</v>
      </c>
      <c r="P18" s="12" t="s">
        <v>1706</v>
      </c>
      <c r="Q18" s="12" t="s">
        <v>1766</v>
      </c>
      <c r="R18" s="12" t="s">
        <v>1767</v>
      </c>
      <c r="S18" s="12" t="s">
        <v>1390</v>
      </c>
      <c r="T18" s="12">
        <v>37</v>
      </c>
      <c r="U18" s="144" t="b">
        <f>_xlfn.XLOOKUP(ROLES[[#This Row],[PayScaleCode]],'19_PayScales'!N:N,'19_PayScales'!T:T)</f>
        <v>1</v>
      </c>
      <c r="V18" s="146" t="str">
        <f>IF(ROLES[[#This Row],[AvailableToAllSchools]]=TRUE,"",_xlfn.XLOOKUP(ROLES[[#This Row],[PayScaleCode]],'19_PayScales'!N:N,'19_PayScales'!U:U))</f>
        <v/>
      </c>
      <c r="W18" s="12">
        <v>0</v>
      </c>
      <c r="X18" s="12">
        <v>0</v>
      </c>
      <c r="Y18" s="12" t="b">
        <v>1</v>
      </c>
      <c r="Z18" s="12" t="b">
        <v>0</v>
      </c>
    </row>
    <row r="19" spans="1:26" ht="15" customHeight="1" x14ac:dyDescent="0.25">
      <c r="A19" s="57">
        <f>COUNTIF(ROLES[StaffRoleCode],ROLES[[#This Row],[StaffRoleCode]])-1</f>
        <v>0</v>
      </c>
      <c r="B19" s="57">
        <f>COUNTIF(ROLES[Title],ROLES[[#This Row],[Title]])-1</f>
        <v>0</v>
      </c>
      <c r="C1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1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1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19" s="57">
        <f>IF(COUNTIF(PAYSCALES[PayScaleCode],ROLES[[#This Row],[PayScaleCode]])&gt;0,0,1)</f>
        <v>0</v>
      </c>
      <c r="G19" s="57" cm="1">
        <f t="array" ref="G1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19" s="57">
        <f>IF(ROLES[[#This Row],[AvailableToAllSchools]]=FALSE,IF(ISBLANK(ROLES[[#This Row],[SchoolCodes]]),1,0),IF(ROLES[[#This Row],[AvailableToAllSchools]]=TRUE,IF(ISBLANK(ROLES[[#This Row],[SchoolCodes]]),0,)))</f>
        <v>0</v>
      </c>
      <c r="I19" s="57">
        <f>IF(OR(ROLES[[#This Row],[StaffRoleEnabled]]=TRUE,ROLES[[#This Row],[StaffRoleEnabled]]=FALSE),IF(OR(ROLES[[#This Row],[AvailableToAllSchools]]=TRUE,ROLES[[#This Row],[AvailableToAllSchools]]=FALSE),0,1),1)</f>
        <v>0</v>
      </c>
      <c r="J19" s="57">
        <f>IF(LEN(ROLES[[#This Row],[StaffRoleCode]])&lt;100,0,1)</f>
        <v>0</v>
      </c>
      <c r="K19" s="57">
        <f>IF(LEN(ROLES[[#This Row],[Title]])&lt;100,0,1)</f>
        <v>0</v>
      </c>
      <c r="L19" s="57">
        <f>(COUNTBLANK(ROLES[[#This Row],[MonthsServiceBeforeIncrement]:[StaffRoleEnabled]]))+COUNTBLANK(ROLES[[#This Row],[FullTimeHoursPerWeek]])</f>
        <v>0</v>
      </c>
      <c r="M19" s="57">
        <f>IF(SUBSTITUTE(TEXT(ROLES[[#This Row],[StaffRoleCode]],10)," ","")=TEXT(ROLES[[#This Row],[StaffRoleCode]],10),0,1)</f>
        <v>0</v>
      </c>
      <c r="N19" s="57">
        <f>SUM(ROLES[[#This Row],[Duplicate Role Code]:[Space in Code]])</f>
        <v>3</v>
      </c>
      <c r="P19" s="12" t="s">
        <v>1706</v>
      </c>
      <c r="Q19" s="12" t="s">
        <v>1768</v>
      </c>
      <c r="R19" s="12" t="s">
        <v>1769</v>
      </c>
      <c r="S19" s="12" t="s">
        <v>1390</v>
      </c>
      <c r="T19" s="12">
        <v>37</v>
      </c>
      <c r="U19" s="144" t="b">
        <f>_xlfn.XLOOKUP(ROLES[[#This Row],[PayScaleCode]],'19_PayScales'!N:N,'19_PayScales'!T:T)</f>
        <v>1</v>
      </c>
      <c r="V19" s="146" t="str">
        <f>IF(ROLES[[#This Row],[AvailableToAllSchools]]=TRUE,"",_xlfn.XLOOKUP(ROLES[[#This Row],[PayScaleCode]],'19_PayScales'!N:N,'19_PayScales'!U:U))</f>
        <v/>
      </c>
      <c r="W19" s="12">
        <v>0</v>
      </c>
      <c r="X19" s="12">
        <v>0</v>
      </c>
      <c r="Y19" s="12" t="b">
        <v>1</v>
      </c>
      <c r="Z19" s="12" t="b">
        <v>0</v>
      </c>
    </row>
    <row r="20" spans="1:26" ht="15" customHeight="1" x14ac:dyDescent="0.25">
      <c r="A20" s="57">
        <f>COUNTIF(ROLES[StaffRoleCode],ROLES[[#This Row],[StaffRoleCode]])-1</f>
        <v>0</v>
      </c>
      <c r="B20" s="57">
        <f>COUNTIF(ROLES[Title],ROLES[[#This Row],[Title]])-1</f>
        <v>0</v>
      </c>
      <c r="C2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0" s="57">
        <f>IF(COUNTIF(PAYSCALES[PayScaleCode],ROLES[[#This Row],[PayScaleCode]])&gt;0,0,1)</f>
        <v>0</v>
      </c>
      <c r="G20" s="57" cm="1">
        <f t="array" ref="G2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0" s="57">
        <f>IF(ROLES[[#This Row],[AvailableToAllSchools]]=FALSE,IF(ISBLANK(ROLES[[#This Row],[SchoolCodes]]),1,0),IF(ROLES[[#This Row],[AvailableToAllSchools]]=TRUE,IF(ISBLANK(ROLES[[#This Row],[SchoolCodes]]),0,)))</f>
        <v>0</v>
      </c>
      <c r="I20" s="57">
        <f>IF(OR(ROLES[[#This Row],[StaffRoleEnabled]]=TRUE,ROLES[[#This Row],[StaffRoleEnabled]]=FALSE),IF(OR(ROLES[[#This Row],[AvailableToAllSchools]]=TRUE,ROLES[[#This Row],[AvailableToAllSchools]]=FALSE),0,1),1)</f>
        <v>0</v>
      </c>
      <c r="J20" s="57">
        <f>IF(LEN(ROLES[[#This Row],[StaffRoleCode]])&lt;100,0,1)</f>
        <v>0</v>
      </c>
      <c r="K20" s="57">
        <f>IF(LEN(ROLES[[#This Row],[Title]])&lt;100,0,1)</f>
        <v>0</v>
      </c>
      <c r="L20" s="57">
        <f>(COUNTBLANK(ROLES[[#This Row],[MonthsServiceBeforeIncrement]:[StaffRoleEnabled]]))+COUNTBLANK(ROLES[[#This Row],[FullTimeHoursPerWeek]])</f>
        <v>0</v>
      </c>
      <c r="M20" s="57">
        <f>IF(SUBSTITUTE(TEXT(ROLES[[#This Row],[StaffRoleCode]],10)," ","")=TEXT(ROLES[[#This Row],[StaffRoleCode]],10),0,1)</f>
        <v>0</v>
      </c>
      <c r="N20" s="57">
        <f>SUM(ROLES[[#This Row],[Duplicate Role Code]:[Space in Code]])</f>
        <v>3</v>
      </c>
      <c r="P20" s="12" t="s">
        <v>1706</v>
      </c>
      <c r="Q20" s="12" t="s">
        <v>1770</v>
      </c>
      <c r="R20" s="12" t="s">
        <v>1771</v>
      </c>
      <c r="S20" s="12" t="s">
        <v>1390</v>
      </c>
      <c r="T20" s="12">
        <v>37</v>
      </c>
      <c r="U20" s="144" t="b">
        <f>_xlfn.XLOOKUP(ROLES[[#This Row],[PayScaleCode]],'19_PayScales'!N:N,'19_PayScales'!T:T)</f>
        <v>1</v>
      </c>
      <c r="V20" s="146" t="str">
        <f>IF(ROLES[[#This Row],[AvailableToAllSchools]]=TRUE,"",_xlfn.XLOOKUP(ROLES[[#This Row],[PayScaleCode]],'19_PayScales'!N:N,'19_PayScales'!U:U))</f>
        <v/>
      </c>
      <c r="W20" s="12">
        <v>0</v>
      </c>
      <c r="X20" s="12">
        <v>0</v>
      </c>
      <c r="Y20" s="12" t="b">
        <v>1</v>
      </c>
      <c r="Z20" s="12" t="b">
        <v>0</v>
      </c>
    </row>
    <row r="21" spans="1:26" ht="15" customHeight="1" x14ac:dyDescent="0.25">
      <c r="A21" s="57">
        <f>COUNTIF(ROLES[StaffRoleCode],ROLES[[#This Row],[StaffRoleCode]])-1</f>
        <v>0</v>
      </c>
      <c r="B21" s="57">
        <f>COUNTIF(ROLES[Title],ROLES[[#This Row],[Title]])-1</f>
        <v>0</v>
      </c>
      <c r="C2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1" s="57">
        <f>IF(COUNTIF(PAYSCALES[PayScaleCode],ROLES[[#This Row],[PayScaleCode]])&gt;0,0,1)</f>
        <v>0</v>
      </c>
      <c r="G21" s="57" cm="1">
        <f t="array" ref="G2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1" s="57">
        <f>IF(ROLES[[#This Row],[AvailableToAllSchools]]=FALSE,IF(ISBLANK(ROLES[[#This Row],[SchoolCodes]]),1,0),IF(ROLES[[#This Row],[AvailableToAllSchools]]=TRUE,IF(ISBLANK(ROLES[[#This Row],[SchoolCodes]]),0,)))</f>
        <v>0</v>
      </c>
      <c r="I21" s="57">
        <f>IF(OR(ROLES[[#This Row],[StaffRoleEnabled]]=TRUE,ROLES[[#This Row],[StaffRoleEnabled]]=FALSE),IF(OR(ROLES[[#This Row],[AvailableToAllSchools]]=TRUE,ROLES[[#This Row],[AvailableToAllSchools]]=FALSE),0,1),1)</f>
        <v>0</v>
      </c>
      <c r="J21" s="57">
        <f>IF(LEN(ROLES[[#This Row],[StaffRoleCode]])&lt;100,0,1)</f>
        <v>0</v>
      </c>
      <c r="K21" s="57">
        <f>IF(LEN(ROLES[[#This Row],[Title]])&lt;100,0,1)</f>
        <v>0</v>
      </c>
      <c r="L21" s="57">
        <f>(COUNTBLANK(ROLES[[#This Row],[MonthsServiceBeforeIncrement]:[StaffRoleEnabled]]))+COUNTBLANK(ROLES[[#This Row],[FullTimeHoursPerWeek]])</f>
        <v>0</v>
      </c>
      <c r="M21" s="57">
        <f>IF(SUBSTITUTE(TEXT(ROLES[[#This Row],[StaffRoleCode]],10)," ","")=TEXT(ROLES[[#This Row],[StaffRoleCode]],10),0,1)</f>
        <v>0</v>
      </c>
      <c r="N21" s="57">
        <f>SUM(ROLES[[#This Row],[Duplicate Role Code]:[Space in Code]])</f>
        <v>3</v>
      </c>
      <c r="P21" s="12" t="s">
        <v>1706</v>
      </c>
      <c r="Q21" s="12" t="s">
        <v>1772</v>
      </c>
      <c r="R21" s="12" t="s">
        <v>1773</v>
      </c>
      <c r="S21" s="12" t="s">
        <v>1390</v>
      </c>
      <c r="T21" s="12">
        <v>37</v>
      </c>
      <c r="U21" s="144" t="b">
        <f>_xlfn.XLOOKUP(ROLES[[#This Row],[PayScaleCode]],'19_PayScales'!N:N,'19_PayScales'!T:T)</f>
        <v>1</v>
      </c>
      <c r="V21" s="146" t="str">
        <f>IF(ROLES[[#This Row],[AvailableToAllSchools]]=TRUE,"",_xlfn.XLOOKUP(ROLES[[#This Row],[PayScaleCode]],'19_PayScales'!N:N,'19_PayScales'!U:U))</f>
        <v/>
      </c>
      <c r="W21" s="12">
        <v>0</v>
      </c>
      <c r="X21" s="12">
        <v>0</v>
      </c>
      <c r="Y21" s="12" t="b">
        <v>1</v>
      </c>
      <c r="Z21" s="12" t="b">
        <v>0</v>
      </c>
    </row>
    <row r="22" spans="1:26" ht="15" customHeight="1" x14ac:dyDescent="0.25">
      <c r="A22" s="57">
        <f>COUNTIF(ROLES[StaffRoleCode],ROLES[[#This Row],[StaffRoleCode]])-1</f>
        <v>0</v>
      </c>
      <c r="B22" s="57">
        <f>COUNTIF(ROLES[Title],ROLES[[#This Row],[Title]])-1</f>
        <v>0</v>
      </c>
      <c r="C2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2" s="57">
        <f>IF(COUNTIF(PAYSCALES[PayScaleCode],ROLES[[#This Row],[PayScaleCode]])&gt;0,0,1)</f>
        <v>0</v>
      </c>
      <c r="G22" s="57" cm="1">
        <f t="array" ref="G2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2" s="57">
        <f>IF(ROLES[[#This Row],[AvailableToAllSchools]]=FALSE,IF(ISBLANK(ROLES[[#This Row],[SchoolCodes]]),1,0),IF(ROLES[[#This Row],[AvailableToAllSchools]]=TRUE,IF(ISBLANK(ROLES[[#This Row],[SchoolCodes]]),0,)))</f>
        <v>0</v>
      </c>
      <c r="I22" s="57">
        <f>IF(OR(ROLES[[#This Row],[StaffRoleEnabled]]=TRUE,ROLES[[#This Row],[StaffRoleEnabled]]=FALSE),IF(OR(ROLES[[#This Row],[AvailableToAllSchools]]=TRUE,ROLES[[#This Row],[AvailableToAllSchools]]=FALSE),0,1),1)</f>
        <v>0</v>
      </c>
      <c r="J22" s="57">
        <f>IF(LEN(ROLES[[#This Row],[StaffRoleCode]])&lt;100,0,1)</f>
        <v>0</v>
      </c>
      <c r="K22" s="57">
        <f>IF(LEN(ROLES[[#This Row],[Title]])&lt;100,0,1)</f>
        <v>0</v>
      </c>
      <c r="L22" s="57">
        <f>(COUNTBLANK(ROLES[[#This Row],[MonthsServiceBeforeIncrement]:[StaffRoleEnabled]]))+COUNTBLANK(ROLES[[#This Row],[FullTimeHoursPerWeek]])</f>
        <v>0</v>
      </c>
      <c r="M22" s="57">
        <f>IF(SUBSTITUTE(TEXT(ROLES[[#This Row],[StaffRoleCode]],10)," ","")=TEXT(ROLES[[#This Row],[StaffRoleCode]],10),0,1)</f>
        <v>0</v>
      </c>
      <c r="N22" s="57">
        <f>SUM(ROLES[[#This Row],[Duplicate Role Code]:[Space in Code]])</f>
        <v>3</v>
      </c>
      <c r="P22" s="12" t="s">
        <v>1708</v>
      </c>
      <c r="Q22" s="12" t="s">
        <v>1774</v>
      </c>
      <c r="R22" s="12" t="s">
        <v>1775</v>
      </c>
      <c r="S22" s="12" t="s">
        <v>1390</v>
      </c>
      <c r="T22" s="12">
        <v>37</v>
      </c>
      <c r="U22" s="144" t="b">
        <f>_xlfn.XLOOKUP(ROLES[[#This Row],[PayScaleCode]],'19_PayScales'!N:N,'19_PayScales'!T:T)</f>
        <v>1</v>
      </c>
      <c r="V22" s="146" t="str">
        <f>IF(ROLES[[#This Row],[AvailableToAllSchools]]=TRUE,"",_xlfn.XLOOKUP(ROLES[[#This Row],[PayScaleCode]],'19_PayScales'!N:N,'19_PayScales'!U:U))</f>
        <v/>
      </c>
      <c r="W22" s="12">
        <v>0</v>
      </c>
      <c r="X22" s="12">
        <v>0</v>
      </c>
      <c r="Y22" s="12" t="b">
        <v>1</v>
      </c>
      <c r="Z22" s="12" t="b">
        <v>0</v>
      </c>
    </row>
    <row r="23" spans="1:26" ht="15" customHeight="1" x14ac:dyDescent="0.25">
      <c r="A23" s="57">
        <f>COUNTIF(ROLES[StaffRoleCode],ROLES[[#This Row],[StaffRoleCode]])-1</f>
        <v>0</v>
      </c>
      <c r="B23" s="57">
        <f>COUNTIF(ROLES[Title],ROLES[[#This Row],[Title]])-1</f>
        <v>0</v>
      </c>
      <c r="C2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3" s="57">
        <f>IF(COUNTIF(PAYSCALES[PayScaleCode],ROLES[[#This Row],[PayScaleCode]])&gt;0,0,1)</f>
        <v>0</v>
      </c>
      <c r="G23" s="57" cm="1">
        <f t="array" ref="G2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3" s="57">
        <f>IF(ROLES[[#This Row],[AvailableToAllSchools]]=FALSE,IF(ISBLANK(ROLES[[#This Row],[SchoolCodes]]),1,0),IF(ROLES[[#This Row],[AvailableToAllSchools]]=TRUE,IF(ISBLANK(ROLES[[#This Row],[SchoolCodes]]),0,)))</f>
        <v>0</v>
      </c>
      <c r="I23" s="57">
        <f>IF(OR(ROLES[[#This Row],[StaffRoleEnabled]]=TRUE,ROLES[[#This Row],[StaffRoleEnabled]]=FALSE),IF(OR(ROLES[[#This Row],[AvailableToAllSchools]]=TRUE,ROLES[[#This Row],[AvailableToAllSchools]]=FALSE),0,1),1)</f>
        <v>0</v>
      </c>
      <c r="J23" s="57">
        <f>IF(LEN(ROLES[[#This Row],[StaffRoleCode]])&lt;100,0,1)</f>
        <v>0</v>
      </c>
      <c r="K23" s="57">
        <f>IF(LEN(ROLES[[#This Row],[Title]])&lt;100,0,1)</f>
        <v>0</v>
      </c>
      <c r="L23" s="57">
        <f>(COUNTBLANK(ROLES[[#This Row],[MonthsServiceBeforeIncrement]:[StaffRoleEnabled]]))+COUNTBLANK(ROLES[[#This Row],[FullTimeHoursPerWeek]])</f>
        <v>0</v>
      </c>
      <c r="M23" s="57">
        <f>IF(SUBSTITUTE(TEXT(ROLES[[#This Row],[StaffRoleCode]],10)," ","")=TEXT(ROLES[[#This Row],[StaffRoleCode]],10),0,1)</f>
        <v>0</v>
      </c>
      <c r="N23" s="57">
        <f>SUM(ROLES[[#This Row],[Duplicate Role Code]:[Space in Code]])</f>
        <v>3</v>
      </c>
      <c r="P23" s="12" t="s">
        <v>1708</v>
      </c>
      <c r="Q23" s="12" t="s">
        <v>1776</v>
      </c>
      <c r="R23" s="12" t="s">
        <v>1777</v>
      </c>
      <c r="S23" s="12" t="s">
        <v>1390</v>
      </c>
      <c r="T23" s="12">
        <v>37</v>
      </c>
      <c r="U23" s="144" t="b">
        <f>_xlfn.XLOOKUP(ROLES[[#This Row],[PayScaleCode]],'19_PayScales'!N:N,'19_PayScales'!T:T)</f>
        <v>1</v>
      </c>
      <c r="V23" s="146" t="str">
        <f>IF(ROLES[[#This Row],[AvailableToAllSchools]]=TRUE,"",_xlfn.XLOOKUP(ROLES[[#This Row],[PayScaleCode]],'19_PayScales'!N:N,'19_PayScales'!U:U))</f>
        <v/>
      </c>
      <c r="W23" s="12">
        <v>0</v>
      </c>
      <c r="X23" s="12">
        <v>0</v>
      </c>
      <c r="Y23" s="12" t="b">
        <v>1</v>
      </c>
      <c r="Z23" s="12" t="b">
        <v>0</v>
      </c>
    </row>
    <row r="24" spans="1:26" ht="15" customHeight="1" x14ac:dyDescent="0.25">
      <c r="A24" s="57">
        <f>COUNTIF(ROLES[StaffRoleCode],ROLES[[#This Row],[StaffRoleCode]])-1</f>
        <v>0</v>
      </c>
      <c r="B24" s="57">
        <f>COUNTIF(ROLES[Title],ROLES[[#This Row],[Title]])-1</f>
        <v>0</v>
      </c>
      <c r="C2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4" s="57">
        <f>IF(COUNTIF(PAYSCALES[PayScaleCode],ROLES[[#This Row],[PayScaleCode]])&gt;0,0,1)</f>
        <v>0</v>
      </c>
      <c r="G24" s="57" cm="1">
        <f t="array" ref="G2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4" s="57">
        <f>IF(ROLES[[#This Row],[AvailableToAllSchools]]=FALSE,IF(ISBLANK(ROLES[[#This Row],[SchoolCodes]]),1,0),IF(ROLES[[#This Row],[AvailableToAllSchools]]=TRUE,IF(ISBLANK(ROLES[[#This Row],[SchoolCodes]]),0,)))</f>
        <v>0</v>
      </c>
      <c r="I24" s="57">
        <f>IF(OR(ROLES[[#This Row],[StaffRoleEnabled]]=TRUE,ROLES[[#This Row],[StaffRoleEnabled]]=FALSE),IF(OR(ROLES[[#This Row],[AvailableToAllSchools]]=TRUE,ROLES[[#This Row],[AvailableToAllSchools]]=FALSE),0,1),1)</f>
        <v>0</v>
      </c>
      <c r="J24" s="57">
        <f>IF(LEN(ROLES[[#This Row],[StaffRoleCode]])&lt;100,0,1)</f>
        <v>0</v>
      </c>
      <c r="K24" s="57">
        <f>IF(LEN(ROLES[[#This Row],[Title]])&lt;100,0,1)</f>
        <v>0</v>
      </c>
      <c r="L24" s="57">
        <f>(COUNTBLANK(ROLES[[#This Row],[MonthsServiceBeforeIncrement]:[StaffRoleEnabled]]))+COUNTBLANK(ROLES[[#This Row],[FullTimeHoursPerWeek]])</f>
        <v>0</v>
      </c>
      <c r="M24" s="57">
        <f>IF(SUBSTITUTE(TEXT(ROLES[[#This Row],[StaffRoleCode]],10)," ","")=TEXT(ROLES[[#This Row],[StaffRoleCode]],10),0,1)</f>
        <v>0</v>
      </c>
      <c r="N24" s="57">
        <f>SUM(ROLES[[#This Row],[Duplicate Role Code]:[Space in Code]])</f>
        <v>3</v>
      </c>
      <c r="P24" s="12" t="s">
        <v>1708</v>
      </c>
      <c r="Q24" s="12" t="s">
        <v>1778</v>
      </c>
      <c r="R24" s="12" t="s">
        <v>1779</v>
      </c>
      <c r="S24" s="12" t="s">
        <v>1390</v>
      </c>
      <c r="T24" s="12">
        <v>37</v>
      </c>
      <c r="U24" s="144" t="b">
        <f>_xlfn.XLOOKUP(ROLES[[#This Row],[PayScaleCode]],'19_PayScales'!N:N,'19_PayScales'!T:T)</f>
        <v>1</v>
      </c>
      <c r="V24" s="146" t="str">
        <f>IF(ROLES[[#This Row],[AvailableToAllSchools]]=TRUE,"",_xlfn.XLOOKUP(ROLES[[#This Row],[PayScaleCode]],'19_PayScales'!N:N,'19_PayScales'!U:U))</f>
        <v/>
      </c>
      <c r="W24" s="12">
        <v>0</v>
      </c>
      <c r="X24" s="12">
        <v>0</v>
      </c>
      <c r="Y24" s="12" t="b">
        <v>1</v>
      </c>
      <c r="Z24" s="12" t="b">
        <v>0</v>
      </c>
    </row>
    <row r="25" spans="1:26" ht="15" customHeight="1" x14ac:dyDescent="0.25">
      <c r="A25" s="57">
        <f>COUNTIF(ROLES[StaffRoleCode],ROLES[[#This Row],[StaffRoleCode]])-1</f>
        <v>0</v>
      </c>
      <c r="B25" s="57">
        <f>COUNTIF(ROLES[Title],ROLES[[#This Row],[Title]])-1</f>
        <v>0</v>
      </c>
      <c r="C2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5" s="57">
        <f>IF(COUNTIF(PAYSCALES[PayScaleCode],ROLES[[#This Row],[PayScaleCode]])&gt;0,0,1)</f>
        <v>0</v>
      </c>
      <c r="G25" s="57" cm="1">
        <f t="array" ref="G2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5" s="57">
        <f>IF(ROLES[[#This Row],[AvailableToAllSchools]]=FALSE,IF(ISBLANK(ROLES[[#This Row],[SchoolCodes]]),1,0),IF(ROLES[[#This Row],[AvailableToAllSchools]]=TRUE,IF(ISBLANK(ROLES[[#This Row],[SchoolCodes]]),0,)))</f>
        <v>0</v>
      </c>
      <c r="I25" s="57">
        <f>IF(OR(ROLES[[#This Row],[StaffRoleEnabled]]=TRUE,ROLES[[#This Row],[StaffRoleEnabled]]=FALSE),IF(OR(ROLES[[#This Row],[AvailableToAllSchools]]=TRUE,ROLES[[#This Row],[AvailableToAllSchools]]=FALSE),0,1),1)</f>
        <v>0</v>
      </c>
      <c r="J25" s="57">
        <f>IF(LEN(ROLES[[#This Row],[StaffRoleCode]])&lt;100,0,1)</f>
        <v>0</v>
      </c>
      <c r="K25" s="57">
        <f>IF(LEN(ROLES[[#This Row],[Title]])&lt;100,0,1)</f>
        <v>0</v>
      </c>
      <c r="L25" s="57">
        <f>(COUNTBLANK(ROLES[[#This Row],[MonthsServiceBeforeIncrement]:[StaffRoleEnabled]]))+COUNTBLANK(ROLES[[#This Row],[FullTimeHoursPerWeek]])</f>
        <v>0</v>
      </c>
      <c r="M25" s="57">
        <f>IF(SUBSTITUTE(TEXT(ROLES[[#This Row],[StaffRoleCode]],10)," ","")=TEXT(ROLES[[#This Row],[StaffRoleCode]],10),0,1)</f>
        <v>0</v>
      </c>
      <c r="N25" s="57">
        <f>SUM(ROLES[[#This Row],[Duplicate Role Code]:[Space in Code]])</f>
        <v>3</v>
      </c>
      <c r="P25" s="12" t="s">
        <v>1708</v>
      </c>
      <c r="Q25" s="12" t="s">
        <v>1780</v>
      </c>
      <c r="R25" s="12" t="s">
        <v>1781</v>
      </c>
      <c r="S25" s="12" t="s">
        <v>1390</v>
      </c>
      <c r="T25" s="12">
        <v>37</v>
      </c>
      <c r="U25" s="144" t="b">
        <f>_xlfn.XLOOKUP(ROLES[[#This Row],[PayScaleCode]],'19_PayScales'!N:N,'19_PayScales'!T:T)</f>
        <v>1</v>
      </c>
      <c r="V25" s="146" t="str">
        <f>IF(ROLES[[#This Row],[AvailableToAllSchools]]=TRUE,"",_xlfn.XLOOKUP(ROLES[[#This Row],[PayScaleCode]],'19_PayScales'!N:N,'19_PayScales'!U:U))</f>
        <v/>
      </c>
      <c r="W25" s="12">
        <v>0</v>
      </c>
      <c r="X25" s="12">
        <v>0</v>
      </c>
      <c r="Y25" s="12" t="b">
        <v>1</v>
      </c>
      <c r="Z25" s="12" t="b">
        <v>0</v>
      </c>
    </row>
    <row r="26" spans="1:26" ht="15" customHeight="1" x14ac:dyDescent="0.25">
      <c r="A26" s="57">
        <f>COUNTIF(ROLES[StaffRoleCode],ROLES[[#This Row],[StaffRoleCode]])-1</f>
        <v>0</v>
      </c>
      <c r="B26" s="57">
        <f>COUNTIF(ROLES[Title],ROLES[[#This Row],[Title]])-1</f>
        <v>0</v>
      </c>
      <c r="C26"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6"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6"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6" s="57">
        <f>IF(COUNTIF(PAYSCALES[PayScaleCode],ROLES[[#This Row],[PayScaleCode]])&gt;0,0,1)</f>
        <v>0</v>
      </c>
      <c r="G26" s="57" cm="1">
        <f t="array" ref="G26">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6" s="57">
        <f>IF(ROLES[[#This Row],[AvailableToAllSchools]]=FALSE,IF(ISBLANK(ROLES[[#This Row],[SchoolCodes]]),1,0),IF(ROLES[[#This Row],[AvailableToAllSchools]]=TRUE,IF(ISBLANK(ROLES[[#This Row],[SchoolCodes]]),0,)))</f>
        <v>0</v>
      </c>
      <c r="I26" s="57">
        <f>IF(OR(ROLES[[#This Row],[StaffRoleEnabled]]=TRUE,ROLES[[#This Row],[StaffRoleEnabled]]=FALSE),IF(OR(ROLES[[#This Row],[AvailableToAllSchools]]=TRUE,ROLES[[#This Row],[AvailableToAllSchools]]=FALSE),0,1),1)</f>
        <v>0</v>
      </c>
      <c r="J26" s="57">
        <f>IF(LEN(ROLES[[#This Row],[StaffRoleCode]])&lt;100,0,1)</f>
        <v>0</v>
      </c>
      <c r="K26" s="57">
        <f>IF(LEN(ROLES[[#This Row],[Title]])&lt;100,0,1)</f>
        <v>0</v>
      </c>
      <c r="L26" s="57">
        <f>(COUNTBLANK(ROLES[[#This Row],[MonthsServiceBeforeIncrement]:[StaffRoleEnabled]]))+COUNTBLANK(ROLES[[#This Row],[FullTimeHoursPerWeek]])</f>
        <v>0</v>
      </c>
      <c r="M26" s="57">
        <f>IF(SUBSTITUTE(TEXT(ROLES[[#This Row],[StaffRoleCode]],10)," ","")=TEXT(ROLES[[#This Row],[StaffRoleCode]],10),0,1)</f>
        <v>0</v>
      </c>
      <c r="N26" s="57">
        <f>SUM(ROLES[[#This Row],[Duplicate Role Code]:[Space in Code]])</f>
        <v>3</v>
      </c>
      <c r="P26" s="12" t="s">
        <v>1710</v>
      </c>
      <c r="Q26" s="12" t="s">
        <v>1710</v>
      </c>
      <c r="R26" s="12" t="s">
        <v>1782</v>
      </c>
      <c r="S26" s="12" t="s">
        <v>1390</v>
      </c>
      <c r="T26" s="12">
        <v>37</v>
      </c>
      <c r="U26" s="144" t="b">
        <f>_xlfn.XLOOKUP(ROLES[[#This Row],[PayScaleCode]],'19_PayScales'!N:N,'19_PayScales'!T:T)</f>
        <v>1</v>
      </c>
      <c r="V26" s="146" t="str">
        <f>IF(ROLES[[#This Row],[AvailableToAllSchools]]=TRUE,"",_xlfn.XLOOKUP(ROLES[[#This Row],[PayScaleCode]],'19_PayScales'!N:N,'19_PayScales'!U:U))</f>
        <v/>
      </c>
      <c r="W26" s="12">
        <v>0</v>
      </c>
      <c r="X26" s="12">
        <v>0</v>
      </c>
      <c r="Y26" s="12" t="b">
        <v>1</v>
      </c>
      <c r="Z26" s="12" t="b">
        <v>0</v>
      </c>
    </row>
    <row r="27" spans="1:26" ht="15" customHeight="1" x14ac:dyDescent="0.25">
      <c r="A27" s="57">
        <f>COUNTIF(ROLES[StaffRoleCode],ROLES[[#This Row],[StaffRoleCode]])-1</f>
        <v>0</v>
      </c>
      <c r="B27" s="57">
        <f>COUNTIF(ROLES[Title],ROLES[[#This Row],[Title]])-1</f>
        <v>0</v>
      </c>
      <c r="C27"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7"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7"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7" s="57">
        <f>IF(COUNTIF(PAYSCALES[PayScaleCode],ROLES[[#This Row],[PayScaleCode]])&gt;0,0,1)</f>
        <v>0</v>
      </c>
      <c r="G27" s="57" cm="1">
        <f t="array" ref="G27">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7" s="57">
        <f>IF(ROLES[[#This Row],[AvailableToAllSchools]]=FALSE,IF(ISBLANK(ROLES[[#This Row],[SchoolCodes]]),1,0),IF(ROLES[[#This Row],[AvailableToAllSchools]]=TRUE,IF(ISBLANK(ROLES[[#This Row],[SchoolCodes]]),0,)))</f>
        <v>0</v>
      </c>
      <c r="I27" s="57">
        <f>IF(OR(ROLES[[#This Row],[StaffRoleEnabled]]=TRUE,ROLES[[#This Row],[StaffRoleEnabled]]=FALSE),IF(OR(ROLES[[#This Row],[AvailableToAllSchools]]=TRUE,ROLES[[#This Row],[AvailableToAllSchools]]=FALSE),0,1),1)</f>
        <v>0</v>
      </c>
      <c r="J27" s="57">
        <f>IF(LEN(ROLES[[#This Row],[StaffRoleCode]])&lt;100,0,1)</f>
        <v>0</v>
      </c>
      <c r="K27" s="57">
        <f>IF(LEN(ROLES[[#This Row],[Title]])&lt;100,0,1)</f>
        <v>0</v>
      </c>
      <c r="L27" s="57">
        <f>(COUNTBLANK(ROLES[[#This Row],[MonthsServiceBeforeIncrement]:[StaffRoleEnabled]]))+COUNTBLANK(ROLES[[#This Row],[FullTimeHoursPerWeek]])</f>
        <v>0</v>
      </c>
      <c r="M27" s="57">
        <f>IF(SUBSTITUTE(TEXT(ROLES[[#This Row],[StaffRoleCode]],10)," ","")=TEXT(ROLES[[#This Row],[StaffRoleCode]],10),0,1)</f>
        <v>0</v>
      </c>
      <c r="N27" s="57">
        <f>SUM(ROLES[[#This Row],[Duplicate Role Code]:[Space in Code]])</f>
        <v>3</v>
      </c>
      <c r="P27" s="12" t="s">
        <v>1712</v>
      </c>
      <c r="Q27" s="12" t="s">
        <v>1783</v>
      </c>
      <c r="R27" s="12" t="s">
        <v>1784</v>
      </c>
      <c r="S27" s="12" t="s">
        <v>1390</v>
      </c>
      <c r="T27" s="12">
        <v>37</v>
      </c>
      <c r="U27" s="144" t="b">
        <f>_xlfn.XLOOKUP(ROLES[[#This Row],[PayScaleCode]],'19_PayScales'!N:N,'19_PayScales'!T:T)</f>
        <v>1</v>
      </c>
      <c r="V27" s="146" t="str">
        <f>IF(ROLES[[#This Row],[AvailableToAllSchools]]=TRUE,"",_xlfn.XLOOKUP(ROLES[[#This Row],[PayScaleCode]],'19_PayScales'!N:N,'19_PayScales'!U:U))</f>
        <v/>
      </c>
      <c r="W27" s="12">
        <v>0</v>
      </c>
      <c r="X27" s="12">
        <v>0</v>
      </c>
      <c r="Y27" s="12" t="b">
        <v>1</v>
      </c>
      <c r="Z27" s="12" t="b">
        <v>0</v>
      </c>
    </row>
    <row r="28" spans="1:26" ht="15" customHeight="1" x14ac:dyDescent="0.25">
      <c r="A28" s="57">
        <f>COUNTIF(ROLES[StaffRoleCode],ROLES[[#This Row],[StaffRoleCode]])-1</f>
        <v>0</v>
      </c>
      <c r="B28" s="57">
        <f>COUNTIF(ROLES[Title],ROLES[[#This Row],[Title]])-1</f>
        <v>0</v>
      </c>
      <c r="C28"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8"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8"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8" s="57">
        <f>IF(COUNTIF(PAYSCALES[PayScaleCode],ROLES[[#This Row],[PayScaleCode]])&gt;0,0,1)</f>
        <v>0</v>
      </c>
      <c r="G28" s="57" cm="1">
        <f t="array" ref="G28">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8" s="57">
        <f>IF(ROLES[[#This Row],[AvailableToAllSchools]]=FALSE,IF(ISBLANK(ROLES[[#This Row],[SchoolCodes]]),1,0),IF(ROLES[[#This Row],[AvailableToAllSchools]]=TRUE,IF(ISBLANK(ROLES[[#This Row],[SchoolCodes]]),0,)))</f>
        <v>0</v>
      </c>
      <c r="I28" s="57">
        <f>IF(OR(ROLES[[#This Row],[StaffRoleEnabled]]=TRUE,ROLES[[#This Row],[StaffRoleEnabled]]=FALSE),IF(OR(ROLES[[#This Row],[AvailableToAllSchools]]=TRUE,ROLES[[#This Row],[AvailableToAllSchools]]=FALSE),0,1),1)</f>
        <v>0</v>
      </c>
      <c r="J28" s="57">
        <f>IF(LEN(ROLES[[#This Row],[StaffRoleCode]])&lt;100,0,1)</f>
        <v>0</v>
      </c>
      <c r="K28" s="57">
        <f>IF(LEN(ROLES[[#This Row],[Title]])&lt;100,0,1)</f>
        <v>0</v>
      </c>
      <c r="L28" s="57">
        <f>(COUNTBLANK(ROLES[[#This Row],[MonthsServiceBeforeIncrement]:[StaffRoleEnabled]]))+COUNTBLANK(ROLES[[#This Row],[FullTimeHoursPerWeek]])</f>
        <v>0</v>
      </c>
      <c r="M28" s="57">
        <f>IF(SUBSTITUTE(TEXT(ROLES[[#This Row],[StaffRoleCode]],10)," ","")=TEXT(ROLES[[#This Row],[StaffRoleCode]],10),0,1)</f>
        <v>0</v>
      </c>
      <c r="N28" s="57">
        <f>SUM(ROLES[[#This Row],[Duplicate Role Code]:[Space in Code]])</f>
        <v>3</v>
      </c>
      <c r="P28" s="12" t="s">
        <v>1712</v>
      </c>
      <c r="Q28" s="12" t="s">
        <v>1785</v>
      </c>
      <c r="R28" s="12" t="s">
        <v>1786</v>
      </c>
      <c r="S28" s="12" t="s">
        <v>1390</v>
      </c>
      <c r="T28" s="12">
        <v>37</v>
      </c>
      <c r="U28" s="144" t="b">
        <f>_xlfn.XLOOKUP(ROLES[[#This Row],[PayScaleCode]],'19_PayScales'!N:N,'19_PayScales'!T:T)</f>
        <v>1</v>
      </c>
      <c r="V28" s="146" t="str">
        <f>IF(ROLES[[#This Row],[AvailableToAllSchools]]=TRUE,"",_xlfn.XLOOKUP(ROLES[[#This Row],[PayScaleCode]],'19_PayScales'!N:N,'19_PayScales'!U:U))</f>
        <v/>
      </c>
      <c r="W28" s="12">
        <v>0</v>
      </c>
      <c r="X28" s="12">
        <v>0</v>
      </c>
      <c r="Y28" s="12" t="b">
        <v>1</v>
      </c>
      <c r="Z28" s="12" t="b">
        <v>0</v>
      </c>
    </row>
    <row r="29" spans="1:26" ht="15" customHeight="1" x14ac:dyDescent="0.25">
      <c r="A29" s="57">
        <f>COUNTIF(ROLES[StaffRoleCode],ROLES[[#This Row],[StaffRoleCode]])-1</f>
        <v>0</v>
      </c>
      <c r="B29" s="57">
        <f>COUNTIF(ROLES[Title],ROLES[[#This Row],[Title]])-1</f>
        <v>0</v>
      </c>
      <c r="C29"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29"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29"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29" s="57">
        <f>IF(COUNTIF(PAYSCALES[PayScaleCode],ROLES[[#This Row],[PayScaleCode]])&gt;0,0,1)</f>
        <v>0</v>
      </c>
      <c r="G29" s="57" cm="1">
        <f t="array" ref="G29">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29" s="57">
        <f>IF(ROLES[[#This Row],[AvailableToAllSchools]]=FALSE,IF(ISBLANK(ROLES[[#This Row],[SchoolCodes]]),1,0),IF(ROLES[[#This Row],[AvailableToAllSchools]]=TRUE,IF(ISBLANK(ROLES[[#This Row],[SchoolCodes]]),0,)))</f>
        <v>0</v>
      </c>
      <c r="I29" s="57">
        <f>IF(OR(ROLES[[#This Row],[StaffRoleEnabled]]=TRUE,ROLES[[#This Row],[StaffRoleEnabled]]=FALSE),IF(OR(ROLES[[#This Row],[AvailableToAllSchools]]=TRUE,ROLES[[#This Row],[AvailableToAllSchools]]=FALSE),0,1),1)</f>
        <v>0</v>
      </c>
      <c r="J29" s="57">
        <f>IF(LEN(ROLES[[#This Row],[StaffRoleCode]])&lt;100,0,1)</f>
        <v>0</v>
      </c>
      <c r="K29" s="57">
        <f>IF(LEN(ROLES[[#This Row],[Title]])&lt;100,0,1)</f>
        <v>0</v>
      </c>
      <c r="L29" s="57">
        <f>(COUNTBLANK(ROLES[[#This Row],[MonthsServiceBeforeIncrement]:[StaffRoleEnabled]]))+COUNTBLANK(ROLES[[#This Row],[FullTimeHoursPerWeek]])</f>
        <v>0</v>
      </c>
      <c r="M29" s="57">
        <f>IF(SUBSTITUTE(TEXT(ROLES[[#This Row],[StaffRoleCode]],10)," ","")=TEXT(ROLES[[#This Row],[StaffRoleCode]],10),0,1)</f>
        <v>0</v>
      </c>
      <c r="N29" s="57">
        <f>SUM(ROLES[[#This Row],[Duplicate Role Code]:[Space in Code]])</f>
        <v>3</v>
      </c>
      <c r="P29" s="12" t="s">
        <v>1714</v>
      </c>
      <c r="Q29" s="12" t="s">
        <v>1714</v>
      </c>
      <c r="R29" s="12" t="s">
        <v>1787</v>
      </c>
      <c r="S29" s="12" t="s">
        <v>1390</v>
      </c>
      <c r="T29" s="12">
        <v>37</v>
      </c>
      <c r="U29" s="144" t="b">
        <f>_xlfn.XLOOKUP(ROLES[[#This Row],[PayScaleCode]],'19_PayScales'!N:N,'19_PayScales'!T:T)</f>
        <v>1</v>
      </c>
      <c r="V29" s="146" t="str">
        <f>IF(ROLES[[#This Row],[AvailableToAllSchools]]=TRUE,"",_xlfn.XLOOKUP(ROLES[[#This Row],[PayScaleCode]],'19_PayScales'!N:N,'19_PayScales'!U:U))</f>
        <v/>
      </c>
      <c r="W29" s="12">
        <v>0</v>
      </c>
      <c r="X29" s="12">
        <v>0</v>
      </c>
      <c r="Y29" s="12" t="b">
        <v>1</v>
      </c>
      <c r="Z29" s="12" t="b">
        <v>0</v>
      </c>
    </row>
    <row r="30" spans="1:26" ht="15" customHeight="1" x14ac:dyDescent="0.25">
      <c r="A30" s="57">
        <f>COUNTIF(ROLES[StaffRoleCode],ROLES[[#This Row],[StaffRoleCode]])-1</f>
        <v>0</v>
      </c>
      <c r="B30" s="57">
        <f>COUNTIF(ROLES[Title],ROLES[[#This Row],[Title]])-1</f>
        <v>0</v>
      </c>
      <c r="C30"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30"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30"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30" s="57">
        <f>IF(COUNTIF(PAYSCALES[PayScaleCode],ROLES[[#This Row],[PayScaleCode]])&gt;0,0,1)</f>
        <v>0</v>
      </c>
      <c r="G30" s="57" cm="1">
        <f t="array" ref="G30">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0" s="57">
        <f>IF(ROLES[[#This Row],[AvailableToAllSchools]]=FALSE,IF(ISBLANK(ROLES[[#This Row],[SchoolCodes]]),1,0),IF(ROLES[[#This Row],[AvailableToAllSchools]]=TRUE,IF(ISBLANK(ROLES[[#This Row],[SchoolCodes]]),0,)))</f>
        <v>0</v>
      </c>
      <c r="I30" s="57">
        <f>IF(OR(ROLES[[#This Row],[StaffRoleEnabled]]=TRUE,ROLES[[#This Row],[StaffRoleEnabled]]=FALSE),IF(OR(ROLES[[#This Row],[AvailableToAllSchools]]=TRUE,ROLES[[#This Row],[AvailableToAllSchools]]=FALSE),0,1),1)</f>
        <v>0</v>
      </c>
      <c r="J30" s="57">
        <f>IF(LEN(ROLES[[#This Row],[StaffRoleCode]])&lt;100,0,1)</f>
        <v>0</v>
      </c>
      <c r="K30" s="57">
        <f>IF(LEN(ROLES[[#This Row],[Title]])&lt;100,0,1)</f>
        <v>0</v>
      </c>
      <c r="L30" s="57">
        <f>(COUNTBLANK(ROLES[[#This Row],[MonthsServiceBeforeIncrement]:[StaffRoleEnabled]]))+COUNTBLANK(ROLES[[#This Row],[FullTimeHoursPerWeek]])</f>
        <v>0</v>
      </c>
      <c r="M30" s="57">
        <f>IF(SUBSTITUTE(TEXT(ROLES[[#This Row],[StaffRoleCode]],10)," ","")=TEXT(ROLES[[#This Row],[StaffRoleCode]],10),0,1)</f>
        <v>0</v>
      </c>
      <c r="N30" s="57">
        <f>SUM(ROLES[[#This Row],[Duplicate Role Code]:[Space in Code]])</f>
        <v>3</v>
      </c>
      <c r="P30" s="12" t="s">
        <v>1716</v>
      </c>
      <c r="Q30" s="12" t="s">
        <v>1788</v>
      </c>
      <c r="R30" s="12" t="s">
        <v>1789</v>
      </c>
      <c r="S30" s="12" t="s">
        <v>1390</v>
      </c>
      <c r="T30" s="12">
        <v>37</v>
      </c>
      <c r="U30" s="144" t="b">
        <f>_xlfn.XLOOKUP(ROLES[[#This Row],[PayScaleCode]],'19_PayScales'!N:N,'19_PayScales'!T:T)</f>
        <v>1</v>
      </c>
      <c r="V30" s="146" t="str">
        <f>IF(ROLES[[#This Row],[AvailableToAllSchools]]=TRUE,"",_xlfn.XLOOKUP(ROLES[[#This Row],[PayScaleCode]],'19_PayScales'!N:N,'19_PayScales'!U:U))</f>
        <v/>
      </c>
      <c r="W30" s="12">
        <v>0</v>
      </c>
      <c r="X30" s="12">
        <v>0</v>
      </c>
      <c r="Y30" s="12" t="b">
        <v>1</v>
      </c>
      <c r="Z30" s="12" t="b">
        <v>0</v>
      </c>
    </row>
    <row r="31" spans="1:26" ht="15" customHeight="1" x14ac:dyDescent="0.25">
      <c r="A31" s="57">
        <f>COUNTIF(ROLES[StaffRoleCode],ROLES[[#This Row],[StaffRoleCode]])-1</f>
        <v>0</v>
      </c>
      <c r="B31" s="57">
        <f>COUNTIF(ROLES[Title],ROLES[[#This Row],[Title]])-1</f>
        <v>0</v>
      </c>
      <c r="C31"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31"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31"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31" s="57">
        <f>IF(COUNTIF(PAYSCALES[PayScaleCode],ROLES[[#This Row],[PayScaleCode]])&gt;0,0,1)</f>
        <v>0</v>
      </c>
      <c r="G31" s="57" cm="1">
        <f t="array" ref="G31">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1" s="57">
        <f>IF(ROLES[[#This Row],[AvailableToAllSchools]]=FALSE,IF(ISBLANK(ROLES[[#This Row],[SchoolCodes]]),1,0),IF(ROLES[[#This Row],[AvailableToAllSchools]]=TRUE,IF(ISBLANK(ROLES[[#This Row],[SchoolCodes]]),0,)))</f>
        <v>0</v>
      </c>
      <c r="I31" s="57">
        <f>IF(OR(ROLES[[#This Row],[StaffRoleEnabled]]=TRUE,ROLES[[#This Row],[StaffRoleEnabled]]=FALSE),IF(OR(ROLES[[#This Row],[AvailableToAllSchools]]=TRUE,ROLES[[#This Row],[AvailableToAllSchools]]=FALSE),0,1),1)</f>
        <v>0</v>
      </c>
      <c r="J31" s="57">
        <f>IF(LEN(ROLES[[#This Row],[StaffRoleCode]])&lt;100,0,1)</f>
        <v>0</v>
      </c>
      <c r="K31" s="57">
        <f>IF(LEN(ROLES[[#This Row],[Title]])&lt;100,0,1)</f>
        <v>0</v>
      </c>
      <c r="L31" s="57">
        <f>(COUNTBLANK(ROLES[[#This Row],[MonthsServiceBeforeIncrement]:[StaffRoleEnabled]]))+COUNTBLANK(ROLES[[#This Row],[FullTimeHoursPerWeek]])</f>
        <v>0</v>
      </c>
      <c r="M31" s="57">
        <f>IF(SUBSTITUTE(TEXT(ROLES[[#This Row],[StaffRoleCode]],10)," ","")=TEXT(ROLES[[#This Row],[StaffRoleCode]],10),0,1)</f>
        <v>0</v>
      </c>
      <c r="N31" s="57">
        <f>SUM(ROLES[[#This Row],[Duplicate Role Code]:[Space in Code]])</f>
        <v>3</v>
      </c>
      <c r="P31" s="12" t="s">
        <v>1716</v>
      </c>
      <c r="Q31" s="12" t="s">
        <v>1790</v>
      </c>
      <c r="R31" s="12" t="s">
        <v>1791</v>
      </c>
      <c r="S31" s="12" t="s">
        <v>1390</v>
      </c>
      <c r="T31" s="12">
        <v>37</v>
      </c>
      <c r="U31" s="144" t="b">
        <f>_xlfn.XLOOKUP(ROLES[[#This Row],[PayScaleCode]],'19_PayScales'!N:N,'19_PayScales'!T:T)</f>
        <v>1</v>
      </c>
      <c r="V31" s="146" t="str">
        <f>IF(ROLES[[#This Row],[AvailableToAllSchools]]=TRUE,"",_xlfn.XLOOKUP(ROLES[[#This Row],[PayScaleCode]],'19_PayScales'!N:N,'19_PayScales'!U:U))</f>
        <v/>
      </c>
      <c r="W31" s="12">
        <v>0</v>
      </c>
      <c r="X31" s="12">
        <v>0</v>
      </c>
      <c r="Y31" s="12" t="b">
        <v>1</v>
      </c>
      <c r="Z31" s="12" t="b">
        <v>0</v>
      </c>
    </row>
    <row r="32" spans="1:26" ht="15" customHeight="1" x14ac:dyDescent="0.25">
      <c r="A32" s="57">
        <f>COUNTIF(ROLES[StaffRoleCode],ROLES[[#This Row],[StaffRoleCode]])-1</f>
        <v>0</v>
      </c>
      <c r="B32" s="57">
        <f>COUNTIF(ROLES[Title],ROLES[[#This Row],[Title]])-1</f>
        <v>0</v>
      </c>
      <c r="C32"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32"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32"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32" s="57">
        <f>IF(COUNTIF(PAYSCALES[PayScaleCode],ROLES[[#This Row],[PayScaleCode]])&gt;0,0,1)</f>
        <v>0</v>
      </c>
      <c r="G32" s="57" cm="1">
        <f t="array" ref="G32">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2" s="57">
        <f>IF(ROLES[[#This Row],[AvailableToAllSchools]]=FALSE,IF(ISBLANK(ROLES[[#This Row],[SchoolCodes]]),1,0),IF(ROLES[[#This Row],[AvailableToAllSchools]]=TRUE,IF(ISBLANK(ROLES[[#This Row],[SchoolCodes]]),0,)))</f>
        <v>0</v>
      </c>
      <c r="I32" s="57">
        <f>IF(OR(ROLES[[#This Row],[StaffRoleEnabled]]=TRUE,ROLES[[#This Row],[StaffRoleEnabled]]=FALSE),IF(OR(ROLES[[#This Row],[AvailableToAllSchools]]=TRUE,ROLES[[#This Row],[AvailableToAllSchools]]=FALSE),0,1),1)</f>
        <v>0</v>
      </c>
      <c r="J32" s="57">
        <f>IF(LEN(ROLES[[#This Row],[StaffRoleCode]])&lt;100,0,1)</f>
        <v>0</v>
      </c>
      <c r="K32" s="57">
        <f>IF(LEN(ROLES[[#This Row],[Title]])&lt;100,0,1)</f>
        <v>0</v>
      </c>
      <c r="L32" s="57">
        <f>(COUNTBLANK(ROLES[[#This Row],[MonthsServiceBeforeIncrement]:[StaffRoleEnabled]]))+COUNTBLANK(ROLES[[#This Row],[FullTimeHoursPerWeek]])</f>
        <v>0</v>
      </c>
      <c r="M32" s="57">
        <f>IF(SUBSTITUTE(TEXT(ROLES[[#This Row],[StaffRoleCode]],10)," ","")=TEXT(ROLES[[#This Row],[StaffRoleCode]],10),0,1)</f>
        <v>0</v>
      </c>
      <c r="N32" s="57">
        <f>SUM(ROLES[[#This Row],[Duplicate Role Code]:[Space in Code]])</f>
        <v>3</v>
      </c>
      <c r="P32" s="12" t="s">
        <v>1718</v>
      </c>
      <c r="Q32" s="12" t="s">
        <v>1718</v>
      </c>
      <c r="R32" s="12" t="s">
        <v>1792</v>
      </c>
      <c r="S32" s="12" t="s">
        <v>1390</v>
      </c>
      <c r="T32" s="12">
        <v>37</v>
      </c>
      <c r="U32" s="144" t="b">
        <f>_xlfn.XLOOKUP(ROLES[[#This Row],[PayScaleCode]],'19_PayScales'!N:N,'19_PayScales'!T:T)</f>
        <v>1</v>
      </c>
      <c r="V32" s="146" t="str">
        <f>IF(ROLES[[#This Row],[AvailableToAllSchools]]=TRUE,"",_xlfn.XLOOKUP(ROLES[[#This Row],[PayScaleCode]],'19_PayScales'!N:N,'19_PayScales'!U:U))</f>
        <v/>
      </c>
      <c r="W32" s="12">
        <v>0</v>
      </c>
      <c r="X32" s="12">
        <v>0</v>
      </c>
      <c r="Y32" s="12" t="b">
        <v>1</v>
      </c>
      <c r="Z32" s="12" t="b">
        <v>0</v>
      </c>
    </row>
    <row r="33" spans="1:26" ht="15" customHeight="1" x14ac:dyDescent="0.25">
      <c r="A33" s="57">
        <f>COUNTIF(ROLES[StaffRoleCode],ROLES[[#This Row],[StaffRoleCode]])-1</f>
        <v>0</v>
      </c>
      <c r="B33" s="57">
        <f>COUNTIF(ROLES[Title],ROLES[[#This Row],[Title]])-1</f>
        <v>0</v>
      </c>
      <c r="C33"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33"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33"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33" s="57">
        <f>IF(COUNTIF(PAYSCALES[PayScaleCode],ROLES[[#This Row],[PayScaleCode]])&gt;0,0,1)</f>
        <v>0</v>
      </c>
      <c r="G33" s="57" cm="1">
        <f t="array" ref="G33">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3" s="57">
        <f>IF(ROLES[[#This Row],[AvailableToAllSchools]]=FALSE,IF(ISBLANK(ROLES[[#This Row],[SchoolCodes]]),1,0),IF(ROLES[[#This Row],[AvailableToAllSchools]]=TRUE,IF(ISBLANK(ROLES[[#This Row],[SchoolCodes]]),0,)))</f>
        <v>0</v>
      </c>
      <c r="I33" s="57">
        <f>IF(OR(ROLES[[#This Row],[StaffRoleEnabled]]=TRUE,ROLES[[#This Row],[StaffRoleEnabled]]=FALSE),IF(OR(ROLES[[#This Row],[AvailableToAllSchools]]=TRUE,ROLES[[#This Row],[AvailableToAllSchools]]=FALSE),0,1),1)</f>
        <v>0</v>
      </c>
      <c r="J33" s="57">
        <f>IF(LEN(ROLES[[#This Row],[StaffRoleCode]])&lt;100,0,1)</f>
        <v>0</v>
      </c>
      <c r="K33" s="57">
        <f>IF(LEN(ROLES[[#This Row],[Title]])&lt;100,0,1)</f>
        <v>0</v>
      </c>
      <c r="L33" s="57">
        <f>(COUNTBLANK(ROLES[[#This Row],[MonthsServiceBeforeIncrement]:[StaffRoleEnabled]]))+COUNTBLANK(ROLES[[#This Row],[FullTimeHoursPerWeek]])</f>
        <v>0</v>
      </c>
      <c r="M33" s="57">
        <f>IF(SUBSTITUTE(TEXT(ROLES[[#This Row],[StaffRoleCode]],10)," ","")=TEXT(ROLES[[#This Row],[StaffRoleCode]],10),0,1)</f>
        <v>0</v>
      </c>
      <c r="N33" s="57">
        <f>SUM(ROLES[[#This Row],[Duplicate Role Code]:[Space in Code]])</f>
        <v>3</v>
      </c>
      <c r="P33" s="12" t="s">
        <v>1720</v>
      </c>
      <c r="Q33" s="12" t="s">
        <v>1720</v>
      </c>
      <c r="R33" s="12" t="s">
        <v>1793</v>
      </c>
      <c r="S33" s="12" t="s">
        <v>1390</v>
      </c>
      <c r="T33" s="12">
        <v>37</v>
      </c>
      <c r="U33" s="144" t="b">
        <f>_xlfn.XLOOKUP(ROLES[[#This Row],[PayScaleCode]],'19_PayScales'!N:N,'19_PayScales'!T:T)</f>
        <v>1</v>
      </c>
      <c r="V33" s="146" t="str">
        <f>IF(ROLES[[#This Row],[AvailableToAllSchools]]=TRUE,"",_xlfn.XLOOKUP(ROLES[[#This Row],[PayScaleCode]],'19_PayScales'!N:N,'19_PayScales'!U:U))</f>
        <v/>
      </c>
      <c r="W33" s="12">
        <v>0</v>
      </c>
      <c r="X33" s="12">
        <v>0</v>
      </c>
      <c r="Y33" s="12" t="b">
        <v>1</v>
      </c>
      <c r="Z33" s="12" t="b">
        <v>0</v>
      </c>
    </row>
    <row r="34" spans="1:26" ht="15" customHeight="1" x14ac:dyDescent="0.25">
      <c r="A34" s="57">
        <f>COUNTIF(ROLES[StaffRoleCode],ROLES[[#This Row],[StaffRoleCode]])-1</f>
        <v>0</v>
      </c>
      <c r="B34" s="57">
        <f>COUNTIF(ROLES[Title],ROLES[[#This Row],[Title]])-1</f>
        <v>0</v>
      </c>
      <c r="C34"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34"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34"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34" s="57">
        <f>IF(COUNTIF(PAYSCALES[PayScaleCode],ROLES[[#This Row],[PayScaleCode]])&gt;0,0,1)</f>
        <v>0</v>
      </c>
      <c r="G34" s="57" cm="1">
        <f t="array" ref="G34">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4" s="57">
        <f>IF(ROLES[[#This Row],[AvailableToAllSchools]]=FALSE,IF(ISBLANK(ROLES[[#This Row],[SchoolCodes]]),1,0),IF(ROLES[[#This Row],[AvailableToAllSchools]]=TRUE,IF(ISBLANK(ROLES[[#This Row],[SchoolCodes]]),0,)))</f>
        <v>0</v>
      </c>
      <c r="I34" s="57">
        <f>IF(OR(ROLES[[#This Row],[StaffRoleEnabled]]=TRUE,ROLES[[#This Row],[StaffRoleEnabled]]=FALSE),IF(OR(ROLES[[#This Row],[AvailableToAllSchools]]=TRUE,ROLES[[#This Row],[AvailableToAllSchools]]=FALSE),0,1),1)</f>
        <v>0</v>
      </c>
      <c r="J34" s="57">
        <f>IF(LEN(ROLES[[#This Row],[StaffRoleCode]])&lt;100,0,1)</f>
        <v>0</v>
      </c>
      <c r="K34" s="57">
        <f>IF(LEN(ROLES[[#This Row],[Title]])&lt;100,0,1)</f>
        <v>0</v>
      </c>
      <c r="L34" s="57">
        <f>(COUNTBLANK(ROLES[[#This Row],[MonthsServiceBeforeIncrement]:[StaffRoleEnabled]]))+COUNTBLANK(ROLES[[#This Row],[FullTimeHoursPerWeek]])</f>
        <v>0</v>
      </c>
      <c r="M34" s="57">
        <f>IF(SUBSTITUTE(TEXT(ROLES[[#This Row],[StaffRoleCode]],10)," ","")=TEXT(ROLES[[#This Row],[StaffRoleCode]],10),0,1)</f>
        <v>0</v>
      </c>
      <c r="N34" s="57">
        <f>SUM(ROLES[[#This Row],[Duplicate Role Code]:[Space in Code]])</f>
        <v>3</v>
      </c>
      <c r="P34" s="12" t="s">
        <v>1794</v>
      </c>
      <c r="Q34" s="12" t="s">
        <v>1794</v>
      </c>
      <c r="R34" s="12" t="s">
        <v>1795</v>
      </c>
      <c r="S34" s="12" t="s">
        <v>1390</v>
      </c>
      <c r="T34" s="12">
        <v>37</v>
      </c>
      <c r="U34" s="144" t="b">
        <f>_xlfn.XLOOKUP(ROLES[[#This Row],[PayScaleCode]],'19_PayScales'!N:N,'19_PayScales'!T:T)</f>
        <v>1</v>
      </c>
      <c r="V34" s="146" t="str">
        <f>IF(ROLES[[#This Row],[AvailableToAllSchools]]=TRUE,"",_xlfn.XLOOKUP(ROLES[[#This Row],[PayScaleCode]],'19_PayScales'!N:N,'19_PayScales'!U:U))</f>
        <v/>
      </c>
      <c r="W34" s="12">
        <v>0</v>
      </c>
      <c r="X34" s="12">
        <v>0</v>
      </c>
      <c r="Y34" s="12" t="b">
        <v>1</v>
      </c>
      <c r="Z34" s="12" t="b">
        <v>0</v>
      </c>
    </row>
    <row r="35" spans="1:26" ht="15" customHeight="1" x14ac:dyDescent="0.25">
      <c r="A35" s="57">
        <f>COUNTIF(ROLES[StaffRoleCode],ROLES[[#This Row],[StaffRoleCode]])-1</f>
        <v>0</v>
      </c>
      <c r="B35" s="57">
        <f>COUNTIF(ROLES[Title],ROLES[[#This Row],[Title]])-1</f>
        <v>0</v>
      </c>
      <c r="C35" s="57">
        <f>IFERROR(IF(ROLES[[#This Row],[AvailableToAllSchools]]=TRUE,IF(_xlfn.XLOOKUP((_xlfn.XLOOKUP(ROLES[[#This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Row],[StaffRoleGroupCode]],SRG[StaffRoleGroupCode],SRG[GrossSalaryFinanceCode]),FinanceCodesBudget[FinanceCode],FinanceCodesBudget[SchoolCodes])))),0,1)),IF(_xlfn.XLOOKUP((_xlfn.XLOOKUP(ROLES[[#This Row],[StaffRoleGroupCode]],SRG[StaffRoleGroupCode],SRG[GrossSalaryFinanceCode])),FinanceCodesBudget[FinanceCode],FinanceCodesBudget[AvailableToAllSchools],1,0)=TRUE,0,IF(FIND(ROLES[[#This Row],[SchoolCodes]],_xlfn.TEXTJOIN(",",TRUE,(_xlfn.XLOOKUP(_xlfn.XLOOKUP(ROLES[[#This Row],[StaffRoleGroupCode]],SRG[StaffRoleGroupCode],SRG[GrossSalaryFinanceCode]),FinanceCodesBudget[FinanceCode],FinanceCodesBudget[SchoolCodes])))),0,1))),1)</f>
        <v>1</v>
      </c>
      <c r="D35" s="57">
        <f>IFERROR(IF(ROLES[[#This Row],[AvailableToAllSchools]]=TRUE,IF(_xlfn.XLOOKUP((_xlfn.XLOOKUP(ROLES[[#This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Row],[StaffRoleGroupCode]],SRG[StaffRoleGroupCode],SRG[EmployersNiFinanceCode]),FinanceCodesBudget[FinanceCode],FinanceCodesBudget[SchoolCodes])))),0,1)),IF(_xlfn.XLOOKUP((_xlfn.XLOOKUP(ROLES[[#This Row],[StaffRoleGroupCode]],SRG[StaffRoleGroupCode],SRG[EmployersNiFinanceCode])),FinanceCodesBudget[FinanceCode],FinanceCodesBudget[AvailableToAllSchools],1,0)=TRUE,0,IF(FIND(ROLES[[#This Row],[SchoolCodes]],_xlfn.TEXTJOIN(",",TRUE,(_xlfn.XLOOKUP(_xlfn.XLOOKUP(ROLES[[#This Row],[StaffRoleGroupCode]],SRG[StaffRoleGroupCode],SRG[EmployersNiFinanceCode]),FinanceCodesBudget[FinanceCode],FinanceCodesBudget[SchoolCodes])))),0,1))),1)</f>
        <v>1</v>
      </c>
      <c r="E35" s="57">
        <f>IFERROR(IF(ROLES[[#This Row],[AvailableToAllSchools]]=TRUE,IF(_xlfn.XLOOKUP((_xlfn.XLOOKUP(ROLES[[#This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Row],[StaffRoleGroupCode]],SRG[StaffRoleGroupCode],SRG[PensionFinanceCode]),FinanceCodesBudget[FinanceCode],FinanceCodesBudget[SchoolCodes])))),0,1)),IF(_xlfn.XLOOKUP((_xlfn.XLOOKUP(ROLES[[#This Row],[StaffRoleGroupCode]],SRG[StaffRoleGroupCode],SRG[PensionFinanceCode])),FinanceCodesBudget[FinanceCode],FinanceCodesBudget[AvailableToAllSchools],1,0)=TRUE,0,IF(FIND(ROLES[[#This Row],[SchoolCodes]],_xlfn.TEXTJOIN(",",TRUE,(_xlfn.XLOOKUP(_xlfn.XLOOKUP(ROLES[[#This Row],[StaffRoleGroupCode]],SRG[StaffRoleGroupCode],SRG[PensionFinanceCode]),FinanceCodesBudget[FinanceCode],FinanceCodesBudget[SchoolCodes])))),0,1))),1)</f>
        <v>1</v>
      </c>
      <c r="F35" s="57">
        <f>IF(COUNTIF(PAYSCALES[PayScaleCode],ROLES[[#This Row],[PayScaleCode]])&gt;0,0,1)</f>
        <v>0</v>
      </c>
      <c r="G35" s="57" cm="1">
        <f t="array" ref="G35">IF(_xlfn.XLOOKUP(ROLES[[#This Row],[PayScaleCode]],PAYSCALES[PayScaleCode],PAYSCALES[AvailableToAllSchools])=TRUE,0,IF(ROLES[[#This Row],[AvailableToAllSchools]]=TRUE,1,IF(_xlfn.LET(_xlpm.sourceCodes, _xlfn.TEXTSPLIT(ROLES[[#This Row],[SchoolCodes]], ","),_xlpm.targetCodes, _xlfn.TEXTSPLIT(_xlfn.XLOOKUP(ROLES[[#This Row],[PayScaleCode]],PAYSCALES[PayScaleCode],PAYSCALES[SchoolCodes],1), ","),_xlpm.trimmedSource, TRIM(_xlpm.sourceCodes),_xlpm.trimmedTarget, TRIM(_xlpm.targetCodes),_xlpm.matches, ISNUMBER(MATCH(_xlpm.trimmedSource, _xlpm.trimmedTarget, 0)),AND(_xlpm.matches))=TRUE,0,1)))</f>
        <v>0</v>
      </c>
      <c r="H35" s="57">
        <f>IF(ROLES[[#This Row],[AvailableToAllSchools]]=FALSE,IF(ISBLANK(ROLES[[#This Row],[SchoolCodes]]),1,0),IF(ROLES[[#This Row],[AvailableToAllSchools]]=TRUE,IF(ISBLANK(ROLES[[#This Row],[SchoolCodes]]),0,)))</f>
        <v>0</v>
      </c>
      <c r="I35" s="57">
        <f>IF(OR(ROLES[[#This Row],[StaffRoleEnabled]]=TRUE,ROLES[[#This Row],[StaffRoleEnabled]]=FALSE),IF(OR(ROLES[[#This Row],[AvailableToAllSchools]]=TRUE,ROLES[[#This Row],[AvailableToAllSchools]]=FALSE),0,1),1)</f>
        <v>0</v>
      </c>
      <c r="J35" s="57">
        <f>IF(LEN(ROLES[[#This Row],[StaffRoleCode]])&lt;100,0,1)</f>
        <v>0</v>
      </c>
      <c r="K35" s="57">
        <f>IF(LEN(ROLES[[#This Row],[Title]])&lt;100,0,1)</f>
        <v>0</v>
      </c>
      <c r="L35" s="57">
        <f>(COUNTBLANK(ROLES[[#This Row],[MonthsServiceBeforeIncrement]:[StaffRoleEnabled]]))+COUNTBLANK(ROLES[[#This Row],[FullTimeHoursPerWeek]])</f>
        <v>0</v>
      </c>
      <c r="M35" s="57">
        <f>IF(SUBSTITUTE(TEXT(ROLES[[#This Row],[StaffRoleCode]],10)," ","")=TEXT(ROLES[[#This Row],[StaffRoleCode]],10),0,1)</f>
        <v>0</v>
      </c>
      <c r="N35" s="57">
        <f>SUM(ROLES[[#This Row],[Duplicate Role Code]:[Space in Code]])</f>
        <v>3</v>
      </c>
      <c r="P35" s="12" t="s">
        <v>1630</v>
      </c>
      <c r="Q35" s="12" t="s">
        <v>1630</v>
      </c>
      <c r="R35" s="12" t="s">
        <v>1796</v>
      </c>
      <c r="S35" s="12" t="s">
        <v>1390</v>
      </c>
      <c r="T35" s="12">
        <v>37</v>
      </c>
      <c r="U35" s="144" t="b">
        <f>_xlfn.XLOOKUP(ROLES[[#This Row],[PayScaleCode]],'19_PayScales'!N:N,'19_PayScales'!T:T)</f>
        <v>1</v>
      </c>
      <c r="V35" s="146" t="str">
        <f>IF(ROLES[[#This Row],[AvailableToAllSchools]]=TRUE,"",_xlfn.XLOOKUP(ROLES[[#This Row],[PayScaleCode]],'19_PayScales'!N:N,'19_PayScales'!U:U))</f>
        <v/>
      </c>
      <c r="W35" s="12">
        <v>0</v>
      </c>
      <c r="X35" s="12">
        <v>0</v>
      </c>
      <c r="Y35" s="12" t="b">
        <v>1</v>
      </c>
      <c r="Z35" s="12" t="b">
        <v>0</v>
      </c>
    </row>
  </sheetData>
  <phoneticPr fontId="2" type="noConversion"/>
  <dataValidations count="1">
    <dataValidation type="list" allowBlank="1" showInputMessage="1" showErrorMessage="1" sqref="S36:S1048576" xr:uid="{0AFAC82B-E9BB-4F9D-A343-DC14D0943176}">
      <formula1>#REF!</formula1>
    </dataValidation>
  </dataValidations>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46A0146A-BECE-4DAD-B81A-144A90B47B85}">
          <x14:formula1>
            <xm:f>Validation!$G$2:$G$4</xm:f>
          </x14:formula1>
          <xm:sqref>U2:U35 Y2:Z35</xm:sqref>
        </x14:dataValidation>
        <x14:dataValidation type="list" allowBlank="1" showInputMessage="1" showErrorMessage="1" xr:uid="{AD92B7BF-2A95-49CC-87B6-6FCD3CE41122}">
          <x14:formula1>
            <xm:f>'26_StfRoleGroup'!$AB$2:$AB$4998</xm:f>
          </x14:formula1>
          <xm:sqref>P2:P1048576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0D323A-2E07-4898-93B9-CA7C1BF11438}">
  <sheetPr>
    <tabColor theme="4" tint="0.79998168889431442"/>
  </sheetPr>
  <dimension ref="A1:B4"/>
  <sheetViews>
    <sheetView workbookViewId="0">
      <selection activeCell="X31" sqref="X31"/>
    </sheetView>
  </sheetViews>
  <sheetFormatPr defaultRowHeight="15" x14ac:dyDescent="0.25"/>
  <cols>
    <col min="2" max="2" width="12.28515625" bestFit="1" customWidth="1"/>
  </cols>
  <sheetData>
    <row r="1" spans="1:2" x14ac:dyDescent="0.25">
      <c r="A1" s="74" t="s">
        <v>1797</v>
      </c>
      <c r="B1" s="74" t="s">
        <v>1076</v>
      </c>
    </row>
    <row r="2" spans="1:2" x14ac:dyDescent="0.25">
      <c r="A2" s="75" t="s">
        <v>1798</v>
      </c>
      <c r="B2" s="75" t="s">
        <v>1799</v>
      </c>
    </row>
    <row r="3" spans="1:2" x14ac:dyDescent="0.25">
      <c r="A3" s="76" t="s">
        <v>1800</v>
      </c>
      <c r="B3" s="76" t="s">
        <v>1801</v>
      </c>
    </row>
    <row r="4" spans="1:2" x14ac:dyDescent="0.25">
      <c r="A4" s="76" t="s">
        <v>1035</v>
      </c>
      <c r="B4" s="76" t="s">
        <v>1802</v>
      </c>
    </row>
  </sheetData>
  <pageMargins left="0.7" right="0.7" top="0.75" bottom="0.75" header="0.3" footer="0.3"/>
  <tableParts count="1">
    <tablePart r:id="rId1"/>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FB0B3-7341-43D8-ABAE-F20379E8D471}">
  <sheetPr>
    <tabColor theme="4" tint="0.79998168889431442"/>
  </sheetPr>
  <dimension ref="A1:B9"/>
  <sheetViews>
    <sheetView workbookViewId="0">
      <selection activeCell="E14" sqref="E14"/>
    </sheetView>
  </sheetViews>
  <sheetFormatPr defaultRowHeight="15" x14ac:dyDescent="0.25"/>
  <cols>
    <col min="1" max="1" width="14.28515625" customWidth="1"/>
    <col min="2" max="2" width="15" bestFit="1" customWidth="1"/>
  </cols>
  <sheetData>
    <row r="1" spans="1:2" x14ac:dyDescent="0.25">
      <c r="A1" s="74" t="s">
        <v>1797</v>
      </c>
      <c r="B1" s="74" t="s">
        <v>1076</v>
      </c>
    </row>
    <row r="2" spans="1:2" x14ac:dyDescent="0.25">
      <c r="A2" s="75" t="s">
        <v>1803</v>
      </c>
      <c r="B2" s="75" t="s">
        <v>1804</v>
      </c>
    </row>
    <row r="3" spans="1:2" x14ac:dyDescent="0.25">
      <c r="A3" s="76" t="s">
        <v>1093</v>
      </c>
      <c r="B3" s="76" t="s">
        <v>1805</v>
      </c>
    </row>
    <row r="4" spans="1:2" x14ac:dyDescent="0.25">
      <c r="A4" s="76" t="s">
        <v>1630</v>
      </c>
      <c r="B4" s="76" t="s">
        <v>1111</v>
      </c>
    </row>
    <row r="5" spans="1:2" x14ac:dyDescent="0.25">
      <c r="A5" s="75" t="s">
        <v>1806</v>
      </c>
      <c r="B5" s="75" t="s">
        <v>1807</v>
      </c>
    </row>
    <row r="6" spans="1:2" x14ac:dyDescent="0.25">
      <c r="A6" s="75" t="s">
        <v>1808</v>
      </c>
      <c r="B6" s="75" t="s">
        <v>1809</v>
      </c>
    </row>
    <row r="7" spans="1:2" x14ac:dyDescent="0.25">
      <c r="A7" s="75" t="s">
        <v>1810</v>
      </c>
      <c r="B7" s="75" t="s">
        <v>1811</v>
      </c>
    </row>
    <row r="8" spans="1:2" x14ac:dyDescent="0.25">
      <c r="A8" s="75" t="s">
        <v>1812</v>
      </c>
      <c r="B8" s="75" t="s">
        <v>1813</v>
      </c>
    </row>
    <row r="9" spans="1:2" x14ac:dyDescent="0.25">
      <c r="A9" s="75" t="s">
        <v>1035</v>
      </c>
      <c r="B9" s="75" t="s">
        <v>1802</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223B2-16B1-4501-A062-F3DA2D98ED7C}">
  <sheetPr codeName="Sheet34">
    <tabColor theme="4" tint="0.79998168889431442"/>
  </sheetPr>
  <dimension ref="A1:AC3"/>
  <sheetViews>
    <sheetView zoomScaleNormal="100" workbookViewId="0">
      <pane ySplit="1" topLeftCell="A2" activePane="bottomLeft" state="frozen"/>
      <selection activeCell="D2" sqref="D2"/>
      <selection pane="bottomLeft" activeCell="AA22" sqref="AA22"/>
    </sheetView>
  </sheetViews>
  <sheetFormatPr defaultColWidth="8.5703125" defaultRowHeight="15" outlineLevelCol="1" x14ac:dyDescent="0.25"/>
  <cols>
    <col min="1" max="1" width="16.7109375" style="15" hidden="1" customWidth="1" outlineLevel="1"/>
    <col min="2" max="2" width="10.42578125" style="15" hidden="1" customWidth="1" outlineLevel="1"/>
    <col min="3" max="3" width="10.7109375" style="12" hidden="1" customWidth="1" outlineLevel="1"/>
    <col min="4" max="4" width="10.42578125" style="12" hidden="1" customWidth="1" outlineLevel="1"/>
    <col min="5" max="12" width="10.7109375" style="12" hidden="1" customWidth="1" outlineLevel="1"/>
    <col min="13" max="13" width="10.7109375" style="12" customWidth="1" collapsed="1"/>
    <col min="14" max="14" width="12.7109375" style="12" bestFit="1" customWidth="1"/>
    <col min="15" max="17" width="12.7109375" style="15" customWidth="1"/>
    <col min="18" max="18" width="12.28515625" style="12" customWidth="1"/>
    <col min="19" max="19" width="11.28515625" style="21" customWidth="1"/>
    <col min="20" max="20" width="10.7109375" style="20" customWidth="1"/>
    <col min="21" max="21" width="11.28515625" style="20" customWidth="1"/>
    <col min="22" max="22" width="14.28515625" style="13" customWidth="1"/>
    <col min="23" max="23" width="8.28515625" style="12" customWidth="1"/>
    <col min="24" max="24" width="10.7109375" style="13" customWidth="1"/>
    <col min="25" max="25" width="12.28515625" style="12" bestFit="1" customWidth="1"/>
    <col min="26" max="26" width="12.7109375" style="12" customWidth="1"/>
    <col min="27" max="27" width="13.85546875" style="12" customWidth="1"/>
    <col min="28" max="28" width="12.28515625" style="12" customWidth="1"/>
    <col min="29" max="29" width="10.7109375" style="12" customWidth="1"/>
    <col min="30" max="16384" width="8.5703125" style="12"/>
  </cols>
  <sheetData>
    <row r="1" spans="1:29" s="24" customFormat="1" ht="60" x14ac:dyDescent="0.25">
      <c r="A1" s="122" t="s">
        <v>1814</v>
      </c>
      <c r="B1" s="65" t="s">
        <v>1815</v>
      </c>
      <c r="C1" s="65" t="s">
        <v>1816</v>
      </c>
      <c r="D1" s="65" t="s">
        <v>1817</v>
      </c>
      <c r="E1" s="53" t="s">
        <v>1362</v>
      </c>
      <c r="F1" s="65" t="s">
        <v>1507</v>
      </c>
      <c r="G1" s="65" t="s">
        <v>1508</v>
      </c>
      <c r="H1" s="65" t="s">
        <v>1364</v>
      </c>
      <c r="I1" s="53" t="s">
        <v>1365</v>
      </c>
      <c r="J1" s="53" t="s">
        <v>1366</v>
      </c>
      <c r="K1" s="53" t="s">
        <v>1367</v>
      </c>
      <c r="L1" s="65" t="s">
        <v>1368</v>
      </c>
      <c r="M1" s="59" t="s">
        <v>1126</v>
      </c>
      <c r="N1" s="67" t="s">
        <v>1371</v>
      </c>
      <c r="O1" s="50" t="s">
        <v>1818</v>
      </c>
      <c r="P1" s="50" t="s">
        <v>1819</v>
      </c>
      <c r="Q1" s="50" t="s">
        <v>1820</v>
      </c>
      <c r="R1" s="143" t="s">
        <v>1076</v>
      </c>
      <c r="S1" s="58" t="s">
        <v>1821</v>
      </c>
      <c r="T1" s="58" t="s">
        <v>1822</v>
      </c>
      <c r="U1" s="58" t="s">
        <v>1823</v>
      </c>
      <c r="V1" s="67" t="s">
        <v>1824</v>
      </c>
      <c r="W1" s="67" t="s">
        <v>1825</v>
      </c>
      <c r="X1" s="67" t="s">
        <v>1150</v>
      </c>
      <c r="Y1" s="67" t="s">
        <v>1151</v>
      </c>
      <c r="Z1" s="67" t="s">
        <v>1826</v>
      </c>
      <c r="AA1" s="67" t="s">
        <v>1827</v>
      </c>
      <c r="AB1" s="67" t="s">
        <v>1828</v>
      </c>
      <c r="AC1" s="67" t="s">
        <v>1829</v>
      </c>
    </row>
    <row r="2" spans="1:29" x14ac:dyDescent="0.25">
      <c r="A2" s="57" t="str">
        <f>MEMBERS[[#This Row],[Title]]&amp;MEMBERS[[#This Row],[ServiceStartDate]]</f>
        <v>Kim Jordan44075</v>
      </c>
      <c r="B2" s="57">
        <f>IF(COUNTIF(MEMBERS[NameServiceStart],MEMBERS[[#This Row],[NameServiceStart]])=1,0,1)</f>
        <v>0</v>
      </c>
      <c r="C2" s="57">
        <f>IF(COUNTIF(MEMBERS[StaffMemberCode],MEMBERS[[#This Row],[StaffMemberCode]])=1,0,1)</f>
        <v>0</v>
      </c>
      <c r="D2" s="57">
        <f>IF(ISBLANK(MEMBERS[[#This Row],[PayrollLocation]]),0,IF(COUNTIF(SCHOOLS[SchoolCode],MEMBERS[[#This Row],[PayrollLocation]])=1,0,1))</f>
        <v>0</v>
      </c>
      <c r="E2" s="57">
        <f>IF(MEMBERS[[#This Row],[AvailableToAllSchools]]=FALSE,IF(ISBLANK(MEMBERS[[#This Row],[SchoolCodes]]),1,0),IF(MEMBERS[[#This Row],[AvailableToAllSchools]]=TRUE,IF(ISBLANK(MEMBERS[[#This Row],[SchoolCodes]]),0,1)))</f>
        <v>0</v>
      </c>
      <c r="F2" s="57">
        <f>IF(ISBLANK(MEMBERS[[#This Row],[ServiceEndDate]]),0,IF(MEMBERS[[#This Row],[ServiceStartDate]]&lt;MEMBERS[[#This Row],[ServiceEndDate]],0,1))</f>
        <v>0</v>
      </c>
      <c r="G2" s="57" cm="1">
        <f t="array" aca="1" ref="G2" ca="1">IF(CELL("format",MEMBERS[[#This Row],[ServiceStartDate]])="D1",0,1)+IF(CELL("format",MEMBERS[[#This Row],[ServiceEndDate]])="D1",0,1)</f>
        <v>0</v>
      </c>
      <c r="H2"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2" s="57">
        <f>IF(LEN(MEMBERS[[#This Row],[StaffMemberCode]])&lt;100,0,1)</f>
        <v>0</v>
      </c>
      <c r="J2" s="57">
        <f>IF(LEN(MEMBERS[[#This Row],[Title]])&lt;100,0,1)</f>
        <v>0</v>
      </c>
      <c r="K2" s="57">
        <f>COUNTBLANK(MEMBERS[[#This Row],[StaffMemberCode]:[ServiceStartDate]])+COUNTBLANK(MEMBERS[[#This Row],[Apprenticeship]]:MEMBERS[[#This Row],[StaffMemberEnabled]])+COUNTBLANK(MEMBERS[[#This Row],[GenderCode]]:MEMBERS[[#This Row],[Casual]])</f>
        <v>0</v>
      </c>
      <c r="L2" s="57">
        <f>IF(SUBSTITUTE(TEXT(MEMBERS[[#This Row],[StaffMemberCode]],10)," ","")=TEXT(MEMBERS[[#This Row],[StaffMemberCode]],10),0,1)</f>
        <v>0</v>
      </c>
      <c r="M2" s="57">
        <f ca="1">SUM(MEMBERS[[#This Row],[Duplicate NameService Start]:[Space in Code]])</f>
        <v>0</v>
      </c>
      <c r="O2" s="151">
        <v>123456</v>
      </c>
      <c r="P2" s="152" t="s">
        <v>1830</v>
      </c>
      <c r="Q2" s="152" t="s">
        <v>1831</v>
      </c>
      <c r="R2" s="153" t="str">
        <f>MEMBERS[[#This Row],[FirstName]]&amp;" "&amp;MEMBERS[[#This Row],[LastName]]</f>
        <v>Kim Jordan</v>
      </c>
      <c r="S2" s="20">
        <v>44075</v>
      </c>
      <c r="V2" s="12" t="b">
        <v>0</v>
      </c>
      <c r="W2" s="12" t="b">
        <v>0</v>
      </c>
      <c r="X2" s="12" t="b">
        <v>0</v>
      </c>
      <c r="Y2" s="12" t="s">
        <v>1093</v>
      </c>
      <c r="Z2" s="12" t="b">
        <v>1</v>
      </c>
      <c r="AB2" s="12" t="s">
        <v>1035</v>
      </c>
      <c r="AC2" s="12" t="b">
        <v>0</v>
      </c>
    </row>
    <row r="3" spans="1:29" x14ac:dyDescent="0.25">
      <c r="A3" s="57" t="str">
        <f>MEMBERS[[#This Row],[Title]]&amp;MEMBERS[[#This Row],[ServiceStartDate]]</f>
        <v xml:space="preserve"> </v>
      </c>
      <c r="B3" s="57">
        <f>IF(COUNTIF(MEMBERS[NameServiceStart],MEMBERS[[#This Row],[NameServiceStart]])=1,0,1)</f>
        <v>0</v>
      </c>
      <c r="C3" s="57">
        <f>IF(COUNTIF(MEMBERS[StaffMemberCode],MEMBERS[[#This Row],[StaffMemberCode]])=1,0,1)</f>
        <v>1</v>
      </c>
      <c r="D3" s="57">
        <f>IF(ISBLANK(MEMBERS[[#This Row],[PayrollLocation]]),0,IF(COUNTIF(SCHOOLS[SchoolCode],MEMBERS[[#This Row],[PayrollLocation]])=1,0,1))</f>
        <v>0</v>
      </c>
      <c r="E3" s="57">
        <f>IF(MEMBERS[[#This Row],[AvailableToAllSchools]]=FALSE,IF(ISBLANK(MEMBERS[[#This Row],[SchoolCodes]]),1,0),IF(MEMBERS[[#This Row],[AvailableToAllSchools]]=TRUE,IF(ISBLANK(MEMBERS[[#This Row],[SchoolCodes]]),0,1)))</f>
        <v>1</v>
      </c>
      <c r="F3" s="57">
        <f>IF(ISBLANK(MEMBERS[[#This Row],[ServiceEndDate]]),0,IF(MEMBERS[[#This Row],[ServiceStartDate]]&lt;MEMBERS[[#This Row],[ServiceEndDate]],0,1))</f>
        <v>0</v>
      </c>
      <c r="G3" s="57" cm="1">
        <f t="array" aca="1" ref="G3" ca="1">IF(CELL("format",MEMBERS[[#This Row],[ServiceStartDate]])="D1",0,1)+IF(CELL("format",MEMBERS[[#This Row],[ServiceEndDate]])="D1",0,1)</f>
        <v>0</v>
      </c>
      <c r="H3" s="57">
        <f>IF(OR(MEMBERS[[#This Row],[Apprenticeship]]=TRUE,MEMBERS[[#This Row],[Apprenticeship]]=FALSE),IF(OR(MEMBERS[[#This Row],[AvailableToAllSchools]]=TRUE,MEMBERS[[#This Row],[AvailableToAllSchools]]=FALSE),IF(OR(MEMBERS[[#This Row],[PensionOptOut]]=TRUE,MEMBERS[[#This Row],[PensionOptOut]]=FALSE),IF(OR(MEMBERS[[#This Row],[StaffMemberEnabled]]=TRUE,MEMBERS[[#This Row],[StaffMemberEnabled]]=FALSE),IF(OR(MEMBERS[[#This Row],[Casual]]=TRUE,MEMBERS[[#This Row],[Casual]]=FALSE),0,1),1),1),1),1)</f>
        <v>0</v>
      </c>
      <c r="I3" s="57">
        <f>IF(LEN(MEMBERS[[#This Row],[StaffMemberCode]])&lt;100,0,1)</f>
        <v>0</v>
      </c>
      <c r="J3" s="57">
        <f>IF(LEN(MEMBERS[[#This Row],[Title]])&lt;100,0,1)</f>
        <v>0</v>
      </c>
      <c r="K3" s="57">
        <f>COUNTBLANK(MEMBERS[[#This Row],[StaffMemberCode]:[ServiceStartDate]])+COUNTBLANK(MEMBERS[[#This Row],[Apprenticeship]]:MEMBERS[[#This Row],[StaffMemberEnabled]])+COUNTBLANK(MEMBERS[[#This Row],[GenderCode]]:MEMBERS[[#This Row],[Casual]])</f>
        <v>11</v>
      </c>
      <c r="L3" s="57">
        <f>IF(SUBSTITUTE(TEXT(MEMBERS[[#This Row],[StaffMemberCode]],10)," ","")=TEXT(MEMBERS[[#This Row],[StaffMemberCode]],10),0,1)</f>
        <v>0</v>
      </c>
      <c r="M3" s="57">
        <f ca="1">SUM(MEMBERS[[#This Row],[Duplicate NameService Start]:[Space in Code]])</f>
        <v>13</v>
      </c>
      <c r="O3" s="12"/>
      <c r="R3" s="144" t="str">
        <f>MEMBERS[[#This Row],[FirstName]]&amp;" "&amp;MEMBERS[[#This Row],[LastName]]</f>
        <v xml:space="preserve"> </v>
      </c>
      <c r="S3" s="20"/>
    </row>
  </sheetData>
  <phoneticPr fontId="2" type="noConversion"/>
  <pageMargins left="0.7" right="0.7" top="0.75" bottom="0.75" header="0.3" footer="0.3"/>
  <pageSetup paperSize="9" orientation="portrait" horizontalDpi="300" verticalDpi="300" r:id="rId1"/>
  <legacyDrawing r:id="rId2"/>
  <tableParts count="1">
    <tablePart r:id="rId3"/>
  </tableParts>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4D8419-2A65-498A-A7A7-69FCCD285291}">
  <sheetPr codeName="Sheet27">
    <tabColor theme="4" tint="0.79998168889431442"/>
  </sheetPr>
  <dimension ref="A1:AX4"/>
  <sheetViews>
    <sheetView zoomScaleNormal="100" workbookViewId="0">
      <pane ySplit="1" topLeftCell="A2" activePane="bottomLeft" state="frozen"/>
      <selection activeCell="D2" sqref="D2"/>
      <selection pane="bottomLeft" activeCell="AG11" sqref="AG11"/>
    </sheetView>
  </sheetViews>
  <sheetFormatPr defaultColWidth="9.28515625" defaultRowHeight="15" outlineLevelCol="1" x14ac:dyDescent="0.25"/>
  <cols>
    <col min="1" max="8" width="10.5703125" style="12" hidden="1" customWidth="1" outlineLevel="1"/>
    <col min="9" max="9" width="9.28515625" style="12" hidden="1" customWidth="1" outlineLevel="1"/>
    <col min="10" max="10" width="8.7109375" style="12" hidden="1" customWidth="1" outlineLevel="1"/>
    <col min="11" max="11" width="10.5703125" style="12" hidden="1" customWidth="1" outlineLevel="1"/>
    <col min="12" max="13" width="8.85546875" style="12" hidden="1" customWidth="1" outlineLevel="1"/>
    <col min="14" max="14" width="10.140625" style="12" hidden="1" customWidth="1" outlineLevel="1"/>
    <col min="15" max="15" width="8.5703125" style="12" hidden="1" customWidth="1" outlineLevel="1"/>
    <col min="16" max="20" width="10.5703125" style="12" hidden="1" customWidth="1" outlineLevel="1"/>
    <col min="21" max="22" width="8.42578125" style="12" hidden="1" customWidth="1" outlineLevel="1"/>
    <col min="23" max="23" width="9" style="12" hidden="1" customWidth="1" outlineLevel="1"/>
    <col min="24" max="24" width="9" style="148" hidden="1" customWidth="1" outlineLevel="1"/>
    <col min="25" max="25" width="10.5703125" style="12" customWidth="1" collapsed="1"/>
    <col min="26" max="26" width="12.7109375" style="12" bestFit="1" customWidth="1"/>
    <col min="27" max="27" width="12.28515625" style="12" bestFit="1" customWidth="1"/>
    <col min="28" max="28" width="12.7109375" style="15" customWidth="1"/>
    <col min="29" max="29" width="10.5703125" style="12" customWidth="1"/>
    <col min="30" max="30" width="10.7109375" style="12" bestFit="1" customWidth="1"/>
    <col min="31" max="31" width="13.42578125" style="12" customWidth="1"/>
    <col min="32" max="32" width="9.7109375" style="12" customWidth="1"/>
    <col min="33" max="33" width="6.85546875" style="12" bestFit="1" customWidth="1"/>
    <col min="34" max="35" width="13.140625" style="12" customWidth="1"/>
    <col min="36" max="36" width="13.85546875" style="12" customWidth="1"/>
    <col min="37" max="37" width="13.28515625" style="12" customWidth="1"/>
    <col min="38" max="38" width="11.28515625" style="12" customWidth="1"/>
    <col min="39" max="39" width="10.5703125" style="12" customWidth="1"/>
    <col min="40" max="40" width="7.85546875" style="12" customWidth="1"/>
    <col min="41" max="41" width="13.28515625" style="20" customWidth="1"/>
    <col min="42" max="42" width="11.7109375" style="20" customWidth="1"/>
    <col min="43" max="43" width="10.7109375" style="20" bestFit="1" customWidth="1"/>
    <col min="44" max="44" width="10.5703125" style="12" customWidth="1"/>
    <col min="45" max="45" width="8.28515625" style="12" customWidth="1"/>
    <col min="46" max="46" width="10.5703125" style="12" customWidth="1"/>
    <col min="47" max="47" width="12.7109375" bestFit="1" customWidth="1"/>
    <col min="48" max="48" width="10.5703125" style="12" customWidth="1"/>
    <col min="49" max="16384" width="9.28515625" style="12"/>
  </cols>
  <sheetData>
    <row r="1" spans="1:50" s="24" customFormat="1" ht="45" x14ac:dyDescent="0.25">
      <c r="A1" s="122" t="s">
        <v>1832</v>
      </c>
      <c r="B1" s="59" t="s">
        <v>1833</v>
      </c>
      <c r="C1" s="65" t="s">
        <v>1834</v>
      </c>
      <c r="D1" s="65" t="s">
        <v>1835</v>
      </c>
      <c r="E1" s="65" t="s">
        <v>1836</v>
      </c>
      <c r="F1" s="65" t="s">
        <v>1837</v>
      </c>
      <c r="G1" s="65" t="s">
        <v>1838</v>
      </c>
      <c r="H1" s="65" t="s">
        <v>1839</v>
      </c>
      <c r="I1" s="65" t="s">
        <v>1840</v>
      </c>
      <c r="J1" s="65" t="s">
        <v>1841</v>
      </c>
      <c r="K1" s="65" t="s">
        <v>1842</v>
      </c>
      <c r="L1" s="65" t="s">
        <v>1843</v>
      </c>
      <c r="M1" s="65" t="s">
        <v>1844</v>
      </c>
      <c r="N1" s="65" t="s">
        <v>1845</v>
      </c>
      <c r="O1" s="65" t="s">
        <v>1846</v>
      </c>
      <c r="P1" s="65" t="s">
        <v>1847</v>
      </c>
      <c r="Q1" s="65" t="s">
        <v>1848</v>
      </c>
      <c r="R1" s="65" t="s">
        <v>1849</v>
      </c>
      <c r="S1" s="65" t="s">
        <v>1507</v>
      </c>
      <c r="T1" s="65" t="s">
        <v>1508</v>
      </c>
      <c r="U1" s="65" t="s">
        <v>1364</v>
      </c>
      <c r="V1" s="65" t="s">
        <v>1850</v>
      </c>
      <c r="W1" s="65" t="s">
        <v>1851</v>
      </c>
      <c r="X1" s="131" t="s">
        <v>1368</v>
      </c>
      <c r="Y1" s="59" t="s">
        <v>1126</v>
      </c>
      <c r="Z1" s="67" t="s">
        <v>1371</v>
      </c>
      <c r="AA1" s="67" t="s">
        <v>1130</v>
      </c>
      <c r="AB1" s="50" t="s">
        <v>1818</v>
      </c>
      <c r="AC1" s="67" t="s">
        <v>1852</v>
      </c>
      <c r="AD1" s="65" t="s">
        <v>1076</v>
      </c>
      <c r="AE1" s="67" t="s">
        <v>1731</v>
      </c>
      <c r="AF1" s="65" t="s">
        <v>1853</v>
      </c>
      <c r="AG1" s="65" t="s">
        <v>1854</v>
      </c>
      <c r="AH1" s="65" t="s">
        <v>1372</v>
      </c>
      <c r="AI1" s="65" t="s">
        <v>2050</v>
      </c>
      <c r="AJ1" s="67" t="s">
        <v>1433</v>
      </c>
      <c r="AK1" s="67" t="s">
        <v>1509</v>
      </c>
      <c r="AL1" s="67" t="s">
        <v>1149</v>
      </c>
      <c r="AM1" s="67" t="s">
        <v>1075</v>
      </c>
      <c r="AN1" s="67" t="s">
        <v>1634</v>
      </c>
      <c r="AO1" s="67" t="s">
        <v>1643</v>
      </c>
      <c r="AP1" s="58" t="s">
        <v>1855</v>
      </c>
      <c r="AQ1" s="58" t="s">
        <v>1856</v>
      </c>
      <c r="AR1" s="67" t="s">
        <v>1857</v>
      </c>
      <c r="AS1" s="67" t="s">
        <v>1858</v>
      </c>
      <c r="AT1" s="67" t="s">
        <v>1859</v>
      </c>
      <c r="AU1" s="67" t="s">
        <v>1860</v>
      </c>
      <c r="AV1" s="67" t="s">
        <v>29</v>
      </c>
    </row>
    <row r="2" spans="1:50" x14ac:dyDescent="0.25">
      <c r="A2" s="57" t="str">
        <f>AA2&amp;AB2&amp;AC2&amp;AE2&amp;AL2&amp;AP2</f>
        <v>MAT123456TEATRIP_BSL44075</v>
      </c>
      <c r="B2" s="57">
        <f>COUNTIF(CONT_TEA[Unique Contract],CONT_TEA[[#This Row],[Unique Contract]])-1</f>
        <v>0</v>
      </c>
      <c r="C2" s="57">
        <f>IFERROR(IF(FIND(CONT_TEA[[#This Row],[SchoolCode]],_xlfn.XLOOKUP(CONT_TEA[[#This Row],[StaffMemberCode]],MEMBERS[StaffMemberCode],MEMBERS[SchoolCodes]))&gt;0,0,1),1)</f>
        <v>0</v>
      </c>
      <c r="D2" s="57" cm="1">
        <f t="array" ref="D2">IF(_xlfn.XLOOKUP(CONT_TEA[[#This Row],[StaffRoleCode]],ROLES[StaffRoleCode],ROLES[AvailableToAllSchools],1,0,)=TRUE,0,IF(ISERROR(FIND(CONT_TEA[[#This Row],[SchoolCode]],_xlfn.TEXTJOIN(",",TRUE,_xlfn.UNIQUE(IF(ROLES[StaffRoleCode]=CONT_TEA[[#This Row],[StaffRoleCode]],ROLES[SchoolCodes],""))))),1,0))</f>
        <v>0</v>
      </c>
      <c r="E2" s="66" cm="1">
        <f t="array" ref="E2">IF(_xlfn.XLOOKUP(CONT_TEA[[#This Row],[SRG Gross]],FinanceCodesBudget[FinanceCode],FinanceCodesBudget[AvailableToAllSchools],1,0,)=TRUE,0,IF(ISERROR(FIND(CONT_TEA[[#This Row],[SchoolCode]],_xlfn.TEXTJOIN(",",TRUE,_xlfn.UNIQUE(IF(FinanceCodesBudget[FinanceCode]=CONT_TEA[[#This Row],[SRG Gross]],FinanceCodesBudget[SchoolCodes],""))))),1,0))</f>
        <v>1</v>
      </c>
      <c r="F2" s="57" cm="1">
        <f t="array" ref="F2">IF(_xlfn.XLOOKUP(CONT_TEA[[#This Row],[PayScaleCode]],PAYSCALES[PayScaleCode],PAYSCALES[AvailableToAllSchools],1,0,)=TRUE,0,IF(ISERROR(FIND(CONT_TEA[[#This Row],[SchoolCode]],_xlfn.TEXTJOIN(",",TRUE,_xlfn.UNIQUE(IF(PAYSCALES[PayScaleCode]=CONT_TEA[[#This Row],[PayScaleCode]],PAYSCALES[SchoolCodes],""))))),1,0))</f>
        <v>0</v>
      </c>
      <c r="G2" s="57">
        <f>IF(_xlfn.XLOOKUP(CONT_TEA[[#This Row],[PayScaleGradeCode]],GRADES[PayScaleGradeCode],GRADES[AvailableToAllSchools])=TRUE,0,IFERROR(IF(FIND(CONT_TEA[[#This Row],[SchoolCode]],_xlfn.XLOOKUP(CONT_TEA[[#This Row],[PayScaleGradeCode]],GRADES[PayScaleGradeCode],GRADES[SchoolCodes]))&gt;=1,0,1),1))</f>
        <v>0</v>
      </c>
      <c r="H2" s="66">
        <f>IF(ISERROR(IF((_xlfn.XLOOKUP(CONT_TEA[[#This Row],[PayScaleGradeCode]],GRADES[PayScaleGradeCode],GRADES[PayScaleCode])=CONT_TEA[[#This Row],[PayScaleCode]]),0,1)),1,0)</f>
        <v>0</v>
      </c>
      <c r="I2" s="66" cm="1">
        <f t="array" ref="I2">IF(ISERROR(FIND(CONT_TEA[[#This Row],[PayScalePointCode]],_xlfn.TEXTJOIN(",",TRUE,IF(PSPOINTS[PayScaleCode]=CONT_TEA[[#This Row],[PayScaleCode]],PSPOINTS[PayScalePointCode])))),1,0)</f>
        <v>0</v>
      </c>
      <c r="J2" s="57" cm="1">
        <f t="array" ref="J2">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0</v>
      </c>
      <c r="K2" s="66">
        <f>IF(_xlfn.XLOOKUP(CONT_TEA[[#This Row],[PayScalePointCode]],PSPOINTS[PayScalePointCode],PSPOINTS[PayScalePointEnabled])=TRUE,0,1)</f>
        <v>0</v>
      </c>
      <c r="L2" s="57" cm="1">
        <f t="array" ref="L2">IF(_xlfn.XLOOKUP(CONT_TEA[[#This Row],[DepartmentCode]]&amp;"TRUE",DEPTS[DepartmentCode]&amp;DEPTS[AvailableToAllSchools],DEPTS[AvailableToAllSchools],1,0,)=TRUE,0,IF(ISERROR(FIND(CONT_TEA[[#This Row],[SchoolCode]],_xlfn.TEXTJOIN(",",TRUE,_xlfn.UNIQUE(IF(DEPTS[DepartmentCode]=CONT_TEA[[#This Row],[DepartmentCode]],DEPTS[SchoolCodes],""))))),1,0))</f>
        <v>1</v>
      </c>
      <c r="M2" s="57" cm="1">
        <f t="array" ref="M2">IFERROR(IF((CONT_TEA[[#This Row],[DepartmentCode]]&amp;CONT_TEA[[#This Row],[Ledger]])=_xlfn.XLOOKUP(CONT_TEA[[#This Row],[DepartmentCode]]&amp;CONT_TEA[[#This Row],[Ledger]],DEPTS[DepartmentCode]&amp;DEPTS[LedgerCode],DEPTS[DepartmentCode]&amp;DEPTS[LedgerCode]),0,1),1)</f>
        <v>1</v>
      </c>
      <c r="N2" s="66" cm="1">
        <f t="array" ref="N2">IF(_xlfn.XLOOKUP(CONT_TEA[[#This Row],[PensionCode]],PENS[PensionCode],PENS[AvailableToAllSchools],1,0,)=TRUE,0,IF(ISERROR(FIND(CONT_TEA[[#This Row],[SchoolCode]],_xlfn.TEXTJOIN(",",TRUE,_xlfn.UNIQUE(IF(PENS[PensionCode]=CONT_TEA[[#This Row],[PensionCode]],PENS[SchoolCodes],""))))),1,0))</f>
        <v>0</v>
      </c>
      <c r="O2" s="66" cm="1">
        <f t="array" ref="O2">IF(_xlfn.XLOOKUP(CONT_TEA[[#This Row],[EquatedWeekPatternCode]],EQW[EquatedWeekPatternCode],EQW[AvailableToAllSchools],1,0,)=TRUE,0,IF(ISERROR(FIND(CONT_TEA[[#This Row],[SchoolCode]],_xlfn.TEXTJOIN(",",TRUE,_xlfn.UNIQUE(IF(EQW[EquatedWeekPatternCode]=CONT_TEA[[#This Row],[EquatedWeekPatternCode]],EQW[SchoolCodes],""))))),1,0))</f>
        <v>0</v>
      </c>
      <c r="P2" s="57">
        <f>1-COUNTIF(ContractTypes[Code],CONT_TEA[[#This Row],[ContractTypeCode]])</f>
        <v>0</v>
      </c>
      <c r="Q2" s="57">
        <f>IF(VLOOKUP(CONT_TEA[[#This Row],[StaffMemberCode]],MEMBERS[[StaffMemberCode]:[ServiceStartDate]],5,0)&gt;CONT_TEA[[#This Row],[DateFrom]],1,0)</f>
        <v>0</v>
      </c>
      <c r="R2" s="57">
        <f>IF(_xlfn.XLOOKUP(CONT_TEA[[#This Row],[StaffMemberCode]],MEMBERS[StaffMemberCode],MEMBERS[ServiceEndDate])="",0,IF(CONT_TEA[[#This Row],[DateTo]]="",1,IF(_xlfn.XLOOKUP(CONT_TEA[[#This Row],[StaffMemberCode]],MEMBERS[StaffMemberCode],MEMBERS[ServiceEndDate])&lt;CONT_TEA[[#This Row],[DateTo]],1,0)))</f>
        <v>0</v>
      </c>
      <c r="S2" s="57">
        <f>IF(ISBLANK(CONT_TEA[[#This Row],[DateTo]]),0,IF(CONT_TEA[[#This Row],[DateFrom]]=CONT_TEA[[#This Row],[DateTo]],0,IF(CONT_TEA[[#This Row],[DateFrom]]&lt;CONT_TEA[[#This Row],[DateTo]],0,1)))</f>
        <v>0</v>
      </c>
      <c r="T2" s="57" cm="1">
        <f t="array" aca="1" ref="T2" ca="1">IF(CELL("format",CONT_TEA[[#This Row],[DateFrom]])="D1",0,1)+IF(CELL("format",CONT_TEA[[#This Row],[DateTo]])="D1",0,1)</f>
        <v>0</v>
      </c>
      <c r="U2" s="57">
        <f>IF(OR(CONT_TEA[[#This Row],[MatEditOnly]]=TRUE,CONT_TEA[[#This Row],[MatEditOnly]]=FALSE),IF(OR(CONT_TEA[[#This Row],[NoIncrement]]=TRUE,CONT_TEA[[#This Row],[NoIncrement]]=FALSE),0,1),1)</f>
        <v>0</v>
      </c>
      <c r="V2" s="57">
        <f>IF(ISBLANK(CONT_TEA[[#This Row],[FundCode]])=TRUE,0,IF(COUNTIF(FUNDS[FundCode],CONT_TEA[[#This Row],[FundCode]])=1,0,1))</f>
        <v>0</v>
      </c>
      <c r="W2" s="57">
        <f>IF(LEN(CONT_TEA[[#This Row],[Notes]])&lt;4000,0,1)</f>
        <v>0</v>
      </c>
      <c r="X2" s="57">
        <f>IF(SUBSTITUTE(TEXT(CONT_TEA[[#This Row],[Reference]],10)," ","")=TEXT(CONT_TEA[[#This Row],[Reference]],10),0,1)</f>
        <v>0</v>
      </c>
      <c r="Y2" s="57">
        <f ca="1">SUM(CONT_TEA[[#This Row],[Duplicate Contract]:[Space in Code]])</f>
        <v>3</v>
      </c>
      <c r="AA2" s="63" t="s">
        <v>1093</v>
      </c>
      <c r="AB2" s="154">
        <v>123456</v>
      </c>
      <c r="AC2" s="63"/>
      <c r="AD2" s="57" t="str">
        <f>_xlfn.XLOOKUP(CONT_TEA[[#This Row],[StaffMemberCode]],'25_StaffMembers'!O:O,'25_StaffMembers'!R:R)</f>
        <v>Kim Jordan</v>
      </c>
      <c r="AE2" s="12" t="s">
        <v>1696</v>
      </c>
      <c r="AF2" s="66">
        <f>_xlfn.XLOOKUP(CONT_TEA[[#This Row],[SRG]],SRG[StaffRoleGroupCode],SRG[GrossSalaryFinanceCode])</f>
        <v>0</v>
      </c>
      <c r="AG2" s="57" t="str">
        <f>_xlfn.XLOOKUP(CONT_TEA[[#This Row],[StaffRoleCode]],ROLES[StaffRoleCode],ROLES[StaffRoleGroupCode])</f>
        <v>TEA</v>
      </c>
      <c r="AH2" s="57" t="str">
        <f>_xlfn.XLOOKUP(CONT_TEA[[#This Row],[StaffRoleCode]],ROLES[StaffRoleCode],ROLES[PayScaleCode])</f>
        <v>MAIN_EW</v>
      </c>
      <c r="AI2" s="57" t="e">
        <f>_xlfn.XLOOKUP(CONT_TEA[[#This Row],[SRG Gross]],FinanceCodesBudget[FinanceCode],FinanceCodesBudget[LedgerCode])</f>
        <v>#N/A</v>
      </c>
      <c r="AJ2" s="12" t="s">
        <v>1443</v>
      </c>
      <c r="AK2" s="12" t="s">
        <v>1518</v>
      </c>
      <c r="AL2" s="12" t="s">
        <v>1861</v>
      </c>
      <c r="AM2" s="12">
        <v>1</v>
      </c>
      <c r="AN2" s="68" t="s">
        <v>1637</v>
      </c>
      <c r="AO2" s="13" t="s">
        <v>1650</v>
      </c>
      <c r="AP2" s="20">
        <v>44075</v>
      </c>
      <c r="AR2" s="12">
        <v>1</v>
      </c>
      <c r="AS2" s="12" t="b">
        <v>0</v>
      </c>
      <c r="AT2" s="12" t="b">
        <v>0</v>
      </c>
      <c r="AU2" s="12" t="s">
        <v>1806</v>
      </c>
      <c r="AX2" s="170" t="s">
        <v>1862</v>
      </c>
    </row>
    <row r="3" spans="1:50" x14ac:dyDescent="0.25">
      <c r="A3" s="57" t="str">
        <f>AA3&amp;AB3&amp;AC3&amp;AE3&amp;AL3&amp;AP3</f>
        <v>TEASAL_TEA</v>
      </c>
      <c r="B3" s="57">
        <f>COUNTIF(CONT_TEA[Unique Contract],CONT_TEA[[#This Row],[Unique Contract]])-1</f>
        <v>0</v>
      </c>
      <c r="C3" s="57">
        <f>IFERROR(IF(FIND(CONT_TEA[[#This Row],[SchoolCode]],_xlfn.XLOOKUP(CONT_TEA[[#This Row],[StaffMemberCode]],MEMBERS[StaffMemberCode],MEMBERS[SchoolCodes]))&gt;0,0,1),1)</f>
        <v>0</v>
      </c>
      <c r="D3" s="57" cm="1">
        <f t="array" ref="D3">IF(_xlfn.XLOOKUP(CONT_TEA[[#This Row],[StaffRoleCode]],ROLES[StaffRoleCode],ROLES[AvailableToAllSchools],1,0,)=TRUE,0,IF(ISERROR(FIND(CONT_TEA[[#This Row],[SchoolCode]],_xlfn.TEXTJOIN(",",TRUE,_xlfn.UNIQUE(IF(ROLES[StaffRoleCode]=CONT_TEA[[#This Row],[StaffRoleCode]],ROLES[SchoolCodes],""))))),1,0))</f>
        <v>0</v>
      </c>
      <c r="E3" s="57" cm="1">
        <f t="array" ref="E3">IF(_xlfn.XLOOKUP(CONT_TEA[[#This Row],[SRG Gross]],FinanceCodesBudget[FinanceCode],FinanceCodesBudget[AvailableToAllSchools],1,0,)=TRUE,0,IF(ISERROR(FIND(CONT_TEA[[#This Row],[SchoolCode]],_xlfn.TEXTJOIN(",",TRUE,_xlfn.UNIQUE(IF(FinanceCodesBudget[FinanceCode]=CONT_TEA[[#This Row],[SRG Gross]],FinanceCodesBudget[SchoolCodes],""))))),1,0))</f>
        <v>0</v>
      </c>
      <c r="F3" s="57" cm="1">
        <f t="array" ref="F3">IF(_xlfn.XLOOKUP(CONT_TEA[[#This Row],[PayScaleCode]],PAYSCALES[PayScaleCode],PAYSCALES[AvailableToAllSchools],1,0,)=TRUE,0,IF(ISERROR(FIND(CONT_TEA[[#This Row],[SchoolCode]],_xlfn.TEXTJOIN(",",TRUE,_xlfn.UNIQUE(IF(PAYSCALES[PayScaleCode]=CONT_TEA[[#This Row],[PayScaleCode]],PAYSCALES[SchoolCodes],""))))),1,0))</f>
        <v>0</v>
      </c>
      <c r="G3" s="57" t="e">
        <f>IF(_xlfn.XLOOKUP(CONT_TEA[[#This Row],[PayScaleGradeCode]],GRADES[PayScaleGradeCode],GRADES[AvailableToAllSchools])=TRUE,0,IFERROR(IF(FIND(CONT_TEA[[#This Row],[SchoolCode]],_xlfn.XLOOKUP(CONT_TEA[[#This Row],[PayScaleGradeCode]],GRADES[PayScaleGradeCode],GRADES[SchoolCodes]))&gt;=1,0,1),1))</f>
        <v>#N/A</v>
      </c>
      <c r="H3" s="57">
        <f>IF(ISERROR(IF((_xlfn.XLOOKUP(CONT_TEA[[#This Row],[PayScaleGradeCode]],GRADES[PayScaleGradeCode],GRADES[PayScaleCode])=CONT_TEA[[#This Row],[PayScaleCode]]),0,1)),1,0)</f>
        <v>1</v>
      </c>
      <c r="I3" s="57" cm="1">
        <f t="array" ref="I3">IF(ISERROR(FIND(CONT_TEA[[#This Row],[PayScalePointCode]],_xlfn.TEXTJOIN(",",TRUE,IF(PSPOINTS[PayScaleCode]=CONT_TEA[[#This Row],[PayScaleCode]],PSPOINTS[PayScalePointCode])))),1,0)</f>
        <v>0</v>
      </c>
      <c r="J3" s="57" cm="1">
        <f t="array" ref="J3">IFERROR(IF(AND((LOOKUP(2,1/(PSPOINTS[PayScalePointCode]=CONT_TEA[[#This Row],[PayScalePointCode]])/(PSPOINTS[PayScaleCode]=CONT_TEA[[#This Row],[PayScaleCode]]),(PSPOINTS[ScalePointNumber])))&gt;=VALUE(LEFT((IFERROR(_xlfn.TEXTJOIN(",",TRUE,IF(GRADES[PayScaleGradeCode]=CONT_TEA[[#This Row],[PayScaleGradeCode]],GRADES[[ScalePointNumberFrom]:[ScalePointNumberTo]],"")),"")),FIND(",",(IFERROR(_xlfn.TEXTJOIN(",",TRUE,IF(GRADES[PayScaleGradeCode]=CONT_TEA[[#This Row],[PayScaleGradeCode]],GRADES[[ScalePointNumberFrom]:[ScalePointNumberTo]],"")),"")))-1)),(LOOKUP(2,1/(PSPOINTS[PayScalePointCode]=CONT_TEA[[#This Row],[PayScalePointCode]])/(PSPOINTS[PayScaleCode]=CONT_TEA[[#This Row],[PayScaleCode]]),(PSPOINTS[ScalePointNumber])))&lt;=VALUE(RIGHT((IFERROR(_xlfn.TEXTJOIN(",",TRUE,IF(GRADES[PayScaleGradeCode]=CONT_TEA[[#This Row],[PayScaleGradeCode]],GRADES[[ScalePointNumberFrom]:[ScalePointNumberTo]],"")),"")),LEN((IFERROR(_xlfn.TEXTJOIN(",",TRUE,IF(GRADES[PayScaleGradeCode]=CONT_TEA[[#This Row],[PayScaleGradeCode]],GRADES[[ScalePointNumberFrom]:[ScalePointNumberTo]],"")),"")))-FIND(",",(IFERROR(_xlfn.TEXTJOIN(",",TRUE,IF(GRADES[PayScaleGradeCode]=CONT_TEA[[#This Row],[PayScaleGradeCode]],GRADES[[ScalePointNumberFrom]:[ScalePointNumberTo]],"")),"")))))),0,1),1)</f>
        <v>1</v>
      </c>
      <c r="K3" s="57" t="e">
        <f>IF(_xlfn.XLOOKUP(CONT_TEA[[#This Row],[PayScalePointCode]],PSPOINTS[PayScalePointCode],PSPOINTS[PayScalePointEnabled])=TRUE,0,1)</f>
        <v>#N/A</v>
      </c>
      <c r="L3" s="57" cm="1">
        <f t="array" ref="L3">IF(_xlfn.XLOOKUP(CONT_TEA[[#This Row],[DepartmentCode]]&amp;"TRUE",DEPTS[DepartmentCode]&amp;DEPTS[AvailableToAllSchools],DEPTS[AvailableToAllSchools],1,0,)=TRUE,0,IF(ISERROR(FIND(CONT_TEA[[#This Row],[SchoolCode]],_xlfn.TEXTJOIN(",",TRUE,_xlfn.UNIQUE(IF(DEPTS[DepartmentCode]=CONT_TEA[[#This Row],[DepartmentCode]],DEPTS[SchoolCodes],""))))),1,0))</f>
        <v>0</v>
      </c>
      <c r="M3" s="57" cm="1">
        <f t="array" ref="M3">IFERROR(IF((CONT_TEA[[#This Row],[DepartmentCode]]&amp;CONT_TEA[[#This Row],[Ledger]])=_xlfn.XLOOKUP(CONT_TEA[[#This Row],[DepartmentCode]]&amp;CONT_TEA[[#This Row],[Ledger]],DEPTS[DepartmentCode]&amp;DEPTS[LedgerCode],DEPTS[DepartmentCode]&amp;DEPTS[LedgerCode]),0,1),1)</f>
        <v>1</v>
      </c>
      <c r="N3" s="57" cm="1">
        <f t="array" ref="N3">IF(_xlfn.XLOOKUP(CONT_TEA[[#This Row],[PensionCode]],PENS[PensionCode],PENS[AvailableToAllSchools],1,0,)=TRUE,0,IF(ISERROR(FIND(CONT_TEA[[#This Row],[SchoolCode]],_xlfn.TEXTJOIN(",",TRUE,_xlfn.UNIQUE(IF(PENS[PensionCode]=CONT_TEA[[#This Row],[PensionCode]],PENS[SchoolCodes],""))))),1,0))</f>
        <v>0</v>
      </c>
      <c r="O3" s="57" cm="1">
        <f t="array" ref="O3">IF(_xlfn.XLOOKUP(CONT_TEA[[#This Row],[EquatedWeekPatternCode]],EQW[EquatedWeekPatternCode],EQW[AvailableToAllSchools],1,0,)=TRUE,0,IF(ISERROR(FIND(CONT_TEA[[#This Row],[SchoolCode]],_xlfn.TEXTJOIN(",",TRUE,_xlfn.UNIQUE(IF(EQW[EquatedWeekPatternCode]=CONT_TEA[[#This Row],[EquatedWeekPatternCode]],EQW[SchoolCodes],""))))),1,0))</f>
        <v>0</v>
      </c>
      <c r="P3" s="57">
        <f>1-COUNTIF(ContractTypes[Code],CONT_TEA[[#This Row],[ContractTypeCode]])</f>
        <v>1</v>
      </c>
      <c r="Q3" s="57" t="e">
        <f>IF(VLOOKUP(CONT_TEA[[#This Row],[StaffMemberCode]],MEMBERS[[StaffMemberCode]:[ServiceStartDate]],5,0)&gt;CONT_TEA[[#This Row],[DateFrom]],1,0)</f>
        <v>#N/A</v>
      </c>
      <c r="R3" s="57">
        <f>IF(_xlfn.XLOOKUP(CONT_TEA[[#This Row],[StaffMemberCode]],MEMBERS[StaffMemberCode],MEMBERS[ServiceEndDate])="",0,IF(CONT_TEA[[#This Row],[DateTo]]="",1,IF(_xlfn.XLOOKUP(CONT_TEA[[#This Row],[StaffMemberCode]],MEMBERS[StaffMemberCode],MEMBERS[ServiceEndDate])&lt;CONT_TEA[[#This Row],[DateTo]],1,0)))</f>
        <v>0</v>
      </c>
      <c r="S3" s="57">
        <f>IF(ISBLANK(CONT_TEA[[#This Row],[DateTo]]),0,IF(CONT_TEA[[#This Row],[DateFrom]]=CONT_TEA[[#This Row],[DateTo]],0,IF(CONT_TEA[[#This Row],[DateFrom]]&lt;CONT_TEA[[#This Row],[DateTo]],0,1)))</f>
        <v>0</v>
      </c>
      <c r="T3" s="57" cm="1">
        <f t="array" aca="1" ref="T3" ca="1">IF(CELL("format",CONT_TEA[[#This Row],[DateFrom]])="D1",0,1)+IF(CELL("format",CONT_TEA[[#This Row],[DateTo]])="D1",0,1)</f>
        <v>0</v>
      </c>
      <c r="U3" s="57">
        <f>IF(OR(CONT_TEA[[#This Row],[MatEditOnly]]=TRUE,CONT_TEA[[#This Row],[MatEditOnly]]=FALSE),IF(OR(CONT_TEA[[#This Row],[NoIncrement]]=TRUE,CONT_TEA[[#This Row],[NoIncrement]]=FALSE),0,1),1)</f>
        <v>0</v>
      </c>
      <c r="V3" s="57">
        <f>IF(ISBLANK(CONT_TEA[[#This Row],[FundCode]])=TRUE,0,IF(COUNTIF(FUNDS[FundCode],CONT_TEA[[#This Row],[FundCode]])=1,0,1))</f>
        <v>0</v>
      </c>
      <c r="W3" s="57">
        <f>IF(LEN(CONT_TEA[[#This Row],[Notes]])&lt;4000,0,1)</f>
        <v>0</v>
      </c>
      <c r="X3" s="57">
        <f>IF(SUBSTITUTE(TEXT(CONT_TEA[[#This Row],[Reference]],10)," ","")=TEXT(CONT_TEA[[#This Row],[Reference]],10),0,1)</f>
        <v>0</v>
      </c>
      <c r="Y3" s="57" t="e">
        <f>SUM(CONT_TEA[[#This Row],[Duplicate Contract]:[Space in Code]])</f>
        <v>#N/A</v>
      </c>
      <c r="AD3" s="57" t="str">
        <f>_xlfn.XLOOKUP(CONT_TEA[[#This Row],[StaffMemberCode]],'25_StaffMembers'!O:O,'25_StaffMembers'!R:R)</f>
        <v xml:space="preserve"> </v>
      </c>
      <c r="AE3" s="12" t="s">
        <v>1696</v>
      </c>
      <c r="AF3" s="57">
        <f>_xlfn.XLOOKUP(CONT_TEA[[#This Row],[SRG]],SRG[StaffRoleGroupCode],SRG[GrossSalaryFinanceCode])</f>
        <v>0</v>
      </c>
      <c r="AG3" s="57" t="str">
        <f>_xlfn.XLOOKUP(CONT_TEA[[#This Row],[StaffRoleCode]],ROLES[StaffRoleCode],ROLES[StaffRoleGroupCode])</f>
        <v>TEA</v>
      </c>
      <c r="AH3" s="57" t="str">
        <f>_xlfn.XLOOKUP(CONT_TEA[[#This Row],[StaffRoleCode]],ROLES[StaffRoleCode],ROLES[PayScaleCode])</f>
        <v>MAIN_EW</v>
      </c>
      <c r="AI3" s="57" t="e">
        <f>_xlfn.XLOOKUP(CONT_TEA[[#This Row],[SRG Gross]],FinanceCodesBudget[FinanceCode],FinanceCodesBudget[LedgerCode])</f>
        <v>#N/A</v>
      </c>
      <c r="AL3" s="12" t="s">
        <v>1863</v>
      </c>
      <c r="AN3" s="68"/>
      <c r="AO3" s="13"/>
      <c r="AU3" s="12"/>
    </row>
    <row r="4" spans="1:50" x14ac:dyDescent="0.25">
      <c r="AQ4" s="21"/>
    </row>
  </sheetData>
  <phoneticPr fontId="2" type="noConversion"/>
  <pageMargins left="0.7" right="0.7" top="0.75" bottom="0.75" header="0.3" footer="0.3"/>
  <pageSetup orientation="portrait" horizontalDpi="300" verticalDpi="300" r:id="rId1"/>
  <legacy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D65A456C-0D43-4575-B676-F08B0044630A}">
          <x14:formula1>
            <xm:f>Validation!$G$2:$G$4</xm:f>
          </x14:formula1>
          <xm:sqref>AS2:AT3</xm:sqref>
        </x14:dataValidation>
        <x14:dataValidation type="list" allowBlank="1" showInputMessage="1" showErrorMessage="1" xr:uid="{0DC2C91C-B114-4924-BEF2-C47868B5973B}">
          <x14:formula1>
            <xm:f>'24_Pensions'!$K:$K</xm:f>
          </x14:formula1>
          <xm:sqref>AN2:AN3</xm:sqref>
        </x14:dataValidation>
        <x14:dataValidation type="list" allowBlank="1" showInputMessage="1" showErrorMessage="1" xr:uid="{C77D342C-650E-4F2B-9CBA-24F78B68AB09}">
          <x14:formula1>
            <xm:f>'27_StfRole'!$Q:$Q</xm:f>
          </x14:formula1>
          <xm:sqref>AE2:AE3</xm:sqref>
        </x14:dataValidation>
        <x14:dataValidation type="list" allowBlank="1" showInputMessage="1" showErrorMessage="1" xr:uid="{C38DD20F-A5EF-47BD-886E-7E78BAE285E5}">
          <x14:formula1>
            <xm:f>Depts!$G:$G</xm:f>
          </x14:formula1>
          <xm:sqref>AL1:AL1048576</xm:sqref>
        </x14:dataValidation>
        <x14:dataValidation type="list" allowBlank="1" showInputMessage="1" showErrorMessage="1" xr:uid="{0C93B782-AEA3-412A-8156-1E9E6A7CC759}">
          <x14:formula1>
            <xm:f>'20_PayScalePoints'!$R:$R</xm:f>
          </x14:formula1>
          <xm:sqref>AK2:AK3</xm:sqref>
        </x14:dataValidation>
      </x14:dataValidations>
    </ext>
  </extLst>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F4EC42-90C2-4C44-BBE3-B3653DFB0F03}">
  <sheetPr codeName="Sheet221">
    <tabColor theme="4" tint="0.79998168889431442"/>
  </sheetPr>
  <dimension ref="A1:AX3"/>
  <sheetViews>
    <sheetView zoomScaleNormal="100" workbookViewId="0">
      <pane ySplit="1" topLeftCell="A2" activePane="bottomLeft" state="frozen"/>
      <selection activeCell="D2" sqref="D2"/>
      <selection pane="bottomLeft" activeCell="M3" sqref="M3"/>
    </sheetView>
  </sheetViews>
  <sheetFormatPr defaultColWidth="9.28515625" defaultRowHeight="15" outlineLevelCol="1" x14ac:dyDescent="0.25"/>
  <cols>
    <col min="1" max="5" width="10.5703125" style="12" hidden="1" customWidth="1" outlineLevel="1"/>
    <col min="6" max="6" width="11.140625" style="12" hidden="1" customWidth="1" outlineLevel="1"/>
    <col min="7" max="8" width="9.7109375" style="12" hidden="1" customWidth="1" outlineLevel="1"/>
    <col min="9" max="9" width="9.28515625" style="12" hidden="1" customWidth="1" outlineLevel="1"/>
    <col min="10" max="15" width="10" style="12" hidden="1" customWidth="1" outlineLevel="1"/>
    <col min="16" max="17" width="10.5703125" style="12" hidden="1" customWidth="1" outlineLevel="1"/>
    <col min="18" max="18" width="11.42578125" style="12" hidden="1" customWidth="1" outlineLevel="1"/>
    <col min="19" max="20" width="10.5703125" style="12" hidden="1" customWidth="1" outlineLevel="1"/>
    <col min="21" max="22" width="8.42578125" style="12" hidden="1" customWidth="1" outlineLevel="1"/>
    <col min="23" max="23" width="9" style="12" hidden="1" customWidth="1" outlineLevel="1"/>
    <col min="24" max="24" width="9" style="148" hidden="1" customWidth="1" outlineLevel="1"/>
    <col min="25" max="25" width="10.5703125" style="12" customWidth="1" collapsed="1"/>
    <col min="26" max="26" width="12.7109375" style="12" bestFit="1" customWidth="1"/>
    <col min="27" max="27" width="12.28515625" style="12" bestFit="1" customWidth="1"/>
    <col min="28" max="28" width="12.28515625" style="12" customWidth="1"/>
    <col min="29" max="29" width="10.5703125" style="12" customWidth="1"/>
    <col min="30" max="30" width="10.7109375" style="12" bestFit="1" customWidth="1"/>
    <col min="31" max="31" width="14.5703125" style="12" bestFit="1" customWidth="1"/>
    <col min="32" max="32" width="10.5703125" style="12" customWidth="1"/>
    <col min="33" max="33" width="6.7109375" style="12" bestFit="1" customWidth="1"/>
    <col min="34" max="35" width="13.28515625" style="12" customWidth="1"/>
    <col min="36" max="36" width="13.7109375" style="12" customWidth="1"/>
    <col min="37" max="37" width="12.7109375" style="12" customWidth="1"/>
    <col min="38" max="38" width="11.42578125" style="12" customWidth="1"/>
    <col min="39" max="39" width="10.5703125" style="12" customWidth="1"/>
    <col min="40" max="40" width="8" style="12" customWidth="1"/>
    <col min="41" max="41" width="13.7109375" style="12" customWidth="1"/>
    <col min="42" max="42" width="11.7109375" style="20" customWidth="1"/>
    <col min="43" max="43" width="10.5703125" style="20" customWidth="1"/>
    <col min="44" max="44" width="9.28515625" style="12" customWidth="1"/>
    <col min="45" max="45" width="8.5703125" style="12" customWidth="1"/>
    <col min="46" max="46" width="12.7109375" style="12" bestFit="1" customWidth="1"/>
    <col min="47" max="47" width="12.140625" customWidth="1"/>
    <col min="48" max="48" width="10.5703125" style="12" customWidth="1"/>
    <col min="49" max="16384" width="9.28515625" style="12"/>
  </cols>
  <sheetData>
    <row r="1" spans="1:50" s="24" customFormat="1" ht="45" x14ac:dyDescent="0.25">
      <c r="A1" s="122" t="s">
        <v>1832</v>
      </c>
      <c r="B1" s="59" t="s">
        <v>1833</v>
      </c>
      <c r="C1" s="65" t="s">
        <v>1834</v>
      </c>
      <c r="D1" s="65" t="s">
        <v>1835</v>
      </c>
      <c r="E1" s="65" t="s">
        <v>1836</v>
      </c>
      <c r="F1" s="65" t="s">
        <v>1837</v>
      </c>
      <c r="G1" s="65" t="s">
        <v>1838</v>
      </c>
      <c r="H1" s="65" t="s">
        <v>1839</v>
      </c>
      <c r="I1" s="65" t="s">
        <v>1840</v>
      </c>
      <c r="J1" s="65" t="s">
        <v>1841</v>
      </c>
      <c r="K1" s="65" t="s">
        <v>1842</v>
      </c>
      <c r="L1" s="65" t="s">
        <v>1843</v>
      </c>
      <c r="M1" s="65" t="s">
        <v>1844</v>
      </c>
      <c r="N1" s="65" t="s">
        <v>1845</v>
      </c>
      <c r="O1" s="65" t="s">
        <v>1846</v>
      </c>
      <c r="P1" s="65" t="s">
        <v>1847</v>
      </c>
      <c r="Q1" s="65" t="s">
        <v>1848</v>
      </c>
      <c r="R1" s="65" t="s">
        <v>1849</v>
      </c>
      <c r="S1" s="65" t="s">
        <v>1507</v>
      </c>
      <c r="T1" s="65" t="s">
        <v>1508</v>
      </c>
      <c r="U1" s="65" t="s">
        <v>1364</v>
      </c>
      <c r="V1" s="65" t="s">
        <v>1850</v>
      </c>
      <c r="W1" s="65" t="s">
        <v>1851</v>
      </c>
      <c r="X1" s="131" t="s">
        <v>1368</v>
      </c>
      <c r="Y1" s="59" t="s">
        <v>1126</v>
      </c>
      <c r="Z1" s="67" t="s">
        <v>1371</v>
      </c>
      <c r="AA1" s="67" t="s">
        <v>1130</v>
      </c>
      <c r="AB1" s="67" t="s">
        <v>1818</v>
      </c>
      <c r="AC1" s="67" t="s">
        <v>1852</v>
      </c>
      <c r="AD1" s="65" t="s">
        <v>1076</v>
      </c>
      <c r="AE1" s="67" t="s">
        <v>1731</v>
      </c>
      <c r="AF1" s="65" t="s">
        <v>1853</v>
      </c>
      <c r="AG1" s="65" t="s">
        <v>1854</v>
      </c>
      <c r="AH1" s="65" t="s">
        <v>1372</v>
      </c>
      <c r="AI1" s="65" t="s">
        <v>2050</v>
      </c>
      <c r="AJ1" s="67" t="s">
        <v>1433</v>
      </c>
      <c r="AK1" s="67" t="s">
        <v>1509</v>
      </c>
      <c r="AL1" s="67" t="s">
        <v>1149</v>
      </c>
      <c r="AM1" s="67" t="s">
        <v>1075</v>
      </c>
      <c r="AN1" s="67" t="s">
        <v>1634</v>
      </c>
      <c r="AO1" s="25" t="s">
        <v>1643</v>
      </c>
      <c r="AP1" s="58" t="s">
        <v>1855</v>
      </c>
      <c r="AQ1" s="58" t="s">
        <v>1856</v>
      </c>
      <c r="AR1" s="67" t="s">
        <v>1864</v>
      </c>
      <c r="AS1" s="67" t="s">
        <v>1858</v>
      </c>
      <c r="AT1" s="67" t="s">
        <v>1859</v>
      </c>
      <c r="AU1" s="67" t="s">
        <v>1860</v>
      </c>
      <c r="AV1" s="67" t="s">
        <v>29</v>
      </c>
    </row>
    <row r="2" spans="1:50" x14ac:dyDescent="0.25">
      <c r="A2" s="57" t="str">
        <f>AA2&amp;AB2&amp;AC2&amp;AE2&amp;AL2&amp;AP2</f>
        <v>MAT123456SBMDEFAULT44075</v>
      </c>
      <c r="B2" s="57">
        <f>COUNTIF(CONT_SUP[Unique Contract],CONT_SUP[[#This Row],[Unique Contract]])-1</f>
        <v>0</v>
      </c>
      <c r="C2" s="57">
        <f>IFERROR(IF(FIND(CONT_SUP[[#This Row],[SchoolCode]],_xlfn.XLOOKUP(CONT_SUP[[#This Row],[StaffMemberCode]],MEMBERS[StaffMemberCode],MEMBERS[SchoolCodes]))&gt;0,0,1),1)</f>
        <v>0</v>
      </c>
      <c r="D2" s="57" cm="1">
        <f t="array" ref="D2">IF(_xlfn.XLOOKUP(CONT_SUP[[#This Row],[StaffRoleCode]],ROLES[StaffRoleCode],ROLES[AvailableToAllSchools],1,0,)=TRUE,0,IF(ISERROR(FIND(CONT_SUP[[#This Row],[SchoolCode]],_xlfn.TEXTJOIN(",",TRUE,_xlfn.UNIQUE(IF(ROLES[StaffRoleCode]=CONT_SUP[[#This Row],[StaffRoleCode]],ROLES[SchoolCodes],""))))),1,0))</f>
        <v>0</v>
      </c>
      <c r="E2" s="66" cm="1">
        <f t="array" ref="E2">IF(_xlfn.XLOOKUP(CONT_SUP[[#This Row],[SRG Gross]],FinanceCodesBudget[FinanceCode],FinanceCodesBudget[AvailableToAllSchools],1,0,)=TRUE,0,IF(ISERROR(FIND(CONT_SUP[[#This Row],[SchoolCode]],_xlfn.TEXTJOIN(",",TRUE,_xlfn.UNIQUE(IF(FinanceCodesBudget[FinanceCode]=CONT_SUP[[#This Row],[SRG Gross]],FinanceCodesBudget[SchoolCodes],""))))),1,0))</f>
        <v>1</v>
      </c>
      <c r="F2" s="57" cm="1">
        <f t="array" ref="F2">IF(_xlfn.XLOOKUP(CONT_SUP[[#This Row],[PayScaleCode]],PAYSCALES[PayScaleCode],PAYSCALES[AvailableToAllSchools],1,0,)=TRUE,0,IF(ISERROR(FIND(CONT_SUP[[#This Row],[SchoolCode]],_xlfn.TEXTJOIN(",",TRUE,_xlfn.UNIQUE(IF(PAYSCALES[PayScaleCode]=CONT_SUP[[#This Row],[PayScaleCode]],PAYSCALES[SchoolCodes],""))))),1,0))</f>
        <v>0</v>
      </c>
      <c r="G2" s="57" t="e">
        <f>IF(_xlfn.XLOOKUP(CONT_SUP[[#This Row],[PayScaleGradeCode]],GRADES[PayScaleGradeCode],GRADES[AvailableToAllSchools])=TRUE,0,IFERROR(IF(FIND(CONT_SUP[[#This Row],[SchoolCode]],_xlfn.XLOOKUP(CONT_SUP[[#This Row],[PayScaleGradeCode]],GRADES[PayScaleGradeCode],GRADES[SchoolCodes]))&gt;=1,0,1),1))</f>
        <v>#N/A</v>
      </c>
      <c r="H2" s="66">
        <f>IF(ISERROR(IF((_xlfn.XLOOKUP(CONT_SUP[[#This Row],[PayScaleGradeCode]],GRADES[PayScaleGradeCode],GRADES[PayScaleCode])=CONT_SUP[[#This Row],[PayScaleCode]]),0,1)),1,0)</f>
        <v>1</v>
      </c>
      <c r="I2" s="66" cm="1">
        <f t="array" ref="I2">IF(ISERROR(FIND(CONT_SUP[[#This Row],[PayScalePointCode]],_xlfn.TEXTJOIN(",",TRUE,IF(PSPOINTS[PayScaleCode]=CONT_SUP[[#This Row],[PayScaleCode]],PSPOINTS[PayScalePointCode])))),1,0)</f>
        <v>0</v>
      </c>
      <c r="J2" s="57" cm="1">
        <f t="array" ref="J2">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1</v>
      </c>
      <c r="K2" s="66" t="e">
        <f>IF(_xlfn.XLOOKUP(CONT_SUP[[#This Row],[PayScalePointCode]],PSPOINTS[PayScalePointCode],PSPOINTS[PayScalePointEnabled])=TRUE,0,1)</f>
        <v>#N/A</v>
      </c>
      <c r="L2" s="57" cm="1">
        <f t="array" ref="L2">IF(_xlfn.XLOOKUP(CONT_SUP[[#This Row],[DepartmentCode]]&amp;"TRUE",DEPTS[DepartmentCode]&amp;DEPTS[AvailableToAllSchools],DEPTS[AvailableToAllSchools],1,0,)=TRUE,0,IF(ISERROR(FIND(CONT_SUP[[#This Row],[SchoolCode]],_xlfn.TEXTJOIN(",",TRUE,_xlfn.UNIQUE(IF(DEPTS[DepartmentCode]=CONT_SUP[[#This Row],[DepartmentCode]],DEPTS[SchoolCodes],""))))),1,0))</f>
        <v>1</v>
      </c>
      <c r="M2" s="57" cm="1">
        <f t="array" ref="M2">IFERROR(IF((CONT_SUP[[#This Row],[DepartmentCode]]&amp;CONT_SUP[[#This Row],[Ledger]])=_xlfn.XLOOKUP(CONT_SUP[[#This Row],[DepartmentCode]]&amp;CONT_SUP[[#This Row],[Ledger]],DEPTS[DepartmentCode]&amp;DEPTS[LedgerCode],DEPTS[DepartmentCode]&amp;DEPTS[LedgerCode]),0,1),1)</f>
        <v>1</v>
      </c>
      <c r="N2" s="66" cm="1">
        <f t="array" ref="N2">IF(_xlfn.XLOOKUP(CONT_SUP[[#This Row],[PensionCode]],PENS[PensionCode],PENS[AvailableToAllSchools],1,0,)=TRUE,0,IF(ISERROR(FIND(CONT_SUP[[#This Row],[SchoolCode]],_xlfn.TEXTJOIN(",",TRUE,_xlfn.UNIQUE(IF(PENS[PensionCode]=CONT_SUP[[#This Row],[PensionCode]],PENS[SchoolCodes],""))))),1,0))</f>
        <v>0</v>
      </c>
      <c r="O2" s="66" cm="1">
        <f t="array" ref="O2">IF(_xlfn.XLOOKUP(CONT_SUP[[#This Row],[EquatedWeekPatternCode]],EQW[EquatedWeekPatternCode],EQW[AvailableToAllSchools],1,0,)=TRUE,0,IF(ISERROR(FIND(CONT_SUP[[#This Row],[SchoolCode]],_xlfn.TEXTJOIN(",",TRUE,_xlfn.UNIQUE(IF(EQW[EquatedWeekPatternCode]=CONT_SUP[[#This Row],[EquatedWeekPatternCode]],EQW[SchoolCodes],""))))),1,0))</f>
        <v>0</v>
      </c>
      <c r="P2" s="57">
        <f>1-COUNTIF(ContractTypes[Code],CONT_SUP[[#This Row],[ContractTypeCode]])</f>
        <v>0</v>
      </c>
      <c r="Q2" s="57">
        <f>IF(VLOOKUP(CONT_SUP[[#This Row],[StaffMemberCode]],MEMBERS[[StaffMemberCode]:[ServiceStartDate]],5,0)&gt;CONT_SUP[[#This Row],[DateFrom]],1,0)</f>
        <v>0</v>
      </c>
      <c r="R2" s="57">
        <f>IF(_xlfn.XLOOKUP(CONT_SUP[[#This Row],[StaffMemberCode]],MEMBERS[StaffMemberCode],MEMBERS[ServiceEndDate])="",0,IF(CONT_SUP[[#This Row],[DateTo]]="",1,IF(_xlfn.XLOOKUP(CONT_SUP[[#This Row],[StaffMemberCode]],MEMBERS[StaffMemberCode],MEMBERS[ServiceEndDate])&lt;CONT_SUP[[#This Row],[DateTo]],1,0)))</f>
        <v>0</v>
      </c>
      <c r="S2" s="57">
        <f>IF(ISBLANK(CONT_SUP[[#This Row],[DateTo]]),0,IF(CONT_SUP[[#This Row],[DateFrom]]=CONT_SUP[[#This Row],[DateTo]],0,IF(CONT_SUP[[#This Row],[DateFrom]]&lt;CONT_SUP[[#This Row],[DateTo]],0,1)))</f>
        <v>0</v>
      </c>
      <c r="T2" s="57" cm="1">
        <f t="array" aca="1" ref="T2" ca="1">IF(CELL("format",CONT_SUP[[#This Row],[DateFrom]])="D1",0,1)+IF(CELL("format",CONT_SUP[[#This Row],[DateTo]])="D1",0,1)</f>
        <v>0</v>
      </c>
      <c r="U2" s="57">
        <f>IF(OR(CONT_SUP[[#This Row],[MatEditOnly]]=TRUE,CONT_SUP[[#This Row],[MatEditOnly]]=FALSE),IF(OR(CONT_SUP[[#This Row],[NoIncrement]]=TRUE,CONT_SUP[[#This Row],[NoIncrement]]=FALSE),0,1),1)</f>
        <v>0</v>
      </c>
      <c r="V2" s="57">
        <f>IF(ISBLANK(CONT_SUP[[#This Row],[FundCode]])=TRUE,0,IF(COUNTIF(FUNDS[FundCode],CONT_SUP[[#This Row],[FundCode]])=1,0,1))</f>
        <v>0</v>
      </c>
      <c r="W2" s="57">
        <f>IF(LEN(CONT_SUP[[#This Row],[Notes]])&lt;4000,0,1)</f>
        <v>0</v>
      </c>
      <c r="X2" s="57">
        <f>IF(SUBSTITUTE(TEXT(CONT_SUP[[#This Row],[Reference]],10)," ","")=TEXT(CONT_SUP[[#This Row],[Reference]],10),0,1)</f>
        <v>0</v>
      </c>
      <c r="Y2" s="57" t="e">
        <f>SUM(CONT_SUP[[#This Row],[Duplicate Contract]:[Space in Code]])</f>
        <v>#N/A</v>
      </c>
      <c r="AA2" s="63" t="s">
        <v>1093</v>
      </c>
      <c r="AB2" s="63">
        <v>123456</v>
      </c>
      <c r="AC2" s="63"/>
      <c r="AD2" s="57" t="str">
        <f>_xlfn.XLOOKUP(CONT_SUP[[#This Row],[StaffMemberCode]],'25_StaffMembers'!O:O,'25_StaffMembers'!R:R)</f>
        <v>Kim Jordan</v>
      </c>
      <c r="AE2" s="12" t="s">
        <v>1758</v>
      </c>
      <c r="AF2" s="66">
        <f>_xlfn.XLOOKUP(CONT_SUP[[#This Row],[SRG]],SRG[StaffRoleGroupCode],SRG[GrossSalaryFinanceCode])</f>
        <v>0</v>
      </c>
      <c r="AG2" s="57" t="str">
        <f>_xlfn.XLOOKUP(CONT_SUP[[#This Row],[StaffRoleCode]],ROLES[StaffRoleCode],ROLES[StaffRoleGroupCode])</f>
        <v>ADM</v>
      </c>
      <c r="AH2" s="57" t="str">
        <f>_xlfn.XLOOKUP(CONT_SUP[[#This Row],[StaffRoleCode]],ROLES[StaffRoleCode],ROLES[PayScaleCode])</f>
        <v>NJC_EW</v>
      </c>
      <c r="AI2" s="57" t="e">
        <f>_xlfn.XLOOKUP(CONT_SUP[[#This Row],[SRG Gross]],FinanceCodesBudget[FinanceCode],FinanceCodesBudget[LedgerCode])</f>
        <v>#N/A</v>
      </c>
      <c r="AL2" s="12" t="s">
        <v>1078</v>
      </c>
      <c r="AN2" s="68" t="s">
        <v>1641</v>
      </c>
      <c r="AO2" s="12" t="s">
        <v>1650</v>
      </c>
      <c r="AP2" s="20">
        <v>44075</v>
      </c>
      <c r="AR2" s="12">
        <v>1</v>
      </c>
      <c r="AS2" s="12" t="b">
        <v>0</v>
      </c>
      <c r="AT2" s="12" t="b">
        <v>0</v>
      </c>
      <c r="AU2" s="12" t="s">
        <v>1806</v>
      </c>
      <c r="AX2" s="170" t="s">
        <v>1862</v>
      </c>
    </row>
    <row r="3" spans="1:50" x14ac:dyDescent="0.25">
      <c r="A3" s="57" t="str">
        <f>AA3&amp;AB3&amp;AC3&amp;AE3&amp;AL3&amp;AP3</f>
        <v/>
      </c>
      <c r="B3" s="57">
        <f>COUNTIF(CONT_SUP[Unique Contract],CONT_SUP[[#This Row],[Unique Contract]])-1</f>
        <v>0</v>
      </c>
      <c r="C3" s="57">
        <f>IFERROR(IF(FIND(CONT_SUP[[#This Row],[SchoolCode]],_xlfn.XLOOKUP(CONT_SUP[[#This Row],[StaffMemberCode]],MEMBERS[StaffMemberCode],MEMBERS[SchoolCodes]))&gt;0,0,1),1)</f>
        <v>0</v>
      </c>
      <c r="D3" s="57" cm="1">
        <f t="array" ref="D3">IF(_xlfn.XLOOKUP(CONT_SUP[[#This Row],[StaffRoleCode]],ROLES[StaffRoleCode],ROLES[AvailableToAllSchools],1,0,)=TRUE,0,IF(ISERROR(FIND(CONT_SUP[[#This Row],[SchoolCode]],_xlfn.TEXTJOIN(",",TRUE,_xlfn.UNIQUE(IF(ROLES[StaffRoleCode]=CONT_SUP[[#This Row],[StaffRoleCode]],ROLES[SchoolCodes],""))))),1,0))</f>
        <v>0</v>
      </c>
      <c r="E3" s="57" t="e" cm="1">
        <f t="array" ref="E3">IF(_xlfn.XLOOKUP(CONT_SUP[[#This Row],[SRG Gross]],FinanceCodesBudget[FinanceCode],FinanceCodesBudget[AvailableToAllSchools],1,0,)=TRUE,0,IF(ISERROR(FIND(CONT_SUP[[#This Row],[SchoolCode]],_xlfn.TEXTJOIN(",",TRUE,_xlfn.UNIQUE(IF(FinanceCodesBudget[FinanceCode]=CONT_SUP[[#This Row],[SRG Gross]],FinanceCodesBudget[SchoolCodes],""))))),1,0))</f>
        <v>#N/A</v>
      </c>
      <c r="F3" s="57" t="e" cm="1">
        <f t="array" ref="F3">IF(_xlfn.XLOOKUP(CONT_SUP[[#This Row],[PayScaleCode]],PAYSCALES[PayScaleCode],PAYSCALES[AvailableToAllSchools],1,0,)=TRUE,0,IF(ISERROR(FIND(CONT_SUP[[#This Row],[SchoolCode]],_xlfn.TEXTJOIN(",",TRUE,_xlfn.UNIQUE(IF(PAYSCALES[PayScaleCode]=CONT_SUP[[#This Row],[PayScaleCode]],PAYSCALES[SchoolCodes],""))))),1,0))</f>
        <v>#N/A</v>
      </c>
      <c r="G3" s="57" t="e">
        <f>IF(_xlfn.XLOOKUP(CONT_SUP[[#This Row],[PayScaleGradeCode]],GRADES[PayScaleGradeCode],GRADES[AvailableToAllSchools])=TRUE,0,IFERROR(IF(FIND(CONT_SUP[[#This Row],[SchoolCode]],_xlfn.XLOOKUP(CONT_SUP[[#This Row],[PayScaleGradeCode]],GRADES[PayScaleGradeCode],GRADES[SchoolCodes]))&gt;=1,0,1),1))</f>
        <v>#N/A</v>
      </c>
      <c r="H3" s="57">
        <f>IF(ISERROR(IF((_xlfn.XLOOKUP(CONT_SUP[[#This Row],[PayScaleGradeCode]],GRADES[PayScaleGradeCode],GRADES[PayScaleCode])=CONT_SUP[[#This Row],[PayScaleCode]]),0,1)),1,0)</f>
        <v>1</v>
      </c>
      <c r="I3" s="57" cm="1">
        <f t="array" ref="I3">IF(ISERROR(FIND(CONT_SUP[[#This Row],[PayScalePointCode]],_xlfn.TEXTJOIN(",",TRUE,IF(PSPOINTS[PayScaleCode]=CONT_SUP[[#This Row],[PayScaleCode]],PSPOINTS[PayScalePointCode])))),1,0)</f>
        <v>1</v>
      </c>
      <c r="J3" s="57" cm="1">
        <f t="array" ref="J3">IFERROR(IF(AND((LOOKUP(2,1/(PSPOINTS[PayScalePointCode]=CONT_SUP[[#This Row],[PayScalePointCode]])/(PSPOINTS[PayScaleCode]=CONT_SUP[[#This Row],[PayScaleCode]]),(PSPOINTS[ScalePointNumber])))&gt;=VALUE(LEFT((IFERROR(_xlfn.TEXTJOIN(",",TRUE,IF(GRADES[PayScaleGradeCode]=CONT_SUP[[#This Row],[PayScaleGradeCode]],GRADES[[ScalePointNumberFrom]:[ScalePointNumberTo]],"")),"")),FIND(",",(IFERROR(_xlfn.TEXTJOIN(",",TRUE,IF(GRADES[PayScaleGradeCode]=CONT_SUP[[#This Row],[PayScaleGradeCode]],GRADES[[ScalePointNumberFrom]:[ScalePointNumberTo]],"")),"")))-1)),(LOOKUP(2,1/(PSPOINTS[PayScalePointCode]=CONT_SUP[[#This Row],[PayScalePointCode]])/(PSPOINTS[PayScaleCode]=CONT_SUP[[#This Row],[PayScaleCode]]),(PSPOINTS[ScalePointNumber])))&lt;=VALUE(RIGHT((IFERROR(_xlfn.TEXTJOIN(",",TRUE,IF(GRADES[PayScaleGradeCode]=CONT_SUP[[#This Row],[PayScaleGradeCode]],GRADES[[ScalePointNumberFrom]:[ScalePointNumberTo]],"")),"")),LEN((IFERROR(_xlfn.TEXTJOIN(",",TRUE,IF(GRADES[PayScaleGradeCode]=CONT_SUP[[#This Row],[PayScaleGradeCode]],GRADES[[ScalePointNumberFrom]:[ScalePointNumberTo]],"")),"")))-FIND(",",(IFERROR(_xlfn.TEXTJOIN(",",TRUE,IF(GRADES[PayScaleGradeCode]=CONT_SUP[[#This Row],[PayScaleGradeCode]],GRADES[[ScalePointNumberFrom]:[ScalePointNumberTo]],"")),"")))))),0,1),1)</f>
        <v>1</v>
      </c>
      <c r="K3" s="57" t="e">
        <f>IF(_xlfn.XLOOKUP(CONT_SUP[[#This Row],[PayScalePointCode]],PSPOINTS[PayScalePointCode],PSPOINTS[PayScalePointEnabled])=TRUE,0,1)</f>
        <v>#N/A</v>
      </c>
      <c r="L3" s="57" cm="1">
        <f t="array" ref="L3">IF(_xlfn.XLOOKUP(CONT_SUP[[#This Row],[DepartmentCode]]&amp;"TRUE",DEPTS[DepartmentCode]&amp;DEPTS[AvailableToAllSchools],DEPTS[AvailableToAllSchools],1,0,)=TRUE,0,IF(ISERROR(FIND(CONT_SUP[[#This Row],[SchoolCode]],_xlfn.TEXTJOIN(",",TRUE,_xlfn.UNIQUE(IF(DEPTS[DepartmentCode]=CONT_SUP[[#This Row],[DepartmentCode]],DEPTS[SchoolCodes],""))))),1,0))</f>
        <v>0</v>
      </c>
      <c r="M3" s="57" cm="1">
        <f t="array" ref="M3">IFERROR(IF((CONT_SUP[[#This Row],[DepartmentCode]]&amp;CONT_SUP[[#This Row],[Ledger]])=_xlfn.XLOOKUP(CONT_SUP[[#This Row],[DepartmentCode]]&amp;CONT_SUP[[#This Row],[Ledger]],DEPTS[DepartmentCode]&amp;DEPTS[LedgerCode],DEPTS[DepartmentCode]&amp;DEPTS[LedgerCode]),0,1),1)</f>
        <v>1</v>
      </c>
      <c r="N3" s="57" cm="1">
        <f t="array" ref="N3">IF(_xlfn.XLOOKUP(CONT_SUP[[#This Row],[PensionCode]],PENS[PensionCode],PENS[AvailableToAllSchools],1,0,)=TRUE,0,IF(ISERROR(FIND(CONT_SUP[[#This Row],[SchoolCode]],_xlfn.TEXTJOIN(",",TRUE,_xlfn.UNIQUE(IF(PENS[PensionCode]=CONT_SUP[[#This Row],[PensionCode]],PENS[SchoolCodes],""))))),1,0))</f>
        <v>0</v>
      </c>
      <c r="O3" s="57" cm="1">
        <f t="array" ref="O3">IF(_xlfn.XLOOKUP(CONT_SUP[[#This Row],[EquatedWeekPatternCode]],EQW[EquatedWeekPatternCode],EQW[AvailableToAllSchools],1,0,)=TRUE,0,IF(ISERROR(FIND(CONT_SUP[[#This Row],[SchoolCode]],_xlfn.TEXTJOIN(",",TRUE,_xlfn.UNIQUE(IF(EQW[EquatedWeekPatternCode]=CONT_SUP[[#This Row],[EquatedWeekPatternCode]],EQW[SchoolCodes],""))))),1,0))</f>
        <v>0</v>
      </c>
      <c r="P3" s="57">
        <f>1-COUNTIF(ContractTypes[Code],CONT_SUP[[#This Row],[ContractTypeCode]])</f>
        <v>1</v>
      </c>
      <c r="Q3" s="57" t="e">
        <f>IF(VLOOKUP(CONT_SUP[[#This Row],[StaffMemberCode]],MEMBERS[[StaffMemberCode]:[ServiceStartDate]],5,0)&gt;CONT_SUP[[#This Row],[DateFrom]],1,0)</f>
        <v>#N/A</v>
      </c>
      <c r="R3" s="57">
        <f>IF(_xlfn.XLOOKUP(CONT_SUP[[#This Row],[StaffMemberCode]],MEMBERS[StaffMemberCode],MEMBERS[ServiceEndDate])="",0,IF(CONT_SUP[[#This Row],[DateTo]]="",1,IF(_xlfn.XLOOKUP(CONT_SUP[[#This Row],[StaffMemberCode]],MEMBERS[StaffMemberCode],MEMBERS[ServiceEndDate])&lt;CONT_SUP[[#This Row],[DateTo]],1,0)))</f>
        <v>0</v>
      </c>
      <c r="S3" s="57">
        <f>IF(ISBLANK(CONT_SUP[[#This Row],[DateTo]]),0,IF(CONT_SUP[[#This Row],[DateFrom]]=CONT_SUP[[#This Row],[DateTo]],0,IF(CONT_SUP[[#This Row],[DateFrom]]&lt;CONT_SUP[[#This Row],[DateTo]],0,1)))</f>
        <v>0</v>
      </c>
      <c r="T3" s="57" cm="1">
        <f t="array" aca="1" ref="T3" ca="1">IF(CELL("format",CONT_SUP[[#This Row],[DateFrom]])="D1",0,1)+IF(CELL("format",CONT_SUP[[#This Row],[DateTo]])="D1",0,1)</f>
        <v>0</v>
      </c>
      <c r="U3" s="57">
        <f>IF(OR(CONT_SUP[[#This Row],[MatEditOnly]]=TRUE,CONT_SUP[[#This Row],[MatEditOnly]]=FALSE),IF(OR(CONT_SUP[[#This Row],[NoIncrement]]=TRUE,CONT_SUP[[#This Row],[NoIncrement]]=FALSE),0,1),1)</f>
        <v>0</v>
      </c>
      <c r="V3" s="57">
        <f>IF(ISBLANK(CONT_SUP[[#This Row],[FundCode]])=TRUE,0,IF(COUNTIF(FUNDS[FundCode],CONT_SUP[[#This Row],[FundCode]])=1,0,1))</f>
        <v>0</v>
      </c>
      <c r="W3" s="57">
        <f>IF(LEN(CONT_SUP[[#This Row],[Notes]])&lt;4000,0,1)</f>
        <v>0</v>
      </c>
      <c r="X3" s="57">
        <f>IF(SUBSTITUTE(TEXT(CONT_SUP[[#This Row],[Reference]],10)," ","")=TEXT(CONT_SUP[[#This Row],[Reference]],10),0,1)</f>
        <v>0</v>
      </c>
      <c r="Y3" s="57" t="e">
        <f>SUM(CONT_SUP[[#This Row],[Duplicate Contract]:[Space in Code]])</f>
        <v>#N/A</v>
      </c>
      <c r="AD3" s="57" t="str">
        <f>_xlfn.XLOOKUP(CONT_SUP[[#This Row],[StaffMemberCode]],'25_StaffMembers'!O:O,'25_StaffMembers'!R:R)</f>
        <v xml:space="preserve"> </v>
      </c>
      <c r="AF3" s="57" t="e">
        <f>_xlfn.XLOOKUP(CONT_SUP[[#This Row],[SRG]],SRG[StaffRoleGroupCode],SRG[GrossSalaryFinanceCode])</f>
        <v>#N/A</v>
      </c>
      <c r="AG3" s="57" t="e">
        <f>_xlfn.XLOOKUP(CONT_SUP[[#This Row],[StaffRoleCode]],ROLES[StaffRoleCode],ROLES[StaffRoleGroupCode])</f>
        <v>#N/A</v>
      </c>
      <c r="AH3" s="57" t="e">
        <f>_xlfn.XLOOKUP(CONT_SUP[[#This Row],[StaffRoleCode]],ROLES[StaffRoleCode],ROLES[PayScaleCode])</f>
        <v>#N/A</v>
      </c>
      <c r="AI3" s="57" t="e">
        <f>_xlfn.XLOOKUP(CONT_SUP[[#This Row],[SRG Gross]],FinanceCodesBudget[FinanceCode],FinanceCodesBudget[LedgerCode])</f>
        <v>#N/A</v>
      </c>
      <c r="AN3" s="68"/>
      <c r="AU3" s="12"/>
    </row>
  </sheetData>
  <dataConsolidate/>
  <phoneticPr fontId="2" type="noConversion"/>
  <pageMargins left="0.7" right="0.7" top="0.75" bottom="0.75" header="0.3" footer="0.3"/>
  <pageSetup orientation="portrait" horizontalDpi="300" verticalDpi="300"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97E14C87-2B54-4F6C-965B-A91D4681905F}">
          <x14:formula1>
            <xm:f>Depts!$G:$G</xm:f>
          </x14:formula1>
          <xm:sqref>AL1:AL1048576</xm:sqref>
        </x14:dataValidation>
      </x14:dataValidations>
    </ext>
  </extLst>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B6448-82C2-4982-A1DD-25575DAAC021}">
  <sheetPr codeName="Sheet26">
    <tabColor theme="4" tint="0.79998168889431442"/>
  </sheetPr>
  <dimension ref="A1:AE3"/>
  <sheetViews>
    <sheetView workbookViewId="0">
      <pane ySplit="1" topLeftCell="A2" activePane="bottomLeft" state="frozen"/>
      <selection activeCell="D2" sqref="D2"/>
      <selection pane="bottomLeft" activeCell="E2" sqref="E2"/>
    </sheetView>
  </sheetViews>
  <sheetFormatPr defaultColWidth="9.28515625" defaultRowHeight="15" outlineLevelCol="1" x14ac:dyDescent="0.25"/>
  <cols>
    <col min="1" max="1" width="11.42578125" style="12" hidden="1" customWidth="1" outlineLevel="1"/>
    <col min="2" max="2" width="11.140625" style="12" hidden="1" customWidth="1" outlineLevel="1"/>
    <col min="3" max="4" width="8.28515625" style="12" hidden="1" customWidth="1" outlineLevel="1"/>
    <col min="5" max="5" width="8.7109375" style="12" hidden="1" customWidth="1" outlineLevel="1"/>
    <col min="6" max="6" width="8.28515625" style="12" hidden="1" customWidth="1" outlineLevel="1"/>
    <col min="7" max="9" width="8.7109375" style="12" hidden="1" customWidth="1" outlineLevel="1"/>
    <col min="10" max="10" width="10.7109375" style="12" hidden="1" customWidth="1" outlineLevel="1"/>
    <col min="11" max="13" width="9.140625" style="12" hidden="1" customWidth="1" outlineLevel="1"/>
    <col min="14" max="14" width="9" style="12" hidden="1" customWidth="1" outlineLevel="1"/>
    <col min="15" max="15" width="10.7109375" style="12" hidden="1" customWidth="1" outlineLevel="1"/>
    <col min="16" max="16" width="10.7109375" style="12" customWidth="1" collapsed="1"/>
    <col min="17" max="17" width="12.7109375" style="12" bestFit="1" customWidth="1"/>
    <col min="18" max="18" width="12.28515625" style="12" bestFit="1" customWidth="1"/>
    <col min="19" max="19" width="12.7109375" style="12" customWidth="1"/>
    <col min="20" max="20" width="8.85546875" style="12" customWidth="1"/>
    <col min="21" max="21" width="12.7109375" style="12" customWidth="1"/>
    <col min="22" max="22" width="9.140625" customWidth="1"/>
    <col min="23" max="23" width="11.28515625" style="12" customWidth="1"/>
    <col min="24" max="24" width="12.28515625" style="20" customWidth="1"/>
    <col min="25" max="25" width="12.140625" style="20" customWidth="1"/>
    <col min="26" max="26" width="10.5703125" style="12" customWidth="1"/>
    <col min="27" max="29" width="10.5703125" style="20" customWidth="1"/>
    <col min="30" max="31" width="10.5703125" style="12" customWidth="1"/>
    <col min="32" max="16384" width="9.28515625" style="12"/>
  </cols>
  <sheetData>
    <row r="1" spans="1:31" s="24" customFormat="1" ht="75" x14ac:dyDescent="0.25">
      <c r="A1" s="24" t="s">
        <v>1832</v>
      </c>
      <c r="B1" s="24" t="s">
        <v>1865</v>
      </c>
      <c r="C1" s="59" t="s">
        <v>1866</v>
      </c>
      <c r="D1" s="59" t="s">
        <v>1867</v>
      </c>
      <c r="E1" s="65" t="s">
        <v>1843</v>
      </c>
      <c r="F1" s="59" t="s">
        <v>1868</v>
      </c>
      <c r="G1" s="59" t="s">
        <v>1869</v>
      </c>
      <c r="H1" s="165" t="s">
        <v>1870</v>
      </c>
      <c r="I1" s="59" t="s">
        <v>1871</v>
      </c>
      <c r="J1" s="65" t="s">
        <v>1872</v>
      </c>
      <c r="K1" s="65" t="s">
        <v>1873</v>
      </c>
      <c r="L1" s="65" t="s">
        <v>1508</v>
      </c>
      <c r="M1" s="59" t="s">
        <v>1364</v>
      </c>
      <c r="N1" s="65" t="s">
        <v>1851</v>
      </c>
      <c r="O1" s="53" t="s">
        <v>1367</v>
      </c>
      <c r="P1" s="59" t="s">
        <v>1605</v>
      </c>
      <c r="Q1" s="67" t="s">
        <v>1371</v>
      </c>
      <c r="R1" s="67" t="s">
        <v>1130</v>
      </c>
      <c r="S1" s="67" t="s">
        <v>1818</v>
      </c>
      <c r="T1" s="67" t="s">
        <v>1874</v>
      </c>
      <c r="U1" s="65" t="s">
        <v>1875</v>
      </c>
      <c r="V1" s="67" t="s">
        <v>1731</v>
      </c>
      <c r="W1" s="67" t="s">
        <v>1149</v>
      </c>
      <c r="X1" s="58" t="s">
        <v>1876</v>
      </c>
      <c r="Y1" s="58" t="s">
        <v>1877</v>
      </c>
      <c r="Z1" s="67" t="s">
        <v>1878</v>
      </c>
      <c r="AA1" s="67" t="s">
        <v>1606</v>
      </c>
      <c r="AB1" s="58" t="s">
        <v>1879</v>
      </c>
      <c r="AC1" s="58" t="s">
        <v>1880</v>
      </c>
      <c r="AD1" s="73" t="s">
        <v>1881</v>
      </c>
      <c r="AE1" s="67" t="s">
        <v>29</v>
      </c>
    </row>
    <row r="2" spans="1:31" x14ac:dyDescent="0.25">
      <c r="A2" s="12" t="str">
        <f>R2&amp;S2&amp;T2&amp;V2&amp;W2&amp;X2</f>
        <v>MAT123456TEADEFAULT44075</v>
      </c>
      <c r="B2" s="12" t="str">
        <f>CONTAL[[#This Row],[StaffMemberCode]]&amp;CONTAL[[#This Row],[AllowancePointCode]]&amp;CONTAL[[#This Row],[ContractReference]]&amp;CONTAL[[#This Row],[SchoolCode]]</f>
        <v>123456TLR1AMAT</v>
      </c>
      <c r="C2" s="57">
        <f>IF(COUNTIF('28_ContractsTeachFTE'!A:A,'34_ContractAllowances'!A2)&gt;0,0,IF(COUNTIF('29_ContractsSupportHours'!A:A,'34_ContractAllowances'!A2)&gt;0,0,1))</f>
        <v>1</v>
      </c>
      <c r="D2" s="57">
        <f>IF(_xlfn.XLOOKUP(CONTAL[[#This Row],[AllowancePointCode]],ALLWCPTS[AllowancePointCode],ALLWCPTS[AvailableToAllSchools])=TRUE,0,IFERROR(IF(FIND(CONTAL[[#This Row],[SchoolCode]],_xlfn.XLOOKUP(CONTAL[[#This Row],[AllowancePointCode]],ALLWCPTS[AllowancePointCode],ALLWCPTS[SchoolCodes]))&gt;=1,0,1),1))</f>
        <v>0</v>
      </c>
      <c r="E2" s="57" cm="1">
        <f t="array" ref="E2">IF(_xlfn.XLOOKUP(CONTAL[[#This Row],[DepartmentCode]]&amp;"TRUE",DEPTS[DepartmentCode]&amp;DEPTS[AvailableToAllSchools],DEPTS[AvailableToAllSchools],1,0,)=TRUE,0,IF(ISERROR(FIND(CONTAL[[#This Row],[SchoolCode]],_xlfn.TEXTJOIN(",",TRUE,_xlfn.UNIQUE(IF(DEPTS[DepartmentCode]=CONTAL[[#This Row],[DepartmentCode]],DEPTS[SchoolCodes],""))))),1,0))</f>
        <v>1</v>
      </c>
      <c r="F2" s="57">
        <f>IF(COUNTIF(ALLWCTYPE[AllowanceTypeCode],CONTAL[[#This Row],[AllowanceCode]])&gt;0,0,1)</f>
        <v>0</v>
      </c>
      <c r="G2" s="57">
        <f>IF(COUNTIF(ALLWCPTS[AllowancePointCode],CONTAL[[#This Row],[AllowancePointCode]])&gt;0,0,1)</f>
        <v>0</v>
      </c>
      <c r="H2" s="57">
        <f>COUNTIF(CONTAL[Person+AllowancePoint+ContractRef+SchoolCode],CONTAL[[#This Row],[Person+AllowancePoint+ContractRef+SchoolCode]])-1</f>
        <v>0</v>
      </c>
      <c r="I2" s="57">
        <f>IF(X2&gt;AB2,1,0)</f>
        <v>0</v>
      </c>
      <c r="J2" s="57">
        <f>IF(ISBLANK(CONTAL[[#This Row],[ContractDateTo]]),0,IF(CONTAL[[#This Row],[ContractDateFrom]]=CONTAL[[#This Row],[ContractDateTo]],0,IF(CONTAL[[#This Row],[ContractDateFrom]]&lt;CONTAL[[#This Row],[ContractDateTo]],0,1)))</f>
        <v>0</v>
      </c>
      <c r="K2" s="57">
        <f>IF(ISBLANK(CONTAL[[#This Row],[AllowanceDateTo]]),0,IF(CONTAL[[#This Row],[AllowanceDateFrom]]=CONTAL[[#This Row],[AllowanceDateTo]],0,IF(CONTAL[[#This Row],[AllowanceDateFrom]]&lt;CONTAL[[#This Row],[AllowanceDateTo]],0,1)))</f>
        <v>0</v>
      </c>
      <c r="L2" s="57" cm="1">
        <f t="array" aca="1" ref="L2" ca="1">IF(CELL("format",CONTAL[[#This Row],[ContractDateFrom]])="D1",0,1)+IF(CELL("format",CONTAL[[#This Row],[ContractDateTo]])="D1",0,1)+IF(CELL("format",CONTAL[[#This Row],[AllowanceDateFrom]])="D1",0,1)+IF(CELL("format",CONTAL[[#This Row],[AllowanceDateTo]])="D1",0,1)</f>
        <v>0</v>
      </c>
      <c r="M2" s="57">
        <f>IF(OR(CONTAL[[#This Row],[IgnoreFte]]=TRUE,CONTAL[[#This Row],[IgnoreFte]]=FALSE),0,1)</f>
        <v>0</v>
      </c>
      <c r="N2" s="57">
        <f>IF(LEN(CONTAL[[#This Row],[Notes]])&lt;4000,0,1)</f>
        <v>0</v>
      </c>
      <c r="O2" s="120">
        <f>COUNTBLANK(CONTAL[[#This Row],[AllowanceCode]:[AllowanceDateFrom]])+COUNTBLANK(CONTAL[[#This Row],[IgnoreFte]]:CONTAL[[#This Row],[IgnoreFte]])</f>
        <v>0</v>
      </c>
      <c r="P2" s="57">
        <f ca="1">SUM(CONTAL[[#This Row],[Contract Issue]:[Blank in column]])</f>
        <v>2</v>
      </c>
      <c r="R2" s="63" t="s">
        <v>1093</v>
      </c>
      <c r="S2" s="63">
        <v>123456</v>
      </c>
      <c r="T2" s="63"/>
      <c r="U2" s="57" t="str">
        <f>_xlfn.XLOOKUP(CONTAL[[#This Row],[StaffMemberCode]],'25_StaffMembers'!O:O,'25_StaffMembers'!R:R)</f>
        <v>Kim Jordan</v>
      </c>
      <c r="V2" s="12" t="s">
        <v>1696</v>
      </c>
      <c r="W2" s="12" t="s">
        <v>1078</v>
      </c>
      <c r="X2" s="20">
        <v>44075</v>
      </c>
      <c r="Y2" s="20">
        <v>44075</v>
      </c>
      <c r="Z2" s="12" t="s">
        <v>1597</v>
      </c>
      <c r="AA2" s="12" t="s">
        <v>1610</v>
      </c>
      <c r="AB2" s="20">
        <v>44075</v>
      </c>
      <c r="AC2" s="20">
        <v>44075</v>
      </c>
      <c r="AD2" s="16" t="b">
        <v>0</v>
      </c>
    </row>
    <row r="3" spans="1:31" x14ac:dyDescent="0.25">
      <c r="A3" s="12" t="str">
        <f>R3&amp;S3&amp;T3&amp;V3&amp;W3&amp;X3</f>
        <v/>
      </c>
      <c r="B3" s="12" t="str">
        <f>CONTAL[[#This Row],[StaffMemberCode]]&amp;CONTAL[[#This Row],[AllowancePointCode]]&amp;CONTAL[[#This Row],[ContractReference]]&amp;CONTAL[[#This Row],[SchoolCode]]</f>
        <v/>
      </c>
      <c r="C3" s="57">
        <f>IF(COUNTIF('28_ContractsTeachFTE'!A:A,'34_ContractAllowances'!A3)&gt;0,0,IF(COUNTIF('29_ContractsSupportHours'!A:A,'34_ContractAllowances'!A3)&gt;0,0,1))</f>
        <v>0</v>
      </c>
      <c r="D3" s="57" t="e">
        <f>IF(_xlfn.XLOOKUP(CONTAL[[#This Row],[AllowancePointCode]],ALLWCPTS[AllowancePointCode],ALLWCPTS[AvailableToAllSchools])=TRUE,0,IFERROR(IF(FIND(CONTAL[[#This Row],[SchoolCode]],_xlfn.XLOOKUP(CONTAL[[#This Row],[AllowancePointCode]],ALLWCPTS[AllowancePointCode],ALLWCPTS[SchoolCodes]))&gt;=1,0,1),1))</f>
        <v>#N/A</v>
      </c>
      <c r="E3" s="57" cm="1">
        <f t="array" ref="E3">IF(_xlfn.XLOOKUP(CONTAL[[#This Row],[DepartmentCode]]&amp;"TRUE",DEPTS[DepartmentCode]&amp;DEPTS[AvailableToAllSchools],DEPTS[AvailableToAllSchools],1,0,)=TRUE,0,IF(ISERROR(FIND(CONTAL[[#This Row],[SchoolCode]],_xlfn.TEXTJOIN(",",TRUE,_xlfn.UNIQUE(IF(DEPTS[DepartmentCode]=CONTAL[[#This Row],[DepartmentCode]],DEPTS[SchoolCodes],""))))),1,0))</f>
        <v>0</v>
      </c>
      <c r="F3" s="57">
        <f>IF(COUNTIF(ALLWCTYPE[AllowanceTypeCode],CONTAL[[#This Row],[AllowanceCode]])&gt;0,0,1)</f>
        <v>1</v>
      </c>
      <c r="G3" s="57">
        <f>IF(COUNTIF(ALLWCPTS[AllowancePointCode],CONTAL[[#This Row],[AllowancePointCode]])&gt;0,0,1)</f>
        <v>1</v>
      </c>
      <c r="H3" s="57">
        <f>COUNTIF(CONTAL[Person+AllowancePoint+ContractRef+SchoolCode],CONTAL[[#This Row],[Person+AllowancePoint+ContractRef+SchoolCode]])-1</f>
        <v>0</v>
      </c>
      <c r="I3" s="57">
        <f>IF(X3&gt;AB3,1,0)</f>
        <v>0</v>
      </c>
      <c r="J3" s="57">
        <f>IF(ISBLANK(CONTAL[[#This Row],[ContractDateTo]]),0,IF(CONTAL[[#This Row],[ContractDateFrom]]=CONTAL[[#This Row],[ContractDateTo]],0,IF(CONTAL[[#This Row],[ContractDateFrom]]&lt;CONTAL[[#This Row],[ContractDateTo]],0,1)))</f>
        <v>0</v>
      </c>
      <c r="K3" s="57">
        <f>IF(ISBLANK(CONTAL[[#This Row],[AllowanceDateTo]]),0,IF(CONTAL[[#This Row],[AllowanceDateFrom]]=CONTAL[[#This Row],[AllowanceDateTo]],0,IF(CONTAL[[#This Row],[AllowanceDateFrom]]&lt;CONTAL[[#This Row],[AllowanceDateTo]],0,1)))</f>
        <v>0</v>
      </c>
      <c r="L3" s="57" cm="1">
        <f t="array" aca="1" ref="L3" ca="1">IF(CELL("format",CONTAL[[#This Row],[ContractDateFrom]])="D1",0,1)+IF(CELL("format",CONTAL[[#This Row],[ContractDateTo]])="D1",0,1)+IF(CELL("format",CONTAL[[#This Row],[AllowanceDateFrom]])="D1",0,1)+IF(CELL("format",CONTAL[[#This Row],[AllowanceDateTo]])="D1",0,1)</f>
        <v>0</v>
      </c>
      <c r="M3" s="57">
        <f>IF(OR(CONTAL[[#This Row],[IgnoreFte]]=TRUE,CONTAL[[#This Row],[IgnoreFte]]=FALSE),0,1)</f>
        <v>0</v>
      </c>
      <c r="N3" s="57">
        <f>IF(LEN(CONTAL[[#This Row],[Notes]])&lt;4000,0,1)</f>
        <v>0</v>
      </c>
      <c r="O3" s="120">
        <f>COUNTBLANK(CONTAL[[#This Row],[AllowanceCode]:[AllowanceDateFrom]])+COUNTBLANK(CONTAL[[#This Row],[IgnoreFte]]:CONTAL[[#This Row],[IgnoreFte]])</f>
        <v>4</v>
      </c>
      <c r="P3" s="57" t="e">
        <f>SUM(CONTAL[[#This Row],[Contract Issue]:[Blank in column]])</f>
        <v>#N/A</v>
      </c>
      <c r="U3" s="57" t="str">
        <f>_xlfn.XLOOKUP(CONTAL[[#This Row],[StaffMemberCode]],'25_StaffMembers'!O:O,'25_StaffMembers'!R:R)</f>
        <v xml:space="preserve"> </v>
      </c>
      <c r="V3" s="12"/>
      <c r="AD3" s="16"/>
    </row>
  </sheetData>
  <phoneticPr fontId="2" type="noConversion"/>
  <pageMargins left="0.7" right="0.7" top="0.75" bottom="0.75" header="0.3" footer="0.3"/>
  <legacyDrawing r:id="rId1"/>
  <tableParts count="1">
    <tablePart r:id="rId2"/>
  </tableParts>
  <extLst>
    <ext xmlns:x14="http://schemas.microsoft.com/office/spreadsheetml/2009/9/main" uri="{CCE6A557-97BC-4b89-ADB6-D9C93CAAB3DF}">
      <x14:dataValidations xmlns:xm="http://schemas.microsoft.com/office/excel/2006/main" count="1">
        <x14:dataValidation type="list" allowBlank="1" showInputMessage="1" showErrorMessage="1" xr:uid="{297DFA4A-7E94-4F27-A6F3-F345F65157C9}">
          <x14:formula1>
            <xm:f>Depts!$G:$G</xm:f>
          </x14:formula1>
          <xm:sqref>W1:W1048576</xm:sqref>
        </x14:dataValidation>
      </x14:dataValidations>
    </ext>
  </extLs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1B4B2-3CBB-4B4D-968B-348C0AC083AF}">
  <sheetPr codeName="Sheet42">
    <tabColor theme="4" tint="0.79998168889431442"/>
  </sheetPr>
  <dimension ref="A1:AB3"/>
  <sheetViews>
    <sheetView workbookViewId="0">
      <pane ySplit="1" topLeftCell="A2" activePane="bottomLeft" state="frozen"/>
      <selection activeCell="D2" sqref="D2"/>
      <selection pane="bottomLeft" activeCell="D3" sqref="D3"/>
    </sheetView>
  </sheetViews>
  <sheetFormatPr defaultColWidth="9.28515625" defaultRowHeight="15" outlineLevelCol="1" x14ac:dyDescent="0.25"/>
  <cols>
    <col min="1" max="1" width="8.5703125" style="12" hidden="1" customWidth="1" outlineLevel="1"/>
    <col min="2" max="2" width="15" style="12" hidden="1" customWidth="1" outlineLevel="1"/>
    <col min="3" max="5" width="10.42578125" style="12" hidden="1" customWidth="1" outlineLevel="1"/>
    <col min="6" max="6" width="13.7109375" style="12" hidden="1" customWidth="1" outlineLevel="1"/>
    <col min="7" max="12" width="10.7109375" style="12" hidden="1" customWidth="1" outlineLevel="1"/>
    <col min="13" max="13" width="10.7109375" style="12" customWidth="1" collapsed="1"/>
    <col min="14" max="14" width="12.7109375" style="12" bestFit="1" customWidth="1"/>
    <col min="15" max="15" width="12.28515625" style="12" bestFit="1" customWidth="1"/>
    <col min="16" max="16" width="13" style="12" customWidth="1"/>
    <col min="17" max="17" width="8.5703125" style="12" customWidth="1"/>
    <col min="18" max="18" width="13.140625" style="12" customWidth="1"/>
    <col min="19" max="19" width="9.28515625" customWidth="1"/>
    <col min="20" max="20" width="11.5703125" style="12" customWidth="1"/>
    <col min="21" max="21" width="11.85546875" style="20" customWidth="1"/>
    <col min="22" max="22" width="12.28515625" style="20" customWidth="1"/>
    <col min="23" max="23" width="10.85546875" style="12" customWidth="1"/>
    <col min="24" max="24" width="11.28515625" style="20" customWidth="1"/>
    <col min="25" max="25" width="11.5703125" style="20" customWidth="1"/>
    <col min="26" max="26" width="16" style="12" customWidth="1"/>
    <col min="27" max="27" width="15.85546875" style="16" customWidth="1"/>
    <col min="28" max="28" width="10.5703125" style="12" customWidth="1"/>
    <col min="29" max="16384" width="9.28515625" style="12"/>
  </cols>
  <sheetData>
    <row r="1" spans="1:28" s="24" customFormat="1" ht="75" x14ac:dyDescent="0.25">
      <c r="A1" s="24" t="s">
        <v>1882</v>
      </c>
      <c r="B1" s="24" t="s">
        <v>1883</v>
      </c>
      <c r="C1" s="59" t="s">
        <v>1866</v>
      </c>
      <c r="D1" s="65" t="s">
        <v>1843</v>
      </c>
      <c r="E1" s="59" t="s">
        <v>1884</v>
      </c>
      <c r="F1" s="165" t="s">
        <v>1885</v>
      </c>
      <c r="G1" s="59" t="s">
        <v>1886</v>
      </c>
      <c r="H1" s="65" t="s">
        <v>1872</v>
      </c>
      <c r="I1" s="65" t="s">
        <v>1887</v>
      </c>
      <c r="J1" s="65" t="s">
        <v>1508</v>
      </c>
      <c r="K1" s="65" t="s">
        <v>1851</v>
      </c>
      <c r="L1" s="53" t="s">
        <v>1367</v>
      </c>
      <c r="M1" s="59" t="s">
        <v>1605</v>
      </c>
      <c r="N1" s="67" t="s">
        <v>1371</v>
      </c>
      <c r="O1" s="67" t="s">
        <v>1130</v>
      </c>
      <c r="P1" s="67" t="s">
        <v>1818</v>
      </c>
      <c r="Q1" s="67" t="s">
        <v>1874</v>
      </c>
      <c r="R1" s="65" t="s">
        <v>1875</v>
      </c>
      <c r="S1" s="67" t="s">
        <v>1731</v>
      </c>
      <c r="T1" s="67" t="s">
        <v>1149</v>
      </c>
      <c r="U1" s="58" t="s">
        <v>1876</v>
      </c>
      <c r="V1" s="58" t="s">
        <v>1877</v>
      </c>
      <c r="W1" s="67" t="s">
        <v>1627</v>
      </c>
      <c r="X1" s="58" t="s">
        <v>1888</v>
      </c>
      <c r="Y1" s="58" t="s">
        <v>1889</v>
      </c>
      <c r="Z1" s="67" t="s">
        <v>1890</v>
      </c>
      <c r="AA1" s="73" t="s">
        <v>1891</v>
      </c>
      <c r="AB1" s="67" t="s">
        <v>29</v>
      </c>
    </row>
    <row r="2" spans="1:28" x14ac:dyDescent="0.25">
      <c r="A2" s="12" t="str">
        <f>O2&amp;P2&amp;Q2&amp;S2&amp;T2&amp;U2</f>
        <v>MAT123456TEADEFAULT44075</v>
      </c>
      <c r="B2" s="12" t="str">
        <f>CONTADJ[[#This Row],[StaffMemberCode]]&amp;CONTADJ[[#This Row],[AdjustmentTypeCode]]&amp;CONTADJ[[#This Row],[ContractReference]]&amp;CONTADJ[[#This Row],[SchoolCode]]</f>
        <v>123456OTHMAT</v>
      </c>
      <c r="C2" s="57">
        <f>IF(COUNTIF('28_ContractsTeachFTE'!A:A,'33_ContractAdjustments'!A2)&gt;0,0,IF(COUNTIF('29_ContractsSupportHours'!A:A,'33_ContractAdjustments'!A2)&gt;0,0,1))</f>
        <v>1</v>
      </c>
      <c r="D2" s="57" cm="1">
        <f t="array" ref="D2">IF(_xlfn.XLOOKUP(CONTADJ[[#This Row],[DepartmentCode]]&amp;"TRUE",DEPTS[DepartmentCode]&amp;DEPTS[AvailableToAllSchools],DEPTS[AvailableToAllSchools],1,0,)=TRUE,0,IF(ISERROR(FIND(CONTADJ[[#This Row],[SchoolCode]],_xlfn.TEXTJOIN(",",TRUE,_xlfn.UNIQUE(IF(DEPTS[DepartmentCode]=CONTADJ[[#This Row],[DepartmentCode]],DEPTS[SchoolCodes],""))))),1,0))</f>
        <v>1</v>
      </c>
      <c r="E2" s="57">
        <f>IF(COUNTIF(ADJTYPE[AdjustmentTypeCode],CONTADJ[[#This Row],[AdjustmentTypeCode]])&gt;0,0,1)</f>
        <v>0</v>
      </c>
      <c r="F2" s="57">
        <f>COUNTIF(CONTADJ[Person+Adj Type Point+Contract Ref+SchoolCode],CONTADJ[[#This Row],[Person+Adj Type Point+Contract Ref+SchoolCode]]-1)</f>
        <v>0</v>
      </c>
      <c r="G2" s="57">
        <f>IF(U2&gt;X2,1,0)</f>
        <v>0</v>
      </c>
      <c r="H2" s="57">
        <f>IF(ISBLANK(CONTADJ[[#This Row],[ContractDateTo]]),0,IF(CONTADJ[[#This Row],[ContractDateFrom]]=CONTADJ[[#This Row],[ContractDateTo]],0,IF(CONTADJ[[#This Row],[ContractDateFrom]]&lt;CONTADJ[[#This Row],[ContractDateTo]],0,1)))</f>
        <v>0</v>
      </c>
      <c r="I2" s="57">
        <f>IF(ISBLANK(CONTADJ[[#This Row],[AdjustmentDateTo]]),0,IF(CONTADJ[[#This Row],[AdjustmentDateFrom]]=CONTADJ[[#This Row],[AdjustmentDateTo]],0,IF(CONTADJ[[#This Row],[AdjustmentDateFrom]]&lt;CONTADJ[[#This Row],[AdjustmentDateTo]],0,1)))</f>
        <v>0</v>
      </c>
      <c r="J2" s="57" cm="1">
        <f t="array" aca="1" ref="J2" ca="1">IF(CELL("format",CONTADJ[[#This Row],[ContractDateFrom]])="D1",0,1)+IF(CELL("format",CONTADJ[[#This Row],[ContractDateTo]])="D1",0,1)+IF(CELL("format",CONTADJ[[#This Row],[AdjustmentDateFrom]])="D1",0,1)+IF(CELL("format",CONTADJ[[#This Row],[AdjustmentDateTo]])="D1",0,1)</f>
        <v>0</v>
      </c>
      <c r="K2" s="57">
        <f>IF(LEN(CONTADJ[[#This Row],[Notes]])&lt;4000,0,1)</f>
        <v>0</v>
      </c>
      <c r="L2" s="57">
        <f>COUNTBLANK(CONTADJ[[#This Row],[AnnualValuePreAnnualFte]:[AnnualValuePostAnnualFte]])</f>
        <v>0</v>
      </c>
      <c r="M2" s="57">
        <f ca="1">SUM(CONTADJ[[#This Row],[Contract Issue]:[Blank in column]])</f>
        <v>2</v>
      </c>
      <c r="O2" s="63" t="s">
        <v>1093</v>
      </c>
      <c r="P2" s="63">
        <v>123456</v>
      </c>
      <c r="Q2" s="63"/>
      <c r="R2" s="57" t="str">
        <f>_xlfn.XLOOKUP(CONTADJ[[#This Row],[StaffMemberCode]],'25_StaffMembers'!O:O,'25_StaffMembers'!R:R)</f>
        <v>Kim Jordan</v>
      </c>
      <c r="S2" s="12" t="s">
        <v>1696</v>
      </c>
      <c r="T2" s="12" t="s">
        <v>1078</v>
      </c>
      <c r="U2" s="20">
        <v>44075</v>
      </c>
      <c r="W2" s="12" t="s">
        <v>1630</v>
      </c>
      <c r="X2" s="20">
        <v>44075</v>
      </c>
      <c r="Z2" s="12">
        <v>0</v>
      </c>
      <c r="AA2" s="14">
        <v>10225.84</v>
      </c>
    </row>
    <row r="3" spans="1:28" x14ac:dyDescent="0.25">
      <c r="A3" s="12" t="str">
        <f>O3&amp;P3&amp;Q3&amp;S3&amp;T3&amp;U3</f>
        <v/>
      </c>
      <c r="B3" s="12" t="str">
        <f>CONTADJ[[#This Row],[StaffMemberCode]]&amp;CONTADJ[[#This Row],[AdjustmentTypeCode]]&amp;CONTADJ[[#This Row],[ContractReference]]&amp;CONTADJ[[#This Row],[SchoolCode]]</f>
        <v/>
      </c>
      <c r="C3" s="57">
        <f>IF(COUNTIF('28_ContractsTeachFTE'!A:A,'33_ContractAdjustments'!A3)&gt;0,0,IF(COUNTIF('29_ContractsSupportHours'!A:A,'33_ContractAdjustments'!A3)&gt;0,0,1))</f>
        <v>0</v>
      </c>
      <c r="D3" s="57" cm="1">
        <f t="array" ref="D3">IF(_xlfn.XLOOKUP(CONTADJ[[#This Row],[DepartmentCode]]&amp;"TRUE",DEPTS[DepartmentCode]&amp;DEPTS[AvailableToAllSchools],DEPTS[AvailableToAllSchools],1,0,)=TRUE,0,IF(ISERROR(FIND(CONTADJ[[#This Row],[SchoolCode]],_xlfn.TEXTJOIN(",",TRUE,_xlfn.UNIQUE(IF(DEPTS[DepartmentCode]=CONTADJ[[#This Row],[DepartmentCode]],DEPTS[SchoolCodes],""))))),1,0))</f>
        <v>0</v>
      </c>
      <c r="E3" s="57">
        <f>IF(COUNTIF(ADJTYPE[AdjustmentTypeCode],CONTADJ[[#This Row],[AdjustmentTypeCode]])&gt;0,0,1)</f>
        <v>1</v>
      </c>
      <c r="F3" s="57">
        <f>COUNTIF(CONTADJ[Person+Adj Type Point+Contract Ref+SchoolCode],CONTADJ[[#This Row],[Person+Adj Type Point+Contract Ref+SchoolCode]]-1)</f>
        <v>0</v>
      </c>
      <c r="G3" s="57">
        <f>IF(U3&gt;X3,1,0)</f>
        <v>0</v>
      </c>
      <c r="H3" s="57">
        <f>IF(ISBLANK(CONTADJ[[#This Row],[ContractDateTo]]),0,IF(CONTADJ[[#This Row],[ContractDateFrom]]=CONTADJ[[#This Row],[ContractDateTo]],0,IF(CONTADJ[[#This Row],[ContractDateFrom]]&lt;CONTADJ[[#This Row],[ContractDateTo]],0,1)))</f>
        <v>0</v>
      </c>
      <c r="I3" s="57">
        <f>IF(ISBLANK(CONTADJ[[#This Row],[AdjustmentDateTo]]),0,IF(CONTADJ[[#This Row],[AdjustmentDateFrom]]=CONTADJ[[#This Row],[AdjustmentDateTo]],0,IF(CONTADJ[[#This Row],[AdjustmentDateFrom]]&lt;CONTADJ[[#This Row],[AdjustmentDateTo]],0,1)))</f>
        <v>0</v>
      </c>
      <c r="J3" s="57" cm="1">
        <f t="array" aca="1" ref="J3" ca="1">IF(CELL("format",CONTADJ[[#This Row],[ContractDateFrom]])="D1",0,1)+IF(CELL("format",CONTADJ[[#This Row],[ContractDateTo]])="D1",0,1)+IF(CELL("format",CONTADJ[[#This Row],[AdjustmentDateFrom]])="D1",0,1)+IF(CELL("format",CONTADJ[[#This Row],[AdjustmentDateTo]])="D1",0,1)</f>
        <v>0</v>
      </c>
      <c r="K3" s="57">
        <f>IF(LEN(CONTADJ[[#This Row],[Notes]])&lt;4000,0,1)</f>
        <v>0</v>
      </c>
      <c r="L3" s="57">
        <f>COUNTBLANK(CONTADJ[[#This Row],[AnnualValuePreAnnualFte]:[AnnualValuePostAnnualFte]])</f>
        <v>2</v>
      </c>
      <c r="M3" s="57">
        <f ca="1">SUM(CONTADJ[[#This Row],[Contract Issue]:[Blank in column]])</f>
        <v>3</v>
      </c>
      <c r="R3" s="57" t="str">
        <f>_xlfn.XLOOKUP(CONTADJ[[#This Row],[StaffMemberCode]],'25_StaffMembers'!O:O,'25_StaffMembers'!R:R)</f>
        <v xml:space="preserve"> </v>
      </c>
      <c r="S3" s="12"/>
      <c r="AA3" s="14"/>
    </row>
  </sheetData>
  <phoneticPr fontId="2" type="noConversion"/>
  <pageMargins left="0.7" right="0.7" top="0.75" bottom="0.75" header="0.3" footer="0.3"/>
  <pageSetup paperSize="9" orientation="portrait" horizontalDpi="360" verticalDpi="360"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C3CCF433-2108-4E1E-B380-5398ED2B922F}">
          <x14:formula1>
            <xm:f>Depts!$G:$G</xm:f>
          </x14:formula1>
          <xm:sqref>T1:T1048576</xm:sqref>
        </x14:dataValidation>
      </x14:dataValidations>
    </ext>
  </extLst>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59F3C-878A-4723-915B-3B5F7577F78E}">
  <sheetPr codeName="Sheet40">
    <tabColor theme="4" tint="0.79998168889431442"/>
  </sheetPr>
  <dimension ref="A1:Y34"/>
  <sheetViews>
    <sheetView zoomScaleNormal="100" workbookViewId="0">
      <pane ySplit="1" topLeftCell="A2" activePane="bottomLeft" state="frozen"/>
      <selection activeCell="D2" sqref="D2"/>
      <selection pane="bottomLeft" activeCell="Y27" sqref="Y27"/>
    </sheetView>
  </sheetViews>
  <sheetFormatPr defaultColWidth="9.28515625" defaultRowHeight="15" outlineLevelCol="1" x14ac:dyDescent="0.25"/>
  <cols>
    <col min="1" max="7" width="10.5703125" hidden="1" customWidth="1" outlineLevel="1"/>
    <col min="8" max="8" width="8.28515625" customWidth="1" collapsed="1"/>
    <col min="9" max="9" width="6.7109375" customWidth="1"/>
    <col min="10" max="10" width="20.140625" bestFit="1" customWidth="1"/>
    <col min="11" max="11" width="59.140625" bestFit="1" customWidth="1"/>
    <col min="12" max="12" width="11.28515625" customWidth="1"/>
    <col min="13" max="14" width="7.140625" customWidth="1"/>
    <col min="15" max="15" width="10.5703125" customWidth="1"/>
    <col min="16" max="16" width="11.28515625" customWidth="1"/>
    <col min="17" max="17" width="11.42578125" customWidth="1"/>
    <col min="18" max="18" width="10.5703125" customWidth="1"/>
    <col min="19" max="19" width="11.7109375" customWidth="1"/>
    <col min="20" max="21" width="10" customWidth="1"/>
    <col min="22" max="22" width="9.85546875" customWidth="1"/>
    <col min="23" max="23" width="9.5703125" customWidth="1"/>
    <col min="24" max="24" width="10.5703125" customWidth="1"/>
    <col min="25" max="25" width="20" bestFit="1" customWidth="1"/>
  </cols>
  <sheetData>
    <row r="1" spans="1:24" s="28" customFormat="1" ht="60" x14ac:dyDescent="0.25">
      <c r="A1" s="53" t="s">
        <v>1362</v>
      </c>
      <c r="B1" s="65" t="s">
        <v>1364</v>
      </c>
      <c r="C1" s="53" t="s">
        <v>1367</v>
      </c>
      <c r="D1" s="53" t="s">
        <v>1365</v>
      </c>
      <c r="E1" s="53" t="s">
        <v>1366</v>
      </c>
      <c r="F1" s="131" t="s">
        <v>1368</v>
      </c>
      <c r="G1" s="131" t="s">
        <v>1892</v>
      </c>
      <c r="H1" s="121" t="s">
        <v>1126</v>
      </c>
      <c r="I1" s="77" t="s">
        <v>1371</v>
      </c>
      <c r="J1" s="77" t="s">
        <v>1893</v>
      </c>
      <c r="K1" s="77" t="s">
        <v>1894</v>
      </c>
      <c r="L1" s="77" t="s">
        <v>1150</v>
      </c>
      <c r="M1" s="77" t="s">
        <v>1151</v>
      </c>
      <c r="N1" s="77" t="s">
        <v>1895</v>
      </c>
      <c r="O1" s="77" t="s">
        <v>1896</v>
      </c>
      <c r="P1" s="77" t="s">
        <v>1897</v>
      </c>
      <c r="Q1" s="77" t="s">
        <v>1898</v>
      </c>
      <c r="R1" s="77" t="s">
        <v>1899</v>
      </c>
      <c r="S1" s="77" t="s">
        <v>1900</v>
      </c>
      <c r="T1" s="77" t="s">
        <v>1901</v>
      </c>
      <c r="U1" s="77" t="s">
        <v>1902</v>
      </c>
      <c r="V1" s="77" t="s">
        <v>1903</v>
      </c>
      <c r="W1" s="77" t="s">
        <v>1904</v>
      </c>
      <c r="X1" s="77" t="s">
        <v>73</v>
      </c>
    </row>
    <row r="2" spans="1:24" x14ac:dyDescent="0.25">
      <c r="A2" s="145">
        <f>IF(LEAVES[[#This Row],[AvailableToAllSchools]]=FALSE,IF(ISBLANK(LEAVES[[#This Row],[SchoolCodes]]),1,0),IF(LEAVES[[#This Row],[AvailableToAllSchools]]=TRUE,IF(ISBLANK(LEAVES[[#This Row],[SchoolCodes]]),0,1)))</f>
        <v>0</v>
      </c>
      <c r="B2" s="145">
        <f>IF(OR(LEAVES[[#This Row],[LeaveTypeEnabled]]=TRUE,LEAVES[[#This Row],[LeaveTypeEnabled]]=FALSE),IF(OR(LEAVES[[#This Row],[AvailableToAllSchools]]=TRUE,LEAVES[[#This Row],[AvailableToAllSchools]]=FALSE),IF(OR(LEAVES[[#This Row],[UseGrossValueForPension]]=TRUE,LEAVES[[#This Row],[UseGrossValueForPension]]=FALSE),0,1),1),1)</f>
        <v>0</v>
      </c>
      <c r="C2" s="145">
        <f>COUNTBLANK(LEAVES[[#This Row],[RebatePercentage]:[TopUpToPercentage]])</f>
        <v>0</v>
      </c>
      <c r="D2" s="57">
        <f>IF(LEN(LEAVES[[#This Row],[LeaveTypeCode]])&lt;100,0,1)</f>
        <v>0</v>
      </c>
      <c r="E2" s="57">
        <f>IF(LEN(LEAVES[[#This Row],[LeaveTypeTitle]])&lt;100,0,1)</f>
        <v>0</v>
      </c>
      <c r="F2" s="145">
        <f>IF(SUBSTITUTE(TEXT(LEAVES[[#This Row],[LeaveTypeCode]],10)," ","")=TEXT(LEAVES[[#This Row],[LeaveTypeCode]],10),0,1)</f>
        <v>0</v>
      </c>
      <c r="G2" s="145" cm="1">
        <f t="array" ref="G2">IF(SUM((LEAVES[LeaveTypeCode]=LEAVES[[#This Row],[LeaveTypeCode]]) *
        (LEAVES[WeeksFrom] &lt;= LEAVES[[#This Row],[WeeksTo]]) *
        (LEAVES[WeeksTo] &gt;= LEAVES[[#This Row],[WeeksFrom]])) &gt; 1,
    1,
    0
)</f>
        <v>0</v>
      </c>
      <c r="H2" s="145">
        <f>SUM(LEAVES[[#This Row],[Schools Check]:[Leave Types Overlap]])</f>
        <v>0</v>
      </c>
      <c r="J2" t="s">
        <v>1905</v>
      </c>
      <c r="K2" t="s">
        <v>1906</v>
      </c>
      <c r="L2" t="b">
        <v>1</v>
      </c>
      <c r="N2">
        <v>92</v>
      </c>
      <c r="O2" t="b">
        <v>1</v>
      </c>
      <c r="P2" t="b">
        <v>1</v>
      </c>
      <c r="Q2">
        <v>1</v>
      </c>
      <c r="R2">
        <v>6</v>
      </c>
      <c r="S2">
        <v>90</v>
      </c>
      <c r="T2">
        <v>0</v>
      </c>
      <c r="U2">
        <v>0</v>
      </c>
      <c r="V2">
        <v>99999</v>
      </c>
      <c r="W2">
        <v>0</v>
      </c>
    </row>
    <row r="3" spans="1:24" x14ac:dyDescent="0.25">
      <c r="A3" s="145">
        <f>IF(LEAVES[[#This Row],[AvailableToAllSchools]]=FALSE,IF(ISBLANK(LEAVES[[#This Row],[SchoolCodes]]),1,0),IF(LEAVES[[#This Row],[AvailableToAllSchools]]=TRUE,IF(ISBLANK(LEAVES[[#This Row],[SchoolCodes]]),0,1)))</f>
        <v>0</v>
      </c>
      <c r="B3" s="145">
        <f>IF(OR(LEAVES[[#This Row],[LeaveTypeEnabled]]=TRUE,LEAVES[[#This Row],[LeaveTypeEnabled]]=FALSE),IF(OR(LEAVES[[#This Row],[AvailableToAllSchools]]=TRUE,LEAVES[[#This Row],[AvailableToAllSchools]]=FALSE),IF(OR(LEAVES[[#This Row],[UseGrossValueForPension]]=TRUE,LEAVES[[#This Row],[UseGrossValueForPension]]=FALSE),0,1),1),1)</f>
        <v>0</v>
      </c>
      <c r="C3" s="145">
        <f>COUNTBLANK(LEAVES[[#This Row],[RebatePercentage]:[TopUpToPercentage]])</f>
        <v>0</v>
      </c>
      <c r="D3" s="145">
        <f>IF(LEN(LEAVES[[#This Row],[LeaveTypeCode]])&lt;100,0,1)</f>
        <v>0</v>
      </c>
      <c r="E3" s="145">
        <f>IF(LEN(LEAVES[[#This Row],[LeaveTypeTitle]])&lt;100,0,1)</f>
        <v>0</v>
      </c>
      <c r="F3" s="145">
        <f>IF(SUBSTITUTE(TEXT(LEAVES[[#This Row],[LeaveTypeCode]],10)," ","")=TEXT(LEAVES[[#This Row],[LeaveTypeCode]],10),0,1)</f>
        <v>0</v>
      </c>
      <c r="G3" s="145" cm="1">
        <f t="array" ref="G3">IF(SUM((LEAVES[LeaveTypeCode]=LEAVES[[#This Row],[LeaveTypeCode]]) *
        (LEAVES[WeeksFrom] &lt;= LEAVES[[#This Row],[WeeksTo]]) *
        (LEAVES[WeeksTo] &gt;= LEAVES[[#This Row],[WeeksFrom]])) &gt; 1,
    1,
    0
)</f>
        <v>0</v>
      </c>
      <c r="H3" s="145">
        <f>SUM(LEAVES[[#This Row],[Schools Check]:[Leave Types Overlap]])</f>
        <v>0</v>
      </c>
      <c r="J3" t="s">
        <v>1905</v>
      </c>
      <c r="K3" t="s">
        <v>1906</v>
      </c>
      <c r="L3" t="b">
        <v>1</v>
      </c>
      <c r="N3">
        <v>92</v>
      </c>
      <c r="O3" t="b">
        <v>1</v>
      </c>
      <c r="P3" t="b">
        <v>1</v>
      </c>
      <c r="Q3">
        <v>7</v>
      </c>
      <c r="R3">
        <v>39</v>
      </c>
      <c r="S3">
        <v>90</v>
      </c>
      <c r="T3">
        <v>0</v>
      </c>
      <c r="U3">
        <v>0</v>
      </c>
      <c r="V3" s="19">
        <v>187.18</v>
      </c>
      <c r="W3">
        <v>0</v>
      </c>
    </row>
    <row r="4" spans="1:24" x14ac:dyDescent="0.25">
      <c r="A4" s="145">
        <f>IF(LEAVES[[#This Row],[AvailableToAllSchools]]=FALSE,IF(ISBLANK(LEAVES[[#This Row],[SchoolCodes]]),1,0),IF(LEAVES[[#This Row],[AvailableToAllSchools]]=TRUE,IF(ISBLANK(LEAVES[[#This Row],[SchoolCodes]]),0,1)))</f>
        <v>0</v>
      </c>
      <c r="B4" s="145">
        <f>IF(OR(LEAVES[[#This Row],[LeaveTypeEnabled]]=TRUE,LEAVES[[#This Row],[LeaveTypeEnabled]]=FALSE),IF(OR(LEAVES[[#This Row],[AvailableToAllSchools]]=TRUE,LEAVES[[#This Row],[AvailableToAllSchools]]=FALSE),IF(OR(LEAVES[[#This Row],[UseGrossValueForPension]]=TRUE,LEAVES[[#This Row],[UseGrossValueForPension]]=FALSE),0,1),1),1)</f>
        <v>0</v>
      </c>
      <c r="C4" s="145">
        <f>COUNTBLANK(LEAVES[[#This Row],[RebatePercentage]:[TopUpToPercentage]])</f>
        <v>0</v>
      </c>
      <c r="D4" s="145">
        <f>IF(LEN(LEAVES[[#This Row],[LeaveTypeCode]])&lt;100,0,1)</f>
        <v>0</v>
      </c>
      <c r="E4" s="145">
        <f>IF(LEN(LEAVES[[#This Row],[LeaveTypeTitle]])&lt;100,0,1)</f>
        <v>0</v>
      </c>
      <c r="F4" s="145">
        <f>IF(SUBSTITUTE(TEXT(LEAVES[[#This Row],[LeaveTypeCode]],10)," ","")=TEXT(LEAVES[[#This Row],[LeaveTypeCode]],10),0,1)</f>
        <v>0</v>
      </c>
      <c r="G4" s="145" cm="1">
        <f t="array" ref="G4">IF(SUM((LEAVES[LeaveTypeCode]=LEAVES[[#This Row],[LeaveTypeCode]]) *
        (LEAVES[WeeksFrom] &lt;= LEAVES[[#This Row],[WeeksTo]]) *
        (LEAVES[WeeksTo] &gt;= LEAVES[[#This Row],[WeeksFrom]])) &gt; 1,
    1,
    0
)</f>
        <v>0</v>
      </c>
      <c r="H4" s="145">
        <f>SUM(LEAVES[[#This Row],[Schools Check]:[Leave Types Overlap]])</f>
        <v>0</v>
      </c>
      <c r="J4" t="s">
        <v>1905</v>
      </c>
      <c r="K4" t="s">
        <v>1906</v>
      </c>
      <c r="L4" t="b">
        <v>1</v>
      </c>
      <c r="N4">
        <v>92</v>
      </c>
      <c r="O4" t="b">
        <v>1</v>
      </c>
      <c r="P4" s="22" t="b">
        <v>0</v>
      </c>
      <c r="Q4">
        <v>40</v>
      </c>
      <c r="R4">
        <v>52</v>
      </c>
      <c r="S4">
        <v>0</v>
      </c>
      <c r="T4">
        <v>0</v>
      </c>
      <c r="U4">
        <v>0</v>
      </c>
      <c r="V4">
        <v>0</v>
      </c>
      <c r="W4">
        <v>0</v>
      </c>
    </row>
    <row r="5" spans="1:24" x14ac:dyDescent="0.25">
      <c r="A5" s="145">
        <f>IF(LEAVES[[#This Row],[AvailableToAllSchools]]=FALSE,IF(ISBLANK(LEAVES[[#This Row],[SchoolCodes]]),1,0),IF(LEAVES[[#This Row],[AvailableToAllSchools]]=TRUE,IF(ISBLANK(LEAVES[[#This Row],[SchoolCodes]]),0,1)))</f>
        <v>0</v>
      </c>
      <c r="B5" s="145">
        <f>IF(OR(LEAVES[[#This Row],[LeaveTypeEnabled]]=TRUE,LEAVES[[#This Row],[LeaveTypeEnabled]]=FALSE),IF(OR(LEAVES[[#This Row],[AvailableToAllSchools]]=TRUE,LEAVES[[#This Row],[AvailableToAllSchools]]=FALSE),IF(OR(LEAVES[[#This Row],[UseGrossValueForPension]]=TRUE,LEAVES[[#This Row],[UseGrossValueForPension]]=FALSE),0,1),1),1)</f>
        <v>0</v>
      </c>
      <c r="C5" s="145">
        <f>COUNTBLANK(LEAVES[[#This Row],[RebatePercentage]:[TopUpToPercentage]])</f>
        <v>0</v>
      </c>
      <c r="D5" s="145">
        <f>IF(LEN(LEAVES[[#This Row],[LeaveTypeCode]])&lt;100,0,1)</f>
        <v>0</v>
      </c>
      <c r="E5" s="145">
        <f>IF(LEN(LEAVES[[#This Row],[LeaveTypeTitle]])&lt;100,0,1)</f>
        <v>0</v>
      </c>
      <c r="F5" s="145">
        <f>IF(SUBSTITUTE(TEXT(LEAVES[[#This Row],[LeaveTypeCode]],10)," ","")=TEXT(LEAVES[[#This Row],[LeaveTypeCode]],10),0,1)</f>
        <v>0</v>
      </c>
      <c r="G5" s="145" cm="1">
        <f t="array" ref="G5">IF(SUM((LEAVES[LeaveTypeCode]=LEAVES[[#This Row],[LeaveTypeCode]]) *
        (LEAVES[WeeksFrom] &lt;= LEAVES[[#This Row],[WeeksTo]]) *
        (LEAVES[WeeksTo] &gt;= LEAVES[[#This Row],[WeeksFrom]])) &gt; 1,
    1,
    0
)</f>
        <v>0</v>
      </c>
      <c r="H5" s="145">
        <f>SUM(LEAVES[[#This Row],[Schools Check]:[Leave Types Overlap]])</f>
        <v>0</v>
      </c>
      <c r="J5" s="156" t="s">
        <v>1907</v>
      </c>
      <c r="K5" t="s">
        <v>1908</v>
      </c>
      <c r="L5" t="b">
        <v>1</v>
      </c>
      <c r="N5">
        <v>92</v>
      </c>
      <c r="O5" t="b">
        <v>1</v>
      </c>
      <c r="P5" s="22" t="b">
        <v>0</v>
      </c>
      <c r="Q5">
        <v>1</v>
      </c>
      <c r="R5">
        <v>52</v>
      </c>
      <c r="S5">
        <v>0</v>
      </c>
      <c r="T5">
        <v>0</v>
      </c>
      <c r="U5">
        <v>0</v>
      </c>
      <c r="V5">
        <v>0</v>
      </c>
      <c r="W5">
        <v>0</v>
      </c>
    </row>
    <row r="6" spans="1:24" x14ac:dyDescent="0.25">
      <c r="A6" s="145">
        <f>IF(LEAVES[[#This Row],[AvailableToAllSchools]]=FALSE,IF(ISBLANK(LEAVES[[#This Row],[SchoolCodes]]),1,0),IF(LEAVES[[#This Row],[AvailableToAllSchools]]=TRUE,IF(ISBLANK(LEAVES[[#This Row],[SchoolCodes]]),0,1)))</f>
        <v>0</v>
      </c>
      <c r="B6" s="145">
        <f>IF(OR(LEAVES[[#This Row],[LeaveTypeEnabled]]=TRUE,LEAVES[[#This Row],[LeaveTypeEnabled]]=FALSE),IF(OR(LEAVES[[#This Row],[AvailableToAllSchools]]=TRUE,LEAVES[[#This Row],[AvailableToAllSchools]]=FALSE),IF(OR(LEAVES[[#This Row],[UseGrossValueForPension]]=TRUE,LEAVES[[#This Row],[UseGrossValueForPension]]=FALSE),0,1),1),1)</f>
        <v>0</v>
      </c>
      <c r="C6" s="145">
        <f>COUNTBLANK(LEAVES[[#This Row],[RebatePercentage]:[TopUpToPercentage]])</f>
        <v>0</v>
      </c>
      <c r="D6" s="145">
        <f>IF(LEN(LEAVES[[#This Row],[LeaveTypeCode]])&lt;100,0,1)</f>
        <v>0</v>
      </c>
      <c r="E6" s="145">
        <f>IF(LEN(LEAVES[[#This Row],[LeaveTypeTitle]])&lt;100,0,1)</f>
        <v>0</v>
      </c>
      <c r="F6" s="145">
        <f>IF(SUBSTITUTE(TEXT(LEAVES[[#This Row],[LeaveTypeCode]],10)," ","")=TEXT(LEAVES[[#This Row],[LeaveTypeCode]],10),0,1)</f>
        <v>0</v>
      </c>
      <c r="G6" s="145" cm="1">
        <f t="array" ref="G6">IF(SUM((LEAVES[LeaveTypeCode]=LEAVES[[#This Row],[LeaveTypeCode]]) *
        (LEAVES[WeeksFrom] &lt;= LEAVES[[#This Row],[WeeksTo]]) *
        (LEAVES[WeeksTo] &gt;= LEAVES[[#This Row],[WeeksFrom]])) &gt; 1,
    1,
    0
)</f>
        <v>0</v>
      </c>
      <c r="H6" s="145">
        <f>SUM(LEAVES[[#This Row],[Schools Check]:[Leave Types Overlap]])</f>
        <v>0</v>
      </c>
      <c r="J6" t="s">
        <v>1909</v>
      </c>
      <c r="K6" t="s">
        <v>1910</v>
      </c>
      <c r="L6" t="b">
        <v>1</v>
      </c>
      <c r="N6">
        <v>92</v>
      </c>
      <c r="O6" t="b">
        <v>1</v>
      </c>
      <c r="P6" t="b">
        <v>1</v>
      </c>
      <c r="Q6">
        <v>1</v>
      </c>
      <c r="R6">
        <v>6</v>
      </c>
      <c r="S6">
        <v>90</v>
      </c>
      <c r="T6">
        <v>0</v>
      </c>
      <c r="U6">
        <v>0</v>
      </c>
      <c r="V6">
        <v>99999</v>
      </c>
      <c r="W6">
        <v>90</v>
      </c>
    </row>
    <row r="7" spans="1:24" x14ac:dyDescent="0.25">
      <c r="A7" s="145">
        <f>IF(LEAVES[[#This Row],[AvailableToAllSchools]]=FALSE,IF(ISBLANK(LEAVES[[#This Row],[SchoolCodes]]),1,0),IF(LEAVES[[#This Row],[AvailableToAllSchools]]=TRUE,IF(ISBLANK(LEAVES[[#This Row],[SchoolCodes]]),0,1)))</f>
        <v>0</v>
      </c>
      <c r="B7" s="145">
        <f>IF(OR(LEAVES[[#This Row],[LeaveTypeEnabled]]=TRUE,LEAVES[[#This Row],[LeaveTypeEnabled]]=FALSE),IF(OR(LEAVES[[#This Row],[AvailableToAllSchools]]=TRUE,LEAVES[[#This Row],[AvailableToAllSchools]]=FALSE),IF(OR(LEAVES[[#This Row],[UseGrossValueForPension]]=TRUE,LEAVES[[#This Row],[UseGrossValueForPension]]=FALSE),0,1),1),1)</f>
        <v>0</v>
      </c>
      <c r="C7" s="145">
        <f>COUNTBLANK(LEAVES[[#This Row],[RebatePercentage]:[TopUpToPercentage]])</f>
        <v>0</v>
      </c>
      <c r="D7" s="145">
        <f>IF(LEN(LEAVES[[#This Row],[LeaveTypeCode]])&lt;100,0,1)</f>
        <v>0</v>
      </c>
      <c r="E7" s="145">
        <f>IF(LEN(LEAVES[[#This Row],[LeaveTypeTitle]])&lt;100,0,1)</f>
        <v>0</v>
      </c>
      <c r="F7" s="145">
        <f>IF(SUBSTITUTE(TEXT(LEAVES[[#This Row],[LeaveTypeCode]],10)," ","")=TEXT(LEAVES[[#This Row],[LeaveTypeCode]],10),0,1)</f>
        <v>0</v>
      </c>
      <c r="G7" s="145" cm="1">
        <f t="array" ref="G7">IF(SUM((LEAVES[LeaveTypeCode]=LEAVES[[#This Row],[LeaveTypeCode]]) *
        (LEAVES[WeeksFrom] &lt;= LEAVES[[#This Row],[WeeksTo]]) *
        (LEAVES[WeeksTo] &gt;= LEAVES[[#This Row],[WeeksFrom]])) &gt; 1,
    1,
    0
)</f>
        <v>0</v>
      </c>
      <c r="H7" s="145">
        <f>SUM(LEAVES[[#This Row],[Schools Check]:[Leave Types Overlap]])</f>
        <v>0</v>
      </c>
      <c r="J7" t="s">
        <v>1909</v>
      </c>
      <c r="K7" t="s">
        <v>1910</v>
      </c>
      <c r="L7" t="b">
        <v>1</v>
      </c>
      <c r="N7">
        <v>92</v>
      </c>
      <c r="O7" t="b">
        <v>1</v>
      </c>
      <c r="P7" t="b">
        <v>1</v>
      </c>
      <c r="Q7">
        <v>7</v>
      </c>
      <c r="R7">
        <v>18</v>
      </c>
      <c r="S7">
        <v>90</v>
      </c>
      <c r="T7">
        <v>50</v>
      </c>
      <c r="U7">
        <v>0</v>
      </c>
      <c r="V7" s="19">
        <v>187.18</v>
      </c>
      <c r="W7">
        <v>0</v>
      </c>
    </row>
    <row r="8" spans="1:24" x14ac:dyDescent="0.25">
      <c r="A8" s="145">
        <f>IF(LEAVES[[#This Row],[AvailableToAllSchools]]=FALSE,IF(ISBLANK(LEAVES[[#This Row],[SchoolCodes]]),1,0),IF(LEAVES[[#This Row],[AvailableToAllSchools]]=TRUE,IF(ISBLANK(LEAVES[[#This Row],[SchoolCodes]]),0,1)))</f>
        <v>0</v>
      </c>
      <c r="B8" s="145">
        <f>IF(OR(LEAVES[[#This Row],[LeaveTypeEnabled]]=TRUE,LEAVES[[#This Row],[LeaveTypeEnabled]]=FALSE),IF(OR(LEAVES[[#This Row],[AvailableToAllSchools]]=TRUE,LEAVES[[#This Row],[AvailableToAllSchools]]=FALSE),IF(OR(LEAVES[[#This Row],[UseGrossValueForPension]]=TRUE,LEAVES[[#This Row],[UseGrossValueForPension]]=FALSE),0,1),1),1)</f>
        <v>0</v>
      </c>
      <c r="C8" s="145">
        <f>COUNTBLANK(LEAVES[[#This Row],[RebatePercentage]:[TopUpToPercentage]])</f>
        <v>0</v>
      </c>
      <c r="D8" s="145">
        <f>IF(LEN(LEAVES[[#This Row],[LeaveTypeCode]])&lt;100,0,1)</f>
        <v>0</v>
      </c>
      <c r="E8" s="145">
        <f>IF(LEN(LEAVES[[#This Row],[LeaveTypeTitle]])&lt;100,0,1)</f>
        <v>0</v>
      </c>
      <c r="F8" s="145">
        <f>IF(SUBSTITUTE(TEXT(LEAVES[[#This Row],[LeaveTypeCode]],10)," ","")=TEXT(LEAVES[[#This Row],[LeaveTypeCode]],10),0,1)</f>
        <v>0</v>
      </c>
      <c r="G8" s="145" cm="1">
        <f t="array" ref="G8">IF(SUM((LEAVES[LeaveTypeCode]=LEAVES[[#This Row],[LeaveTypeCode]]) *
        (LEAVES[WeeksFrom] &lt;= LEAVES[[#This Row],[WeeksTo]]) *
        (LEAVES[WeeksTo] &gt;= LEAVES[[#This Row],[WeeksFrom]])) &gt; 1,
    1,
    0
)</f>
        <v>0</v>
      </c>
      <c r="H8" s="145">
        <f>SUM(LEAVES[[#This Row],[Schools Check]:[Leave Types Overlap]])</f>
        <v>0</v>
      </c>
      <c r="J8" t="s">
        <v>1909</v>
      </c>
      <c r="K8" t="s">
        <v>1910</v>
      </c>
      <c r="L8" t="b">
        <v>1</v>
      </c>
      <c r="N8">
        <v>92</v>
      </c>
      <c r="O8" t="b">
        <v>1</v>
      </c>
      <c r="P8" t="b">
        <v>1</v>
      </c>
      <c r="Q8">
        <v>19</v>
      </c>
      <c r="R8">
        <v>39</v>
      </c>
      <c r="S8">
        <v>90</v>
      </c>
      <c r="T8">
        <v>0</v>
      </c>
      <c r="U8">
        <v>0</v>
      </c>
      <c r="V8" s="19">
        <v>187.18</v>
      </c>
      <c r="W8">
        <v>0</v>
      </c>
    </row>
    <row r="9" spans="1:24" x14ac:dyDescent="0.25">
      <c r="A9" s="145">
        <f>IF(LEAVES[[#This Row],[AvailableToAllSchools]]=FALSE,IF(ISBLANK(LEAVES[[#This Row],[SchoolCodes]]),1,0),IF(LEAVES[[#This Row],[AvailableToAllSchools]]=TRUE,IF(ISBLANK(LEAVES[[#This Row],[SchoolCodes]]),0,1)))</f>
        <v>0</v>
      </c>
      <c r="B9" s="145">
        <f>IF(OR(LEAVES[[#This Row],[LeaveTypeEnabled]]=TRUE,LEAVES[[#This Row],[LeaveTypeEnabled]]=FALSE),IF(OR(LEAVES[[#This Row],[AvailableToAllSchools]]=TRUE,LEAVES[[#This Row],[AvailableToAllSchools]]=FALSE),IF(OR(LEAVES[[#This Row],[UseGrossValueForPension]]=TRUE,LEAVES[[#This Row],[UseGrossValueForPension]]=FALSE),0,1),1),1)</f>
        <v>0</v>
      </c>
      <c r="C9" s="145">
        <f>COUNTBLANK(LEAVES[[#This Row],[RebatePercentage]:[TopUpToPercentage]])</f>
        <v>0</v>
      </c>
      <c r="D9" s="145">
        <f>IF(LEN(LEAVES[[#This Row],[LeaveTypeCode]])&lt;100,0,1)</f>
        <v>0</v>
      </c>
      <c r="E9" s="145">
        <f>IF(LEN(LEAVES[[#This Row],[LeaveTypeTitle]])&lt;100,0,1)</f>
        <v>0</v>
      </c>
      <c r="F9" s="145">
        <f>IF(SUBSTITUTE(TEXT(LEAVES[[#This Row],[LeaveTypeCode]],10)," ","")=TEXT(LEAVES[[#This Row],[LeaveTypeCode]],10),0,1)</f>
        <v>0</v>
      </c>
      <c r="G9" s="145" cm="1">
        <f t="array" ref="G9">IF(SUM((LEAVES[LeaveTypeCode]=LEAVES[[#This Row],[LeaveTypeCode]]) *
        (LEAVES[WeeksFrom] &lt;= LEAVES[[#This Row],[WeeksTo]]) *
        (LEAVES[WeeksTo] &gt;= LEAVES[[#This Row],[WeeksFrom]])) &gt; 1,
    1,
    0
)</f>
        <v>0</v>
      </c>
      <c r="H9" s="145">
        <f>SUM(LEAVES[[#This Row],[Schools Check]:[Leave Types Overlap]])</f>
        <v>0</v>
      </c>
      <c r="J9" t="s">
        <v>1909</v>
      </c>
      <c r="K9" t="s">
        <v>1910</v>
      </c>
      <c r="L9" t="b">
        <v>1</v>
      </c>
      <c r="N9">
        <v>92</v>
      </c>
      <c r="O9" t="b">
        <v>1</v>
      </c>
      <c r="P9" s="22" t="b">
        <v>0</v>
      </c>
      <c r="Q9">
        <v>40</v>
      </c>
      <c r="R9">
        <v>52</v>
      </c>
      <c r="S9">
        <v>0</v>
      </c>
      <c r="T9">
        <v>0</v>
      </c>
      <c r="U9">
        <v>0</v>
      </c>
      <c r="V9">
        <v>0</v>
      </c>
      <c r="W9">
        <v>0</v>
      </c>
    </row>
    <row r="10" spans="1:24" x14ac:dyDescent="0.25">
      <c r="A10" s="145">
        <f>IF(LEAVES[[#This Row],[AvailableToAllSchools]]=FALSE,IF(ISBLANK(LEAVES[[#This Row],[SchoolCodes]]),1,0),IF(LEAVES[[#This Row],[AvailableToAllSchools]]=TRUE,IF(ISBLANK(LEAVES[[#This Row],[SchoolCodes]]),0,1)))</f>
        <v>0</v>
      </c>
      <c r="B10" s="145">
        <f>IF(OR(LEAVES[[#This Row],[LeaveTypeEnabled]]=TRUE,LEAVES[[#This Row],[LeaveTypeEnabled]]=FALSE),IF(OR(LEAVES[[#This Row],[AvailableToAllSchools]]=TRUE,LEAVES[[#This Row],[AvailableToAllSchools]]=FALSE),IF(OR(LEAVES[[#This Row],[UseGrossValueForPension]]=TRUE,LEAVES[[#This Row],[UseGrossValueForPension]]=FALSE),0,1),1),1)</f>
        <v>0</v>
      </c>
      <c r="C10" s="145">
        <f>COUNTBLANK(LEAVES[[#This Row],[RebatePercentage]:[TopUpToPercentage]])</f>
        <v>0</v>
      </c>
      <c r="D10" s="145">
        <f>IF(LEN(LEAVES[[#This Row],[LeaveTypeCode]])&lt;100,0,1)</f>
        <v>0</v>
      </c>
      <c r="E10" s="145">
        <f>IF(LEN(LEAVES[[#This Row],[LeaveTypeTitle]])&lt;100,0,1)</f>
        <v>0</v>
      </c>
      <c r="F10" s="145">
        <f>IF(SUBSTITUTE(TEXT(LEAVES[[#This Row],[LeaveTypeCode]],10)," ","")=TEXT(LEAVES[[#This Row],[LeaveTypeCode]],10),0,1)</f>
        <v>0</v>
      </c>
      <c r="G10" s="145" cm="1">
        <f t="array" ref="G10">IF(SUM((LEAVES[LeaveTypeCode]=LEAVES[[#This Row],[LeaveTypeCode]]) *
        (LEAVES[WeeksFrom] &lt;= LEAVES[[#This Row],[WeeksTo]]) *
        (LEAVES[WeeksTo] &gt;= LEAVES[[#This Row],[WeeksFrom]])) &gt; 1,
    1,
    0
)</f>
        <v>0</v>
      </c>
      <c r="H10" s="145">
        <f>SUM(LEAVES[[#This Row],[Schools Check]:[Leave Types Overlap]])</f>
        <v>0</v>
      </c>
      <c r="J10" s="156" t="s">
        <v>1911</v>
      </c>
      <c r="K10" t="s">
        <v>1912</v>
      </c>
      <c r="L10" t="b">
        <v>1</v>
      </c>
      <c r="N10">
        <v>92</v>
      </c>
      <c r="O10" t="b">
        <v>1</v>
      </c>
      <c r="P10" t="b">
        <v>1</v>
      </c>
      <c r="Q10">
        <v>1</v>
      </c>
      <c r="R10">
        <v>6</v>
      </c>
      <c r="S10">
        <v>90</v>
      </c>
      <c r="T10">
        <v>0</v>
      </c>
      <c r="U10">
        <v>0</v>
      </c>
      <c r="V10">
        <v>99999</v>
      </c>
      <c r="W10">
        <v>90</v>
      </c>
    </row>
    <row r="11" spans="1:24" x14ac:dyDescent="0.25">
      <c r="A11" s="145">
        <f>IF(LEAVES[[#This Row],[AvailableToAllSchools]]=FALSE,IF(ISBLANK(LEAVES[[#This Row],[SchoolCodes]]),1,0),IF(LEAVES[[#This Row],[AvailableToAllSchools]]=TRUE,IF(ISBLANK(LEAVES[[#This Row],[SchoolCodes]]),0,1)))</f>
        <v>0</v>
      </c>
      <c r="B11" s="145">
        <f>IF(OR(LEAVES[[#This Row],[LeaveTypeEnabled]]=TRUE,LEAVES[[#This Row],[LeaveTypeEnabled]]=FALSE),IF(OR(LEAVES[[#This Row],[AvailableToAllSchools]]=TRUE,LEAVES[[#This Row],[AvailableToAllSchools]]=FALSE),IF(OR(LEAVES[[#This Row],[UseGrossValueForPension]]=TRUE,LEAVES[[#This Row],[UseGrossValueForPension]]=FALSE),0,1),1),1)</f>
        <v>0</v>
      </c>
      <c r="C11" s="145">
        <f>COUNTBLANK(LEAVES[[#This Row],[RebatePercentage]:[TopUpToPercentage]])</f>
        <v>0</v>
      </c>
      <c r="D11" s="145">
        <f>IF(LEN(LEAVES[[#This Row],[LeaveTypeCode]])&lt;100,0,1)</f>
        <v>0</v>
      </c>
      <c r="E11" s="145">
        <f>IF(LEN(LEAVES[[#This Row],[LeaveTypeTitle]])&lt;100,0,1)</f>
        <v>0</v>
      </c>
      <c r="F11" s="145">
        <f>IF(SUBSTITUTE(TEXT(LEAVES[[#This Row],[LeaveTypeCode]],10)," ","")=TEXT(LEAVES[[#This Row],[LeaveTypeCode]],10),0,1)</f>
        <v>0</v>
      </c>
      <c r="G11" s="145" cm="1">
        <f t="array" ref="G11">IF(SUM((LEAVES[LeaveTypeCode]=LEAVES[[#This Row],[LeaveTypeCode]]) *
        (LEAVES[WeeksFrom] &lt;= LEAVES[[#This Row],[WeeksTo]]) *
        (LEAVES[WeeksTo] &gt;= LEAVES[[#This Row],[WeeksFrom]])) &gt; 1,
    1,
    0
)</f>
        <v>0</v>
      </c>
      <c r="H11" s="145">
        <f>SUM(LEAVES[[#This Row],[Schools Check]:[Leave Types Overlap]])</f>
        <v>0</v>
      </c>
      <c r="J11" s="156" t="s">
        <v>1911</v>
      </c>
      <c r="K11" t="s">
        <v>1912</v>
      </c>
      <c r="L11" t="b">
        <v>1</v>
      </c>
      <c r="N11">
        <v>92</v>
      </c>
      <c r="O11" t="b">
        <v>1</v>
      </c>
      <c r="P11" t="b">
        <v>1</v>
      </c>
      <c r="Q11">
        <v>7</v>
      </c>
      <c r="R11">
        <v>39</v>
      </c>
      <c r="S11">
        <v>90</v>
      </c>
      <c r="T11">
        <v>0</v>
      </c>
      <c r="U11">
        <v>0</v>
      </c>
      <c r="V11" s="19">
        <v>187.18</v>
      </c>
      <c r="W11">
        <v>0</v>
      </c>
    </row>
    <row r="12" spans="1:24" x14ac:dyDescent="0.25">
      <c r="A12" s="145">
        <f>IF(LEAVES[[#This Row],[AvailableToAllSchools]]=FALSE,IF(ISBLANK(LEAVES[[#This Row],[SchoolCodes]]),1,0),IF(LEAVES[[#This Row],[AvailableToAllSchools]]=TRUE,IF(ISBLANK(LEAVES[[#This Row],[SchoolCodes]]),0,1)))</f>
        <v>0</v>
      </c>
      <c r="B12" s="145">
        <f>IF(OR(LEAVES[[#This Row],[LeaveTypeEnabled]]=TRUE,LEAVES[[#This Row],[LeaveTypeEnabled]]=FALSE),IF(OR(LEAVES[[#This Row],[AvailableToAllSchools]]=TRUE,LEAVES[[#This Row],[AvailableToAllSchools]]=FALSE),IF(OR(LEAVES[[#This Row],[UseGrossValueForPension]]=TRUE,LEAVES[[#This Row],[UseGrossValueForPension]]=FALSE),0,1),1),1)</f>
        <v>0</v>
      </c>
      <c r="C12" s="145">
        <f>COUNTBLANK(LEAVES[[#This Row],[RebatePercentage]:[TopUpToPercentage]])</f>
        <v>0</v>
      </c>
      <c r="D12" s="145">
        <f>IF(LEN(LEAVES[[#This Row],[LeaveTypeCode]])&lt;100,0,1)</f>
        <v>0</v>
      </c>
      <c r="E12" s="145">
        <f>IF(LEN(LEAVES[[#This Row],[LeaveTypeTitle]])&lt;100,0,1)</f>
        <v>0</v>
      </c>
      <c r="F12" s="145">
        <f>IF(SUBSTITUTE(TEXT(LEAVES[[#This Row],[LeaveTypeCode]],10)," ","")=TEXT(LEAVES[[#This Row],[LeaveTypeCode]],10),0,1)</f>
        <v>0</v>
      </c>
      <c r="G12" s="145" cm="1">
        <f t="array" ref="G12">IF(SUM((LEAVES[LeaveTypeCode]=LEAVES[[#This Row],[LeaveTypeCode]]) *
        (LEAVES[WeeksFrom] &lt;= LEAVES[[#This Row],[WeeksTo]]) *
        (LEAVES[WeeksTo] &gt;= LEAVES[[#This Row],[WeeksFrom]])) &gt; 1,
    1,
    0
)</f>
        <v>0</v>
      </c>
      <c r="H12" s="145">
        <f>SUM(LEAVES[[#This Row],[Schools Check]:[Leave Types Overlap]])</f>
        <v>0</v>
      </c>
      <c r="J12" s="156" t="s">
        <v>1911</v>
      </c>
      <c r="K12" t="s">
        <v>1912</v>
      </c>
      <c r="L12" t="b">
        <v>1</v>
      </c>
      <c r="N12">
        <v>92</v>
      </c>
      <c r="O12" t="b">
        <v>1</v>
      </c>
      <c r="P12" s="22" t="b">
        <v>0</v>
      </c>
      <c r="Q12">
        <v>40</v>
      </c>
      <c r="R12">
        <v>52</v>
      </c>
      <c r="S12">
        <v>0</v>
      </c>
      <c r="T12">
        <v>0</v>
      </c>
      <c r="U12">
        <v>0</v>
      </c>
      <c r="V12">
        <v>0</v>
      </c>
      <c r="W12">
        <v>0</v>
      </c>
    </row>
    <row r="13" spans="1:24" x14ac:dyDescent="0.25">
      <c r="A13" s="145">
        <f>IF(LEAVES[[#This Row],[AvailableToAllSchools]]=FALSE,IF(ISBLANK(LEAVES[[#This Row],[SchoolCodes]]),1,0),IF(LEAVES[[#This Row],[AvailableToAllSchools]]=TRUE,IF(ISBLANK(LEAVES[[#This Row],[SchoolCodes]]),0,1)))</f>
        <v>0</v>
      </c>
      <c r="B13" s="145">
        <f>IF(OR(LEAVES[[#This Row],[LeaveTypeEnabled]]=TRUE,LEAVES[[#This Row],[LeaveTypeEnabled]]=FALSE),IF(OR(LEAVES[[#This Row],[AvailableToAllSchools]]=TRUE,LEAVES[[#This Row],[AvailableToAllSchools]]=FALSE),IF(OR(LEAVES[[#This Row],[UseGrossValueForPension]]=TRUE,LEAVES[[#This Row],[UseGrossValueForPension]]=FALSE),0,1),1),1)</f>
        <v>0</v>
      </c>
      <c r="C13" s="145">
        <f>COUNTBLANK(LEAVES[[#This Row],[RebatePercentage]:[TopUpToPercentage]])</f>
        <v>0</v>
      </c>
      <c r="D13" s="145">
        <f>IF(LEN(LEAVES[[#This Row],[LeaveTypeCode]])&lt;100,0,1)</f>
        <v>0</v>
      </c>
      <c r="E13" s="145">
        <f>IF(LEN(LEAVES[[#This Row],[LeaveTypeTitle]])&lt;100,0,1)</f>
        <v>0</v>
      </c>
      <c r="F13" s="145">
        <f>IF(SUBSTITUTE(TEXT(LEAVES[[#This Row],[LeaveTypeCode]],10)," ","")=TEXT(LEAVES[[#This Row],[LeaveTypeCode]],10),0,1)</f>
        <v>0</v>
      </c>
      <c r="G13" s="145" cm="1">
        <f t="array" ref="G13">IF(SUM((LEAVES[LeaveTypeCode]=LEAVES[[#This Row],[LeaveTypeCode]]) *
        (LEAVES[WeeksFrom] &lt;= LEAVES[[#This Row],[WeeksTo]]) *
        (LEAVES[WeeksTo] &gt;= LEAVES[[#This Row],[WeeksFrom]])) &gt; 1,
    1,
    0
)</f>
        <v>0</v>
      </c>
      <c r="H13" s="145">
        <f>SUM(LEAVES[[#This Row],[Schools Check]:[Leave Types Overlap]])</f>
        <v>0</v>
      </c>
      <c r="J13" s="156" t="s">
        <v>1913</v>
      </c>
      <c r="K13" t="s">
        <v>1914</v>
      </c>
      <c r="L13" t="b">
        <v>1</v>
      </c>
      <c r="N13">
        <v>92</v>
      </c>
      <c r="O13" t="b">
        <v>1</v>
      </c>
      <c r="P13" s="22" t="b">
        <v>0</v>
      </c>
      <c r="Q13">
        <v>1</v>
      </c>
      <c r="R13">
        <v>52</v>
      </c>
      <c r="S13">
        <v>0</v>
      </c>
      <c r="T13">
        <v>0</v>
      </c>
      <c r="U13">
        <v>0</v>
      </c>
      <c r="V13">
        <v>0</v>
      </c>
      <c r="W13">
        <v>0</v>
      </c>
    </row>
    <row r="14" spans="1:24" x14ac:dyDescent="0.25">
      <c r="A14" s="145">
        <f>IF(LEAVES[[#This Row],[AvailableToAllSchools]]=FALSE,IF(ISBLANK(LEAVES[[#This Row],[SchoolCodes]]),1,0),IF(LEAVES[[#This Row],[AvailableToAllSchools]]=TRUE,IF(ISBLANK(LEAVES[[#This Row],[SchoolCodes]]),0,1)))</f>
        <v>0</v>
      </c>
      <c r="B14" s="145">
        <f>IF(OR(LEAVES[[#This Row],[LeaveTypeEnabled]]=TRUE,LEAVES[[#This Row],[LeaveTypeEnabled]]=FALSE),IF(OR(LEAVES[[#This Row],[AvailableToAllSchools]]=TRUE,LEAVES[[#This Row],[AvailableToAllSchools]]=FALSE),IF(OR(LEAVES[[#This Row],[UseGrossValueForPension]]=TRUE,LEAVES[[#This Row],[UseGrossValueForPension]]=FALSE),0,1),1),1)</f>
        <v>0</v>
      </c>
      <c r="C14" s="145">
        <f>COUNTBLANK(LEAVES[[#This Row],[RebatePercentage]:[TopUpToPercentage]])</f>
        <v>0</v>
      </c>
      <c r="D14" s="145">
        <f>IF(LEN(LEAVES[[#This Row],[LeaveTypeCode]])&lt;100,0,1)</f>
        <v>0</v>
      </c>
      <c r="E14" s="145">
        <f>IF(LEN(LEAVES[[#This Row],[LeaveTypeTitle]])&lt;100,0,1)</f>
        <v>0</v>
      </c>
      <c r="F14" s="145">
        <f>IF(SUBSTITUTE(TEXT(LEAVES[[#This Row],[LeaveTypeCode]],10)," ","")=TEXT(LEAVES[[#This Row],[LeaveTypeCode]],10),0,1)</f>
        <v>0</v>
      </c>
      <c r="G14" s="145" cm="1">
        <f t="array" ref="G14">IF(SUM((LEAVES[LeaveTypeCode]=LEAVES[[#This Row],[LeaveTypeCode]]) *
        (LEAVES[WeeksFrom] &lt;= LEAVES[[#This Row],[WeeksTo]]) *
        (LEAVES[WeeksTo] &gt;= LEAVES[[#This Row],[WeeksFrom]])) &gt; 1,
    1,
    0
)</f>
        <v>0</v>
      </c>
      <c r="H14" s="145">
        <f>SUM(LEAVES[[#This Row],[Schools Check]:[Leave Types Overlap]])</f>
        <v>0</v>
      </c>
      <c r="J14" s="156" t="s">
        <v>1915</v>
      </c>
      <c r="K14" t="s">
        <v>1916</v>
      </c>
      <c r="L14" t="b">
        <v>1</v>
      </c>
      <c r="N14">
        <v>92</v>
      </c>
      <c r="O14" t="b">
        <v>1</v>
      </c>
      <c r="P14" t="b">
        <v>1</v>
      </c>
      <c r="Q14">
        <v>1</v>
      </c>
      <c r="R14">
        <v>4</v>
      </c>
      <c r="S14">
        <v>90</v>
      </c>
      <c r="T14">
        <v>0</v>
      </c>
      <c r="U14">
        <v>0</v>
      </c>
      <c r="V14">
        <v>99999</v>
      </c>
      <c r="W14">
        <v>100</v>
      </c>
    </row>
    <row r="15" spans="1:24" x14ac:dyDescent="0.25">
      <c r="A15" s="145">
        <f>IF(LEAVES[[#This Row],[AvailableToAllSchools]]=FALSE,IF(ISBLANK(LEAVES[[#This Row],[SchoolCodes]]),1,0),IF(LEAVES[[#This Row],[AvailableToAllSchools]]=TRUE,IF(ISBLANK(LEAVES[[#This Row],[SchoolCodes]]),0,1)))</f>
        <v>0</v>
      </c>
      <c r="B15" s="145">
        <f>IF(OR(LEAVES[[#This Row],[LeaveTypeEnabled]]=TRUE,LEAVES[[#This Row],[LeaveTypeEnabled]]=FALSE),IF(OR(LEAVES[[#This Row],[AvailableToAllSchools]]=TRUE,LEAVES[[#This Row],[AvailableToAllSchools]]=FALSE),IF(OR(LEAVES[[#This Row],[UseGrossValueForPension]]=TRUE,LEAVES[[#This Row],[UseGrossValueForPension]]=FALSE),0,1),1),1)</f>
        <v>0</v>
      </c>
      <c r="C15" s="145">
        <f>COUNTBLANK(LEAVES[[#This Row],[RebatePercentage]:[TopUpToPercentage]])</f>
        <v>0</v>
      </c>
      <c r="D15" s="145">
        <f>IF(LEN(LEAVES[[#This Row],[LeaveTypeCode]])&lt;100,0,1)</f>
        <v>0</v>
      </c>
      <c r="E15" s="145">
        <f>IF(LEN(LEAVES[[#This Row],[LeaveTypeTitle]])&lt;100,0,1)</f>
        <v>0</v>
      </c>
      <c r="F15" s="145">
        <f>IF(SUBSTITUTE(TEXT(LEAVES[[#This Row],[LeaveTypeCode]],10)," ","")=TEXT(LEAVES[[#This Row],[LeaveTypeCode]],10),0,1)</f>
        <v>0</v>
      </c>
      <c r="G15" s="145" cm="1">
        <f t="array" ref="G15">IF(SUM((LEAVES[LeaveTypeCode]=LEAVES[[#This Row],[LeaveTypeCode]]) *
        (LEAVES[WeeksFrom] &lt;= LEAVES[[#This Row],[WeeksTo]]) *
        (LEAVES[WeeksTo] &gt;= LEAVES[[#This Row],[WeeksFrom]])) &gt; 1,
    1,
    0
)</f>
        <v>0</v>
      </c>
      <c r="H15" s="145">
        <f>SUM(LEAVES[[#This Row],[Schools Check]:[Leave Types Overlap]])</f>
        <v>0</v>
      </c>
      <c r="J15" s="156" t="s">
        <v>1915</v>
      </c>
      <c r="K15" t="s">
        <v>1916</v>
      </c>
      <c r="L15" t="b">
        <v>1</v>
      </c>
      <c r="N15">
        <v>92</v>
      </c>
      <c r="O15" t="b">
        <v>1</v>
      </c>
      <c r="P15" t="b">
        <v>1</v>
      </c>
      <c r="Q15">
        <v>5</v>
      </c>
      <c r="R15">
        <v>6</v>
      </c>
      <c r="S15">
        <v>90</v>
      </c>
      <c r="T15">
        <v>0</v>
      </c>
      <c r="U15">
        <v>0</v>
      </c>
      <c r="V15">
        <v>99999</v>
      </c>
      <c r="W15">
        <v>0</v>
      </c>
    </row>
    <row r="16" spans="1:24" x14ac:dyDescent="0.25">
      <c r="A16" s="145">
        <f>IF(LEAVES[[#This Row],[AvailableToAllSchools]]=FALSE,IF(ISBLANK(LEAVES[[#This Row],[SchoolCodes]]),1,0),IF(LEAVES[[#This Row],[AvailableToAllSchools]]=TRUE,IF(ISBLANK(LEAVES[[#This Row],[SchoolCodes]]),0,1)))</f>
        <v>0</v>
      </c>
      <c r="B16" s="145">
        <f>IF(OR(LEAVES[[#This Row],[LeaveTypeEnabled]]=TRUE,LEAVES[[#This Row],[LeaveTypeEnabled]]=FALSE),IF(OR(LEAVES[[#This Row],[AvailableToAllSchools]]=TRUE,LEAVES[[#This Row],[AvailableToAllSchools]]=FALSE),IF(OR(LEAVES[[#This Row],[UseGrossValueForPension]]=TRUE,LEAVES[[#This Row],[UseGrossValueForPension]]=FALSE),0,1),1),1)</f>
        <v>0</v>
      </c>
      <c r="C16" s="145">
        <f>COUNTBLANK(LEAVES[[#This Row],[RebatePercentage]:[TopUpToPercentage]])</f>
        <v>0</v>
      </c>
      <c r="D16" s="145">
        <f>IF(LEN(LEAVES[[#This Row],[LeaveTypeCode]])&lt;100,0,1)</f>
        <v>0</v>
      </c>
      <c r="E16" s="145">
        <f>IF(LEN(LEAVES[[#This Row],[LeaveTypeTitle]])&lt;100,0,1)</f>
        <v>0</v>
      </c>
      <c r="F16" s="145">
        <f>IF(SUBSTITUTE(TEXT(LEAVES[[#This Row],[LeaveTypeCode]],10)," ","")=TEXT(LEAVES[[#This Row],[LeaveTypeCode]],10),0,1)</f>
        <v>0</v>
      </c>
      <c r="G16" s="145" cm="1">
        <f t="array" ref="G16">IF(SUM((LEAVES[LeaveTypeCode]=LEAVES[[#This Row],[LeaveTypeCode]]) *
        (LEAVES[WeeksFrom] &lt;= LEAVES[[#This Row],[WeeksTo]]) *
        (LEAVES[WeeksTo] &gt;= LEAVES[[#This Row],[WeeksFrom]])) &gt; 1,
    1,
    0
)</f>
        <v>0</v>
      </c>
      <c r="H16" s="145">
        <f>SUM(LEAVES[[#This Row],[Schools Check]:[Leave Types Overlap]])</f>
        <v>0</v>
      </c>
      <c r="J16" s="156" t="s">
        <v>1915</v>
      </c>
      <c r="K16" t="s">
        <v>1916</v>
      </c>
      <c r="L16" t="b">
        <v>1</v>
      </c>
      <c r="N16">
        <v>92</v>
      </c>
      <c r="O16" t="b">
        <v>1</v>
      </c>
      <c r="P16" t="b">
        <v>1</v>
      </c>
      <c r="Q16">
        <v>7</v>
      </c>
      <c r="R16">
        <v>18</v>
      </c>
      <c r="S16">
        <v>90</v>
      </c>
      <c r="T16">
        <v>50</v>
      </c>
      <c r="U16">
        <v>0</v>
      </c>
      <c r="V16" s="19">
        <v>187.18</v>
      </c>
      <c r="W16">
        <v>0</v>
      </c>
    </row>
    <row r="17" spans="1:25" x14ac:dyDescent="0.25">
      <c r="A17" s="145">
        <f>IF(LEAVES[[#This Row],[AvailableToAllSchools]]=FALSE,IF(ISBLANK(LEAVES[[#This Row],[SchoolCodes]]),1,0),IF(LEAVES[[#This Row],[AvailableToAllSchools]]=TRUE,IF(ISBLANK(LEAVES[[#This Row],[SchoolCodes]]),0,1)))</f>
        <v>0</v>
      </c>
      <c r="B17" s="145">
        <f>IF(OR(LEAVES[[#This Row],[LeaveTypeEnabled]]=TRUE,LEAVES[[#This Row],[LeaveTypeEnabled]]=FALSE),IF(OR(LEAVES[[#This Row],[AvailableToAllSchools]]=TRUE,LEAVES[[#This Row],[AvailableToAllSchools]]=FALSE),IF(OR(LEAVES[[#This Row],[UseGrossValueForPension]]=TRUE,LEAVES[[#This Row],[UseGrossValueForPension]]=FALSE),0,1),1),1)</f>
        <v>0</v>
      </c>
      <c r="C17" s="145">
        <f>COUNTBLANK(LEAVES[[#This Row],[RebatePercentage]:[TopUpToPercentage]])</f>
        <v>0</v>
      </c>
      <c r="D17" s="145">
        <f>IF(LEN(LEAVES[[#This Row],[LeaveTypeCode]])&lt;100,0,1)</f>
        <v>0</v>
      </c>
      <c r="E17" s="145">
        <f>IF(LEN(LEAVES[[#This Row],[LeaveTypeTitle]])&lt;100,0,1)</f>
        <v>0</v>
      </c>
      <c r="F17" s="145">
        <f>IF(SUBSTITUTE(TEXT(LEAVES[[#This Row],[LeaveTypeCode]],10)," ","")=TEXT(LEAVES[[#This Row],[LeaveTypeCode]],10),0,1)</f>
        <v>0</v>
      </c>
      <c r="G17" s="145" cm="1">
        <f t="array" ref="G17">IF(SUM((LEAVES[LeaveTypeCode]=LEAVES[[#This Row],[LeaveTypeCode]]) *
        (LEAVES[WeeksFrom] &lt;= LEAVES[[#This Row],[WeeksTo]]) *
        (LEAVES[WeeksTo] &gt;= LEAVES[[#This Row],[WeeksFrom]])) &gt; 1,
    1,
    0
)</f>
        <v>0</v>
      </c>
      <c r="H17" s="145">
        <f>SUM(LEAVES[[#This Row],[Schools Check]:[Leave Types Overlap]])</f>
        <v>0</v>
      </c>
      <c r="J17" s="156" t="s">
        <v>1915</v>
      </c>
      <c r="K17" t="s">
        <v>1916</v>
      </c>
      <c r="L17" t="b">
        <v>1</v>
      </c>
      <c r="N17">
        <v>92</v>
      </c>
      <c r="O17" t="b">
        <v>1</v>
      </c>
      <c r="P17" t="b">
        <v>1</v>
      </c>
      <c r="Q17">
        <v>19</v>
      </c>
      <c r="R17">
        <v>39</v>
      </c>
      <c r="S17">
        <v>90</v>
      </c>
      <c r="T17">
        <v>0</v>
      </c>
      <c r="U17">
        <v>0</v>
      </c>
      <c r="V17" s="19">
        <v>187.18</v>
      </c>
      <c r="W17">
        <v>0</v>
      </c>
    </row>
    <row r="18" spans="1:25" x14ac:dyDescent="0.25">
      <c r="A18" s="145">
        <f>IF(LEAVES[[#This Row],[AvailableToAllSchools]]=FALSE,IF(ISBLANK(LEAVES[[#This Row],[SchoolCodes]]),1,0),IF(LEAVES[[#This Row],[AvailableToAllSchools]]=TRUE,IF(ISBLANK(LEAVES[[#This Row],[SchoolCodes]]),0,1)))</f>
        <v>0</v>
      </c>
      <c r="B18" s="145">
        <f>IF(OR(LEAVES[[#This Row],[LeaveTypeEnabled]]=TRUE,LEAVES[[#This Row],[LeaveTypeEnabled]]=FALSE),IF(OR(LEAVES[[#This Row],[AvailableToAllSchools]]=TRUE,LEAVES[[#This Row],[AvailableToAllSchools]]=FALSE),IF(OR(LEAVES[[#This Row],[UseGrossValueForPension]]=TRUE,LEAVES[[#This Row],[UseGrossValueForPension]]=FALSE),0,1),1),1)</f>
        <v>0</v>
      </c>
      <c r="C18" s="145">
        <f>COUNTBLANK(LEAVES[[#This Row],[RebatePercentage]:[TopUpToPercentage]])</f>
        <v>0</v>
      </c>
      <c r="D18" s="145">
        <f>IF(LEN(LEAVES[[#This Row],[LeaveTypeCode]])&lt;100,0,1)</f>
        <v>0</v>
      </c>
      <c r="E18" s="145">
        <f>IF(LEN(LEAVES[[#This Row],[LeaveTypeTitle]])&lt;100,0,1)</f>
        <v>0</v>
      </c>
      <c r="F18" s="145">
        <f>IF(SUBSTITUTE(TEXT(LEAVES[[#This Row],[LeaveTypeCode]],10)," ","")=TEXT(LEAVES[[#This Row],[LeaveTypeCode]],10),0,1)</f>
        <v>0</v>
      </c>
      <c r="G18" s="145" cm="1">
        <f t="array" ref="G18">IF(SUM((LEAVES[LeaveTypeCode]=LEAVES[[#This Row],[LeaveTypeCode]]) *
        (LEAVES[WeeksFrom] &lt;= LEAVES[[#This Row],[WeeksTo]]) *
        (LEAVES[WeeksTo] &gt;= LEAVES[[#This Row],[WeeksFrom]])) &gt; 1,
    1,
    0
)</f>
        <v>0</v>
      </c>
      <c r="H18" s="145">
        <f>SUM(LEAVES[[#This Row],[Schools Check]:[Leave Types Overlap]])</f>
        <v>0</v>
      </c>
      <c r="J18" s="156" t="s">
        <v>1915</v>
      </c>
      <c r="K18" t="s">
        <v>1916</v>
      </c>
      <c r="L18" t="b">
        <v>1</v>
      </c>
      <c r="N18">
        <v>92</v>
      </c>
      <c r="O18" t="b">
        <v>1</v>
      </c>
      <c r="P18" s="22" t="b">
        <v>0</v>
      </c>
      <c r="Q18">
        <v>40</v>
      </c>
      <c r="R18">
        <v>52</v>
      </c>
      <c r="S18">
        <v>0</v>
      </c>
      <c r="T18">
        <v>0</v>
      </c>
      <c r="U18">
        <v>0</v>
      </c>
      <c r="V18">
        <v>0</v>
      </c>
      <c r="W18">
        <v>0</v>
      </c>
    </row>
    <row r="19" spans="1:25" x14ac:dyDescent="0.25">
      <c r="A19" s="145">
        <f>IF(LEAVES[[#This Row],[AvailableToAllSchools]]=FALSE,IF(ISBLANK(LEAVES[[#This Row],[SchoolCodes]]),1,0),IF(LEAVES[[#This Row],[AvailableToAllSchools]]=TRUE,IF(ISBLANK(LEAVES[[#This Row],[SchoolCodes]]),0,1)))</f>
        <v>0</v>
      </c>
      <c r="B19" s="145">
        <f>IF(OR(LEAVES[[#This Row],[LeaveTypeEnabled]]=TRUE,LEAVES[[#This Row],[LeaveTypeEnabled]]=FALSE),IF(OR(LEAVES[[#This Row],[AvailableToAllSchools]]=TRUE,LEAVES[[#This Row],[AvailableToAllSchools]]=FALSE),IF(OR(LEAVES[[#This Row],[UseGrossValueForPension]]=TRUE,LEAVES[[#This Row],[UseGrossValueForPension]]=FALSE),0,1),1),1)</f>
        <v>0</v>
      </c>
      <c r="C19" s="145">
        <f>COUNTBLANK(LEAVES[[#This Row],[RebatePercentage]:[TopUpToPercentage]])</f>
        <v>0</v>
      </c>
      <c r="D19" s="145">
        <f>IF(LEN(LEAVES[[#This Row],[LeaveTypeCode]])&lt;100,0,1)</f>
        <v>0</v>
      </c>
      <c r="E19" s="145">
        <f>IF(LEN(LEAVES[[#This Row],[LeaveTypeTitle]])&lt;100,0,1)</f>
        <v>0</v>
      </c>
      <c r="F19" s="145">
        <f>IF(SUBSTITUTE(TEXT(LEAVES[[#This Row],[LeaveTypeCode]],10)," ","")=TEXT(LEAVES[[#This Row],[LeaveTypeCode]],10),0,1)</f>
        <v>0</v>
      </c>
      <c r="G19" s="145" cm="1">
        <f t="array" ref="G19">IF(SUM((LEAVES[LeaveTypeCode]=LEAVES[[#This Row],[LeaveTypeCode]]) *
        (LEAVES[WeeksFrom] &lt;= LEAVES[[#This Row],[WeeksTo]]) *
        (LEAVES[WeeksTo] &gt;= LEAVES[[#This Row],[WeeksFrom]])) &gt; 1,
    1,
    0
)</f>
        <v>0</v>
      </c>
      <c r="H19" s="145">
        <f>SUM(LEAVES[[#This Row],[Schools Check]:[Leave Types Overlap]])</f>
        <v>0</v>
      </c>
      <c r="J19" s="156" t="s">
        <v>1917</v>
      </c>
      <c r="K19" t="s">
        <v>1918</v>
      </c>
      <c r="L19" t="b">
        <v>1</v>
      </c>
      <c r="N19">
        <v>92</v>
      </c>
      <c r="O19" t="b">
        <v>1</v>
      </c>
      <c r="P19" t="b">
        <v>1</v>
      </c>
      <c r="Q19">
        <v>1</v>
      </c>
      <c r="R19">
        <v>6</v>
      </c>
      <c r="S19">
        <v>90</v>
      </c>
      <c r="T19">
        <v>0</v>
      </c>
      <c r="U19">
        <v>0</v>
      </c>
      <c r="V19">
        <v>99999</v>
      </c>
      <c r="W19">
        <v>0</v>
      </c>
    </row>
    <row r="20" spans="1:25" x14ac:dyDescent="0.25">
      <c r="A20" s="145">
        <f>IF(LEAVES[[#This Row],[AvailableToAllSchools]]=FALSE,IF(ISBLANK(LEAVES[[#This Row],[SchoolCodes]]),1,0),IF(LEAVES[[#This Row],[AvailableToAllSchools]]=TRUE,IF(ISBLANK(LEAVES[[#This Row],[SchoolCodes]]),0,1)))</f>
        <v>0</v>
      </c>
      <c r="B20" s="145">
        <f>IF(OR(LEAVES[[#This Row],[LeaveTypeEnabled]]=TRUE,LEAVES[[#This Row],[LeaveTypeEnabled]]=FALSE),IF(OR(LEAVES[[#This Row],[AvailableToAllSchools]]=TRUE,LEAVES[[#This Row],[AvailableToAllSchools]]=FALSE),IF(OR(LEAVES[[#This Row],[UseGrossValueForPension]]=TRUE,LEAVES[[#This Row],[UseGrossValueForPension]]=FALSE),0,1),1),1)</f>
        <v>0</v>
      </c>
      <c r="C20" s="145">
        <f>COUNTBLANK(LEAVES[[#This Row],[RebatePercentage]:[TopUpToPercentage]])</f>
        <v>0</v>
      </c>
      <c r="D20" s="145">
        <f>IF(LEN(LEAVES[[#This Row],[LeaveTypeCode]])&lt;100,0,1)</f>
        <v>0</v>
      </c>
      <c r="E20" s="145">
        <f>IF(LEN(LEAVES[[#This Row],[LeaveTypeTitle]])&lt;100,0,1)</f>
        <v>0</v>
      </c>
      <c r="F20" s="145">
        <f>IF(SUBSTITUTE(TEXT(LEAVES[[#This Row],[LeaveTypeCode]],10)," ","")=TEXT(LEAVES[[#This Row],[LeaveTypeCode]],10),0,1)</f>
        <v>0</v>
      </c>
      <c r="G20" s="145" cm="1">
        <f t="array" ref="G20">IF(SUM((LEAVES[LeaveTypeCode]=LEAVES[[#This Row],[LeaveTypeCode]]) *
        (LEAVES[WeeksFrom] &lt;= LEAVES[[#This Row],[WeeksTo]]) *
        (LEAVES[WeeksTo] &gt;= LEAVES[[#This Row],[WeeksFrom]])) &gt; 1,
    1,
    0
)</f>
        <v>0</v>
      </c>
      <c r="H20" s="145">
        <f>SUM(LEAVES[[#This Row],[Schools Check]:[Leave Types Overlap]])</f>
        <v>0</v>
      </c>
      <c r="J20" s="156" t="s">
        <v>1917</v>
      </c>
      <c r="K20" t="s">
        <v>1918</v>
      </c>
      <c r="L20" t="b">
        <v>1</v>
      </c>
      <c r="N20">
        <v>92</v>
      </c>
      <c r="O20" t="b">
        <v>1</v>
      </c>
      <c r="P20" t="b">
        <v>1</v>
      </c>
      <c r="Q20">
        <v>7</v>
      </c>
      <c r="R20">
        <v>39</v>
      </c>
      <c r="S20">
        <v>90</v>
      </c>
      <c r="T20">
        <v>0</v>
      </c>
      <c r="U20">
        <v>0</v>
      </c>
      <c r="V20" s="19">
        <v>187.18</v>
      </c>
      <c r="W20">
        <v>0</v>
      </c>
    </row>
    <row r="21" spans="1:25" x14ac:dyDescent="0.25">
      <c r="A21" s="145">
        <f>IF(LEAVES[[#This Row],[AvailableToAllSchools]]=FALSE,IF(ISBLANK(LEAVES[[#This Row],[SchoolCodes]]),1,0),IF(LEAVES[[#This Row],[AvailableToAllSchools]]=TRUE,IF(ISBLANK(LEAVES[[#This Row],[SchoolCodes]]),0,1)))</f>
        <v>0</v>
      </c>
      <c r="B21" s="145">
        <f>IF(OR(LEAVES[[#This Row],[LeaveTypeEnabled]]=TRUE,LEAVES[[#This Row],[LeaveTypeEnabled]]=FALSE),IF(OR(LEAVES[[#This Row],[AvailableToAllSchools]]=TRUE,LEAVES[[#This Row],[AvailableToAllSchools]]=FALSE),IF(OR(LEAVES[[#This Row],[UseGrossValueForPension]]=TRUE,LEAVES[[#This Row],[UseGrossValueForPension]]=FALSE),0,1),1),1)</f>
        <v>0</v>
      </c>
      <c r="C21" s="145">
        <f>COUNTBLANK(LEAVES[[#This Row],[RebatePercentage]:[TopUpToPercentage]])</f>
        <v>0</v>
      </c>
      <c r="D21" s="145">
        <f>IF(LEN(LEAVES[[#This Row],[LeaveTypeCode]])&lt;100,0,1)</f>
        <v>0</v>
      </c>
      <c r="E21" s="145">
        <f>IF(LEN(LEAVES[[#This Row],[LeaveTypeTitle]])&lt;100,0,1)</f>
        <v>0</v>
      </c>
      <c r="F21" s="145">
        <f>IF(SUBSTITUTE(TEXT(LEAVES[[#This Row],[LeaveTypeCode]],10)," ","")=TEXT(LEAVES[[#This Row],[LeaveTypeCode]],10),0,1)</f>
        <v>0</v>
      </c>
      <c r="G21" s="145" cm="1">
        <f t="array" ref="G21">IF(SUM((LEAVES[LeaveTypeCode]=LEAVES[[#This Row],[LeaveTypeCode]]) *
        (LEAVES[WeeksFrom] &lt;= LEAVES[[#This Row],[WeeksTo]]) *
        (LEAVES[WeeksTo] &gt;= LEAVES[[#This Row],[WeeksFrom]])) &gt; 1,
    1,
    0
)</f>
        <v>0</v>
      </c>
      <c r="H21" s="145">
        <f>SUM(LEAVES[[#This Row],[Schools Check]:[Leave Types Overlap]])</f>
        <v>0</v>
      </c>
      <c r="J21" s="156" t="s">
        <v>1917</v>
      </c>
      <c r="K21" t="s">
        <v>1918</v>
      </c>
      <c r="L21" t="b">
        <v>1</v>
      </c>
      <c r="N21">
        <v>92</v>
      </c>
      <c r="O21" t="b">
        <v>1</v>
      </c>
      <c r="P21" s="22" t="b">
        <v>0</v>
      </c>
      <c r="Q21">
        <v>40</v>
      </c>
      <c r="R21">
        <v>52</v>
      </c>
      <c r="S21">
        <v>0</v>
      </c>
      <c r="T21">
        <v>0</v>
      </c>
      <c r="U21">
        <v>0</v>
      </c>
      <c r="V21">
        <v>0</v>
      </c>
      <c r="W21">
        <v>0</v>
      </c>
    </row>
    <row r="22" spans="1:25" x14ac:dyDescent="0.25">
      <c r="A22" s="145">
        <f>IF(LEAVES[[#This Row],[AvailableToAllSchools]]=FALSE,IF(ISBLANK(LEAVES[[#This Row],[SchoolCodes]]),1,0),IF(LEAVES[[#This Row],[AvailableToAllSchools]]=TRUE,IF(ISBLANK(LEAVES[[#This Row],[SchoolCodes]]),0,1)))</f>
        <v>0</v>
      </c>
      <c r="B22" s="145">
        <f>IF(OR(LEAVES[[#This Row],[LeaveTypeEnabled]]=TRUE,LEAVES[[#This Row],[LeaveTypeEnabled]]=FALSE),IF(OR(LEAVES[[#This Row],[AvailableToAllSchools]]=TRUE,LEAVES[[#This Row],[AvailableToAllSchools]]=FALSE),IF(OR(LEAVES[[#This Row],[UseGrossValueForPension]]=TRUE,LEAVES[[#This Row],[UseGrossValueForPension]]=FALSE),0,1),1),1)</f>
        <v>0</v>
      </c>
      <c r="C22" s="145">
        <f>COUNTBLANK(LEAVES[[#This Row],[RebatePercentage]:[TopUpToPercentage]])</f>
        <v>0</v>
      </c>
      <c r="D22" s="145">
        <f>IF(LEN(LEAVES[[#This Row],[LeaveTypeCode]])&lt;100,0,1)</f>
        <v>0</v>
      </c>
      <c r="E22" s="145">
        <f>IF(LEN(LEAVES[[#This Row],[LeaveTypeTitle]])&lt;100,0,1)</f>
        <v>0</v>
      </c>
      <c r="F22" s="145">
        <f>IF(SUBSTITUTE(TEXT(LEAVES[[#This Row],[LeaveTypeCode]],10)," ","")=TEXT(LEAVES[[#This Row],[LeaveTypeCode]],10),0,1)</f>
        <v>0</v>
      </c>
      <c r="G22" s="145" cm="1">
        <f t="array" ref="G22">IF(SUM((LEAVES[LeaveTypeCode]=LEAVES[[#This Row],[LeaveTypeCode]]) *
        (LEAVES[WeeksFrom] &lt;= LEAVES[[#This Row],[WeeksTo]]) *
        (LEAVES[WeeksTo] &gt;= LEAVES[[#This Row],[WeeksFrom]])) &gt; 1,
    1,
    0
)</f>
        <v>0</v>
      </c>
      <c r="H22" s="145">
        <f>SUM(LEAVES[[#This Row],[Schools Check]:[Leave Types Overlap]])</f>
        <v>0</v>
      </c>
      <c r="J22" t="s">
        <v>1919</v>
      </c>
      <c r="K22" t="s">
        <v>1920</v>
      </c>
      <c r="L22" t="b">
        <v>1</v>
      </c>
      <c r="N22">
        <v>92</v>
      </c>
      <c r="O22" t="b">
        <v>1</v>
      </c>
      <c r="P22" t="b">
        <v>1</v>
      </c>
      <c r="Q22">
        <v>1</v>
      </c>
      <c r="R22">
        <v>2</v>
      </c>
      <c r="S22">
        <v>90</v>
      </c>
      <c r="T22">
        <v>0</v>
      </c>
      <c r="U22">
        <v>0</v>
      </c>
      <c r="V22" s="19">
        <v>187.18</v>
      </c>
      <c r="W22">
        <v>0</v>
      </c>
    </row>
    <row r="23" spans="1:25" x14ac:dyDescent="0.25">
      <c r="A23" s="145">
        <f>IF(LEAVES[[#This Row],[AvailableToAllSchools]]=FALSE,IF(ISBLANK(LEAVES[[#This Row],[SchoolCodes]]),1,0),IF(LEAVES[[#This Row],[AvailableToAllSchools]]=TRUE,IF(ISBLANK(LEAVES[[#This Row],[SchoolCodes]]),0,1)))</f>
        <v>0</v>
      </c>
      <c r="B23" s="145">
        <f>IF(OR(LEAVES[[#This Row],[LeaveTypeEnabled]]=TRUE,LEAVES[[#This Row],[LeaveTypeEnabled]]=FALSE),IF(OR(LEAVES[[#This Row],[AvailableToAllSchools]]=TRUE,LEAVES[[#This Row],[AvailableToAllSchools]]=FALSE),IF(OR(LEAVES[[#This Row],[UseGrossValueForPension]]=TRUE,LEAVES[[#This Row],[UseGrossValueForPension]]=FALSE),0,1),1),1)</f>
        <v>0</v>
      </c>
      <c r="C23" s="145">
        <f>COUNTBLANK(LEAVES[[#This Row],[RebatePercentage]:[TopUpToPercentage]])</f>
        <v>0</v>
      </c>
      <c r="D23" s="145">
        <f>IF(LEN(LEAVES[[#This Row],[LeaveTypeCode]])&lt;100,0,1)</f>
        <v>0</v>
      </c>
      <c r="E23" s="145">
        <f>IF(LEN(LEAVES[[#This Row],[LeaveTypeTitle]])&lt;100,0,1)</f>
        <v>0</v>
      </c>
      <c r="F23" s="145">
        <f>IF(SUBSTITUTE(TEXT(LEAVES[[#This Row],[LeaveTypeCode]],10)," ","")=TEXT(LEAVES[[#This Row],[LeaveTypeCode]],10),0,1)</f>
        <v>0</v>
      </c>
      <c r="G23" s="145" cm="1">
        <f t="array" ref="G23">IF(SUM((LEAVES[LeaveTypeCode]=LEAVES[[#This Row],[LeaveTypeCode]]) *
        (LEAVES[WeeksFrom] &lt;= LEAVES[[#This Row],[WeeksTo]]) *
        (LEAVES[WeeksTo] &gt;= LEAVES[[#This Row],[WeeksFrom]])) &gt; 1,
    1,
    0
)</f>
        <v>0</v>
      </c>
      <c r="H23" s="145">
        <f>SUM(LEAVES[[#This Row],[Schools Check]:[Leave Types Overlap]])</f>
        <v>0</v>
      </c>
      <c r="J23" t="s">
        <v>1921</v>
      </c>
      <c r="K23" t="s">
        <v>1922</v>
      </c>
      <c r="L23" t="b">
        <v>1</v>
      </c>
      <c r="N23">
        <v>92</v>
      </c>
      <c r="O23" t="b">
        <v>1</v>
      </c>
      <c r="P23" t="b">
        <v>1</v>
      </c>
      <c r="Q23">
        <v>1</v>
      </c>
      <c r="R23">
        <v>2</v>
      </c>
      <c r="S23">
        <v>90</v>
      </c>
      <c r="T23">
        <v>0</v>
      </c>
      <c r="U23">
        <v>0</v>
      </c>
      <c r="V23" s="19">
        <v>187.18</v>
      </c>
      <c r="W23">
        <v>50</v>
      </c>
    </row>
    <row r="24" spans="1:25" x14ac:dyDescent="0.25">
      <c r="A24" s="145">
        <f>IF(LEAVES[[#This Row],[AvailableToAllSchools]]=FALSE,IF(ISBLANK(LEAVES[[#This Row],[SchoolCodes]]),1,0),IF(LEAVES[[#This Row],[AvailableToAllSchools]]=TRUE,IF(ISBLANK(LEAVES[[#This Row],[SchoolCodes]]),0,1)))</f>
        <v>0</v>
      </c>
      <c r="B24" s="145">
        <f>IF(OR(LEAVES[[#This Row],[LeaveTypeEnabled]]=TRUE,LEAVES[[#This Row],[LeaveTypeEnabled]]=FALSE),IF(OR(LEAVES[[#This Row],[AvailableToAllSchools]]=TRUE,LEAVES[[#This Row],[AvailableToAllSchools]]=FALSE),IF(OR(LEAVES[[#This Row],[UseGrossValueForPension]]=TRUE,LEAVES[[#This Row],[UseGrossValueForPension]]=FALSE),0,1),1),1)</f>
        <v>0</v>
      </c>
      <c r="C24" s="145">
        <f>COUNTBLANK(LEAVES[[#This Row],[RebatePercentage]:[TopUpToPercentage]])</f>
        <v>0</v>
      </c>
      <c r="D24" s="145">
        <f>IF(LEN(LEAVES[[#This Row],[LeaveTypeCode]])&lt;100,0,1)</f>
        <v>0</v>
      </c>
      <c r="E24" s="145">
        <f>IF(LEN(LEAVES[[#This Row],[LeaveTypeTitle]])&lt;100,0,1)</f>
        <v>0</v>
      </c>
      <c r="F24" s="145">
        <f>IF(SUBSTITUTE(TEXT(LEAVES[[#This Row],[LeaveTypeCode]],10)," ","")=TEXT(LEAVES[[#This Row],[LeaveTypeCode]],10),0,1)</f>
        <v>0</v>
      </c>
      <c r="G24" s="145" cm="1">
        <f t="array" ref="G24">IF(SUM((LEAVES[LeaveTypeCode]=LEAVES[[#This Row],[LeaveTypeCode]]) *
        (LEAVES[WeeksFrom] &lt;= LEAVES[[#This Row],[WeeksTo]]) *
        (LEAVES[WeeksTo] &gt;= LEAVES[[#This Row],[WeeksFrom]])) &gt; 1,
    1,
    0
)</f>
        <v>0</v>
      </c>
      <c r="H24" s="145">
        <f>SUM(LEAVES[[#This Row],[Schools Check]:[Leave Types Overlap]])</f>
        <v>0</v>
      </c>
      <c r="J24" t="s">
        <v>1923</v>
      </c>
      <c r="K24" t="s">
        <v>1924</v>
      </c>
      <c r="L24" t="b">
        <v>1</v>
      </c>
      <c r="N24">
        <v>92</v>
      </c>
      <c r="O24" t="b">
        <v>1</v>
      </c>
      <c r="P24" t="b">
        <v>1</v>
      </c>
      <c r="Q24">
        <v>1</v>
      </c>
      <c r="R24">
        <v>2</v>
      </c>
      <c r="S24">
        <v>90</v>
      </c>
      <c r="T24">
        <v>0</v>
      </c>
      <c r="U24">
        <v>0</v>
      </c>
      <c r="V24" s="19">
        <v>187.18</v>
      </c>
      <c r="W24">
        <v>100</v>
      </c>
    </row>
    <row r="25" spans="1:25" x14ac:dyDescent="0.25">
      <c r="A25" s="145">
        <f>IF(LEAVES[[#This Row],[AvailableToAllSchools]]=FALSE,IF(ISBLANK(LEAVES[[#This Row],[SchoolCodes]]),1,0),IF(LEAVES[[#This Row],[AvailableToAllSchools]]=TRUE,IF(ISBLANK(LEAVES[[#This Row],[SchoolCodes]]),0,1)))</f>
        <v>0</v>
      </c>
      <c r="B25" s="145">
        <f>IF(OR(LEAVES[[#This Row],[LeaveTypeEnabled]]=TRUE,LEAVES[[#This Row],[LeaveTypeEnabled]]=FALSE),IF(OR(LEAVES[[#This Row],[AvailableToAllSchools]]=TRUE,LEAVES[[#This Row],[AvailableToAllSchools]]=FALSE),IF(OR(LEAVES[[#This Row],[UseGrossValueForPension]]=TRUE,LEAVES[[#This Row],[UseGrossValueForPension]]=FALSE),0,1),1),1)</f>
        <v>0</v>
      </c>
      <c r="C25" s="145">
        <f>COUNTBLANK(LEAVES[[#This Row],[RebatePercentage]:[TopUpToPercentage]])</f>
        <v>0</v>
      </c>
      <c r="D25" s="145">
        <f>IF(LEN(LEAVES[[#This Row],[LeaveTypeCode]])&lt;100,0,1)</f>
        <v>0</v>
      </c>
      <c r="E25" s="145">
        <f>IF(LEN(LEAVES[[#This Row],[LeaveTypeTitle]])&lt;100,0,1)</f>
        <v>0</v>
      </c>
      <c r="F25" s="145">
        <f>IF(SUBSTITUTE(TEXT(LEAVES[[#This Row],[LeaveTypeCode]],10)," ","")=TEXT(LEAVES[[#This Row],[LeaveTypeCode]],10),0,1)</f>
        <v>0</v>
      </c>
      <c r="G25" s="145" cm="1">
        <f t="array" ref="G25">IF(SUM((LEAVES[LeaveTypeCode]=LEAVES[[#This Row],[LeaveTypeCode]]) *
        (LEAVES[WeeksFrom] &lt;= LEAVES[[#This Row],[WeeksTo]]) *
        (LEAVES[WeeksTo] &gt;= LEAVES[[#This Row],[WeeksFrom]])) &gt; 1,
    1,
    0
)</f>
        <v>0</v>
      </c>
      <c r="H25" s="145">
        <f>SUM(LEAVES[[#This Row],[Schools Check]:[Leave Types Overlap]])</f>
        <v>0</v>
      </c>
      <c r="J25" t="s">
        <v>1925</v>
      </c>
      <c r="K25" t="s">
        <v>1926</v>
      </c>
      <c r="L25" t="b">
        <v>1</v>
      </c>
      <c r="N25">
        <v>0</v>
      </c>
      <c r="O25" t="b">
        <v>1</v>
      </c>
      <c r="P25" t="b">
        <v>1</v>
      </c>
      <c r="Q25">
        <v>1</v>
      </c>
      <c r="R25">
        <v>28</v>
      </c>
      <c r="S25">
        <v>100</v>
      </c>
      <c r="T25">
        <v>0</v>
      </c>
      <c r="U25">
        <v>0</v>
      </c>
      <c r="V25" s="19">
        <v>118.75</v>
      </c>
      <c r="W25">
        <v>0</v>
      </c>
      <c r="Y25" t="s">
        <v>1927</v>
      </c>
    </row>
    <row r="26" spans="1:25" x14ac:dyDescent="0.25">
      <c r="A26" s="145">
        <f>IF(LEAVES[[#This Row],[AvailableToAllSchools]]=FALSE,IF(ISBLANK(LEAVES[[#This Row],[SchoolCodes]]),1,0),IF(LEAVES[[#This Row],[AvailableToAllSchools]]=TRUE,IF(ISBLANK(LEAVES[[#This Row],[SchoolCodes]]),0,1)))</f>
        <v>0</v>
      </c>
      <c r="B26" s="145">
        <f>IF(OR(LEAVES[[#This Row],[LeaveTypeEnabled]]=TRUE,LEAVES[[#This Row],[LeaveTypeEnabled]]=FALSE),IF(OR(LEAVES[[#This Row],[AvailableToAllSchools]]=TRUE,LEAVES[[#This Row],[AvailableToAllSchools]]=FALSE),IF(OR(LEAVES[[#This Row],[UseGrossValueForPension]]=TRUE,LEAVES[[#This Row],[UseGrossValueForPension]]=FALSE),0,1),1),1)</f>
        <v>0</v>
      </c>
      <c r="C26" s="145">
        <f>COUNTBLANK(LEAVES[[#This Row],[RebatePercentage]:[TopUpToPercentage]])</f>
        <v>0</v>
      </c>
      <c r="D26" s="145">
        <f>IF(LEN(LEAVES[[#This Row],[LeaveTypeCode]])&lt;100,0,1)</f>
        <v>0</v>
      </c>
      <c r="E26" s="145">
        <f>IF(LEN(LEAVES[[#This Row],[LeaveTypeTitle]])&lt;100,0,1)</f>
        <v>0</v>
      </c>
      <c r="F26" s="145">
        <f>IF(SUBSTITUTE(TEXT(LEAVES[[#This Row],[LeaveTypeCode]],10)," ","")=TEXT(LEAVES[[#This Row],[LeaveTypeCode]],10),0,1)</f>
        <v>0</v>
      </c>
      <c r="G26" s="145" cm="1">
        <f t="array" ref="G26">IF(SUM((LEAVES[LeaveTypeCode]=LEAVES[[#This Row],[LeaveTypeCode]]) *
        (LEAVES[WeeksFrom] &lt;= LEAVES[[#This Row],[WeeksTo]]) *
        (LEAVES[WeeksTo] &gt;= LEAVES[[#This Row],[WeeksFrom]])) &gt; 1,
    1,
    0
)</f>
        <v>0</v>
      </c>
      <c r="H26" s="145">
        <f>SUM(LEAVES[[#This Row],[Schools Check]:[Leave Types Overlap]])</f>
        <v>0</v>
      </c>
      <c r="J26" t="s">
        <v>1928</v>
      </c>
      <c r="K26" t="s">
        <v>1929</v>
      </c>
      <c r="L26" t="b">
        <v>1</v>
      </c>
      <c r="N26">
        <v>0</v>
      </c>
      <c r="O26" t="b">
        <v>1</v>
      </c>
      <c r="P26" s="22" t="b">
        <v>0</v>
      </c>
      <c r="Q26">
        <v>1</v>
      </c>
      <c r="R26">
        <v>52</v>
      </c>
      <c r="S26">
        <v>0</v>
      </c>
      <c r="T26">
        <v>0</v>
      </c>
      <c r="U26">
        <v>0</v>
      </c>
      <c r="V26">
        <v>0</v>
      </c>
      <c r="W26">
        <v>0</v>
      </c>
    </row>
    <row r="27" spans="1:25" x14ac:dyDescent="0.25">
      <c r="A27" s="145">
        <f>IF(LEAVES[[#This Row],[AvailableToAllSchools]]=FALSE,IF(ISBLANK(LEAVES[[#This Row],[SchoolCodes]]),1,0),IF(LEAVES[[#This Row],[AvailableToAllSchools]]=TRUE,IF(ISBLANK(LEAVES[[#This Row],[SchoolCodes]]),0,1)))</f>
        <v>0</v>
      </c>
      <c r="B27" s="145">
        <f>IF(OR(LEAVES[[#This Row],[LeaveTypeEnabled]]=TRUE,LEAVES[[#This Row],[LeaveTypeEnabled]]=FALSE),IF(OR(LEAVES[[#This Row],[AvailableToAllSchools]]=TRUE,LEAVES[[#This Row],[AvailableToAllSchools]]=FALSE),IF(OR(LEAVES[[#This Row],[UseGrossValueForPension]]=TRUE,LEAVES[[#This Row],[UseGrossValueForPension]]=FALSE),0,1),1),1)</f>
        <v>0</v>
      </c>
      <c r="C27" s="145">
        <f>COUNTBLANK(LEAVES[[#This Row],[RebatePercentage]:[TopUpToPercentage]])</f>
        <v>0</v>
      </c>
      <c r="D27" s="145">
        <f>IF(LEN(LEAVES[[#This Row],[LeaveTypeCode]])&lt;100,0,1)</f>
        <v>0</v>
      </c>
      <c r="E27" s="145">
        <f>IF(LEN(LEAVES[[#This Row],[LeaveTypeTitle]])&lt;100,0,1)</f>
        <v>0</v>
      </c>
      <c r="F27" s="145">
        <f>IF(SUBSTITUTE(TEXT(LEAVES[[#This Row],[LeaveTypeCode]],10)," ","")=TEXT(LEAVES[[#This Row],[LeaveTypeCode]],10),0,1)</f>
        <v>0</v>
      </c>
      <c r="G27" s="145" cm="1">
        <f t="array" ref="G27">IF(SUM((LEAVES[LeaveTypeCode]=LEAVES[[#This Row],[LeaveTypeCode]]) *
        (LEAVES[WeeksFrom] &lt;= LEAVES[[#This Row],[WeeksTo]]) *
        (LEAVES[WeeksTo] &gt;= LEAVES[[#This Row],[WeeksFrom]])) &gt; 1,
    1,
    0
)</f>
        <v>0</v>
      </c>
      <c r="H27" s="145">
        <f>SUM(LEAVES[[#This Row],[Schools Check]:[Leave Types Overlap]])</f>
        <v>0</v>
      </c>
      <c r="J27" t="s">
        <v>1930</v>
      </c>
      <c r="K27" t="s">
        <v>1931</v>
      </c>
      <c r="L27" t="b">
        <v>1</v>
      </c>
      <c r="N27">
        <v>0</v>
      </c>
      <c r="O27" t="b">
        <v>1</v>
      </c>
      <c r="P27" s="22" t="b">
        <v>0</v>
      </c>
      <c r="Q27">
        <v>1</v>
      </c>
      <c r="R27">
        <v>52</v>
      </c>
      <c r="S27">
        <v>0</v>
      </c>
      <c r="T27">
        <v>0</v>
      </c>
      <c r="U27">
        <v>0</v>
      </c>
      <c r="V27">
        <v>0</v>
      </c>
      <c r="W27">
        <v>50</v>
      </c>
    </row>
    <row r="28" spans="1:25" x14ac:dyDescent="0.25">
      <c r="A28" s="145">
        <f>IF(LEAVES[[#This Row],[AvailableToAllSchools]]=FALSE,IF(ISBLANK(LEAVES[[#This Row],[SchoolCodes]]),1,0),IF(LEAVES[[#This Row],[AvailableToAllSchools]]=TRUE,IF(ISBLANK(LEAVES[[#This Row],[SchoolCodes]]),0,1)))</f>
        <v>0</v>
      </c>
      <c r="B28" s="145">
        <f>IF(OR(LEAVES[[#This Row],[LeaveTypeEnabled]]=TRUE,LEAVES[[#This Row],[LeaveTypeEnabled]]=FALSE),IF(OR(LEAVES[[#This Row],[AvailableToAllSchools]]=TRUE,LEAVES[[#This Row],[AvailableToAllSchools]]=FALSE),IF(OR(LEAVES[[#This Row],[UseGrossValueForPension]]=TRUE,LEAVES[[#This Row],[UseGrossValueForPension]]=FALSE),0,1),1),1)</f>
        <v>0</v>
      </c>
      <c r="C28" s="145">
        <f>COUNTBLANK(LEAVES[[#This Row],[RebatePercentage]:[TopUpToPercentage]])</f>
        <v>0</v>
      </c>
      <c r="D28" s="145">
        <f>IF(LEN(LEAVES[[#This Row],[LeaveTypeCode]])&lt;100,0,1)</f>
        <v>0</v>
      </c>
      <c r="E28" s="145">
        <f>IF(LEN(LEAVES[[#This Row],[LeaveTypeTitle]])&lt;100,0,1)</f>
        <v>0</v>
      </c>
      <c r="F28" s="145">
        <f>IF(SUBSTITUTE(TEXT(LEAVES[[#This Row],[LeaveTypeCode]],10)," ","")=TEXT(LEAVES[[#This Row],[LeaveTypeCode]],10),0,1)</f>
        <v>0</v>
      </c>
      <c r="G28" s="145" cm="1">
        <f t="array" ref="G28">IF(SUM((LEAVES[LeaveTypeCode]=LEAVES[[#This Row],[LeaveTypeCode]]) *
        (LEAVES[WeeksFrom] &lt;= LEAVES[[#This Row],[WeeksTo]]) *
        (LEAVES[WeeksTo] &gt;= LEAVES[[#This Row],[WeeksFrom]])) &gt; 1,
    1,
    0
)</f>
        <v>0</v>
      </c>
      <c r="H28" s="145">
        <f>SUM(LEAVES[[#This Row],[Schools Check]:[Leave Types Overlap]])</f>
        <v>0</v>
      </c>
      <c r="J28" t="s">
        <v>1932</v>
      </c>
      <c r="K28" t="s">
        <v>1933</v>
      </c>
      <c r="L28" t="b">
        <v>1</v>
      </c>
      <c r="N28">
        <v>0</v>
      </c>
      <c r="O28" t="b">
        <v>1</v>
      </c>
      <c r="P28" s="22" t="b">
        <v>0</v>
      </c>
      <c r="Q28">
        <v>1</v>
      </c>
      <c r="R28">
        <v>52</v>
      </c>
      <c r="S28">
        <v>0</v>
      </c>
      <c r="T28">
        <v>0</v>
      </c>
      <c r="U28">
        <v>0</v>
      </c>
      <c r="V28">
        <v>0</v>
      </c>
      <c r="W28">
        <v>100</v>
      </c>
    </row>
    <row r="29" spans="1:25" x14ac:dyDescent="0.25">
      <c r="A29" s="145">
        <f>IF(LEAVES[[#This Row],[AvailableToAllSchools]]=FALSE,IF(ISBLANK(LEAVES[[#This Row],[SchoolCodes]]),1,0),IF(LEAVES[[#This Row],[AvailableToAllSchools]]=TRUE,IF(ISBLANK(LEAVES[[#This Row],[SchoolCodes]]),0,1)))</f>
        <v>0</v>
      </c>
      <c r="B29" s="145">
        <f>IF(OR(LEAVES[[#This Row],[LeaveTypeEnabled]]=TRUE,LEAVES[[#This Row],[LeaveTypeEnabled]]=FALSE),IF(OR(LEAVES[[#This Row],[AvailableToAllSchools]]=TRUE,LEAVES[[#This Row],[AvailableToAllSchools]]=FALSE),IF(OR(LEAVES[[#This Row],[UseGrossValueForPension]]=TRUE,LEAVES[[#This Row],[UseGrossValueForPension]]=FALSE),0,1),1),1)</f>
        <v>0</v>
      </c>
      <c r="C29" s="145">
        <f>COUNTBLANK(LEAVES[[#This Row],[RebatePercentage]:[TopUpToPercentage]])</f>
        <v>0</v>
      </c>
      <c r="D29" s="145">
        <f>IF(LEN(LEAVES[[#This Row],[LeaveTypeCode]])&lt;100,0,1)</f>
        <v>0</v>
      </c>
      <c r="E29" s="145">
        <f>IF(LEN(LEAVES[[#This Row],[LeaveTypeTitle]])&lt;100,0,1)</f>
        <v>0</v>
      </c>
      <c r="F29" s="145">
        <f>IF(SUBSTITUTE(TEXT(LEAVES[[#This Row],[LeaveTypeCode]],10)," ","")=TEXT(LEAVES[[#This Row],[LeaveTypeCode]],10),0,1)</f>
        <v>0</v>
      </c>
      <c r="G29" s="145" cm="1">
        <f t="array" ref="G29">IF(SUM((LEAVES[LeaveTypeCode]=LEAVES[[#This Row],[LeaveTypeCode]]) *
        (LEAVES[WeeksFrom] &lt;= LEAVES[[#This Row],[WeeksTo]]) *
        (LEAVES[WeeksTo] &gt;= LEAVES[[#This Row],[WeeksFrom]])) &gt; 1,
    1,
    0
)</f>
        <v>0</v>
      </c>
      <c r="H29" s="145">
        <f>SUM(LEAVES[[#This Row],[Schools Check]:[Leave Types Overlap]])</f>
        <v>0</v>
      </c>
      <c r="J29" t="s">
        <v>1934</v>
      </c>
      <c r="K29" t="s">
        <v>1935</v>
      </c>
      <c r="L29" t="b">
        <v>1</v>
      </c>
      <c r="N29">
        <v>0</v>
      </c>
      <c r="O29" t="b">
        <v>1</v>
      </c>
      <c r="P29" s="22" t="b">
        <v>0</v>
      </c>
      <c r="Q29">
        <v>1</v>
      </c>
      <c r="R29">
        <v>52</v>
      </c>
      <c r="S29">
        <v>0</v>
      </c>
      <c r="T29">
        <v>0</v>
      </c>
      <c r="U29">
        <v>0</v>
      </c>
      <c r="V29">
        <v>0</v>
      </c>
      <c r="W29">
        <v>0</v>
      </c>
    </row>
    <row r="30" spans="1:25" x14ac:dyDescent="0.25">
      <c r="A30" s="145">
        <f>IF(LEAVES[[#This Row],[AvailableToAllSchools]]=FALSE,IF(ISBLANK(LEAVES[[#This Row],[SchoolCodes]]),1,0),IF(LEAVES[[#This Row],[AvailableToAllSchools]]=TRUE,IF(ISBLANK(LEAVES[[#This Row],[SchoolCodes]]),0,1)))</f>
        <v>0</v>
      </c>
      <c r="B30" s="145">
        <f>IF(OR(LEAVES[[#This Row],[LeaveTypeEnabled]]=TRUE,LEAVES[[#This Row],[LeaveTypeEnabled]]=FALSE),IF(OR(LEAVES[[#This Row],[AvailableToAllSchools]]=TRUE,LEAVES[[#This Row],[AvailableToAllSchools]]=FALSE),IF(OR(LEAVES[[#This Row],[UseGrossValueForPension]]=TRUE,LEAVES[[#This Row],[UseGrossValueForPension]]=FALSE),0,1),1),1)</f>
        <v>0</v>
      </c>
      <c r="C30" s="145">
        <f>COUNTBLANK(LEAVES[[#This Row],[RebatePercentage]:[TopUpToPercentage]])</f>
        <v>0</v>
      </c>
      <c r="D30" s="145">
        <f>IF(LEN(LEAVES[[#This Row],[LeaveTypeCode]])&lt;100,0,1)</f>
        <v>0</v>
      </c>
      <c r="E30" s="145">
        <f>IF(LEN(LEAVES[[#This Row],[LeaveTypeTitle]])&lt;100,0,1)</f>
        <v>0</v>
      </c>
      <c r="F30" s="145">
        <f>IF(SUBSTITUTE(TEXT(LEAVES[[#This Row],[LeaveTypeCode]],10)," ","")=TEXT(LEAVES[[#This Row],[LeaveTypeCode]],10),0,1)</f>
        <v>0</v>
      </c>
      <c r="G30" s="145" cm="1">
        <f t="array" ref="G30">IF(SUM((LEAVES[LeaveTypeCode]=LEAVES[[#This Row],[LeaveTypeCode]]) *
        (LEAVES[WeeksFrom] &lt;= LEAVES[[#This Row],[WeeksTo]]) *
        (LEAVES[WeeksTo] &gt;= LEAVES[[#This Row],[WeeksFrom]])) &gt; 1,
    1,
    0
)</f>
        <v>0</v>
      </c>
      <c r="H30" s="145">
        <f>SUM(LEAVES[[#This Row],[Schools Check]:[Leave Types Overlap]])</f>
        <v>0</v>
      </c>
      <c r="J30" t="s">
        <v>1936</v>
      </c>
      <c r="K30" t="s">
        <v>1937</v>
      </c>
      <c r="L30" t="b">
        <v>1</v>
      </c>
      <c r="N30">
        <v>92</v>
      </c>
      <c r="O30" t="b">
        <v>1</v>
      </c>
      <c r="P30" t="b">
        <v>1</v>
      </c>
      <c r="Q30">
        <v>1</v>
      </c>
      <c r="R30">
        <v>2</v>
      </c>
      <c r="S30">
        <v>90</v>
      </c>
      <c r="T30">
        <v>0</v>
      </c>
      <c r="U30">
        <v>0</v>
      </c>
      <c r="V30">
        <v>99999</v>
      </c>
      <c r="W30">
        <v>0</v>
      </c>
    </row>
    <row r="31" spans="1:25" x14ac:dyDescent="0.25">
      <c r="A31" s="145">
        <f>IF(LEAVES[[#This Row],[AvailableToAllSchools]]=FALSE,IF(ISBLANK(LEAVES[[#This Row],[SchoolCodes]]),1,0),IF(LEAVES[[#This Row],[AvailableToAllSchools]]=TRUE,IF(ISBLANK(LEAVES[[#This Row],[SchoolCodes]]),0,1)))</f>
        <v>0</v>
      </c>
      <c r="B31" s="145">
        <f>IF(OR(LEAVES[[#This Row],[LeaveTypeEnabled]]=TRUE,LEAVES[[#This Row],[LeaveTypeEnabled]]=FALSE),IF(OR(LEAVES[[#This Row],[AvailableToAllSchools]]=TRUE,LEAVES[[#This Row],[AvailableToAllSchools]]=FALSE),IF(OR(LEAVES[[#This Row],[UseGrossValueForPension]]=TRUE,LEAVES[[#This Row],[UseGrossValueForPension]]=FALSE),0,1),1),1)</f>
        <v>0</v>
      </c>
      <c r="C31" s="145">
        <f>COUNTBLANK(LEAVES[[#This Row],[RebatePercentage]:[TopUpToPercentage]])</f>
        <v>0</v>
      </c>
      <c r="D31" s="145">
        <f>IF(LEN(LEAVES[[#This Row],[LeaveTypeCode]])&lt;100,0,1)</f>
        <v>0</v>
      </c>
      <c r="E31" s="145">
        <f>IF(LEN(LEAVES[[#This Row],[LeaveTypeTitle]])&lt;100,0,1)</f>
        <v>0</v>
      </c>
      <c r="F31" s="145">
        <f>IF(SUBSTITUTE(TEXT(LEAVES[[#This Row],[LeaveTypeCode]],10)," ","")=TEXT(LEAVES[[#This Row],[LeaveTypeCode]],10),0,1)</f>
        <v>0</v>
      </c>
      <c r="G31" s="145" cm="1">
        <f t="array" ref="G31">IF(SUM((LEAVES[LeaveTypeCode]=LEAVES[[#This Row],[LeaveTypeCode]]) *
        (LEAVES[WeeksFrom] &lt;= LEAVES[[#This Row],[WeeksTo]]) *
        (LEAVES[WeeksTo] &gt;= LEAVES[[#This Row],[WeeksFrom]])) &gt; 1,
    1,
    0
)</f>
        <v>0</v>
      </c>
      <c r="H31" s="145">
        <f>SUM(LEAVES[[#This Row],[Schools Check]:[Leave Types Overlap]])</f>
        <v>0</v>
      </c>
      <c r="J31" t="s">
        <v>1938</v>
      </c>
      <c r="K31" t="s">
        <v>1939</v>
      </c>
      <c r="L31" t="b">
        <v>1</v>
      </c>
      <c r="N31">
        <v>92</v>
      </c>
      <c r="O31" t="b">
        <v>1</v>
      </c>
      <c r="P31" t="b">
        <v>1</v>
      </c>
      <c r="Q31">
        <v>1</v>
      </c>
      <c r="R31">
        <v>21</v>
      </c>
      <c r="S31">
        <v>90</v>
      </c>
      <c r="T31">
        <v>0</v>
      </c>
      <c r="U31">
        <v>0</v>
      </c>
      <c r="V31" s="19">
        <v>187.18</v>
      </c>
      <c r="W31">
        <v>0</v>
      </c>
    </row>
    <row r="32" spans="1:25" x14ac:dyDescent="0.25">
      <c r="A32" s="145">
        <f>IF(LEAVES[[#This Row],[AvailableToAllSchools]]=FALSE,IF(ISBLANK(LEAVES[[#This Row],[SchoolCodes]]),1,0),IF(LEAVES[[#This Row],[AvailableToAllSchools]]=TRUE,IF(ISBLANK(LEAVES[[#This Row],[SchoolCodes]]),0,1)))</f>
        <v>0</v>
      </c>
      <c r="B32" s="145">
        <f>IF(OR(LEAVES[[#This Row],[LeaveTypeEnabled]]=TRUE,LEAVES[[#This Row],[LeaveTypeEnabled]]=FALSE),IF(OR(LEAVES[[#This Row],[AvailableToAllSchools]]=TRUE,LEAVES[[#This Row],[AvailableToAllSchools]]=FALSE),IF(OR(LEAVES[[#This Row],[UseGrossValueForPension]]=TRUE,LEAVES[[#This Row],[UseGrossValueForPension]]=FALSE),0,1),1),1)</f>
        <v>0</v>
      </c>
      <c r="C32" s="145">
        <f>COUNTBLANK(LEAVES[[#This Row],[RebatePercentage]:[TopUpToPercentage]])</f>
        <v>0</v>
      </c>
      <c r="D32" s="145">
        <f>IF(LEN(LEAVES[[#This Row],[LeaveTypeCode]])&lt;100,0,1)</f>
        <v>0</v>
      </c>
      <c r="E32" s="145">
        <f>IF(LEN(LEAVES[[#This Row],[LeaveTypeTitle]])&lt;100,0,1)</f>
        <v>0</v>
      </c>
      <c r="F32" s="145">
        <f>IF(SUBSTITUTE(TEXT(LEAVES[[#This Row],[LeaveTypeCode]],10)," ","")=TEXT(LEAVES[[#This Row],[LeaveTypeCode]],10),0,1)</f>
        <v>0</v>
      </c>
      <c r="G32" s="145" cm="1">
        <f t="array" ref="G32">IF(SUM((LEAVES[LeaveTypeCode]=LEAVES[[#This Row],[LeaveTypeCode]]) *
        (LEAVES[WeeksFrom] &lt;= LEAVES[[#This Row],[WeeksTo]]) *
        (LEAVES[WeeksTo] &gt;= LEAVES[[#This Row],[WeeksFrom]])) &gt; 1,
    1,
    0
)</f>
        <v>0</v>
      </c>
      <c r="H32" s="145">
        <f>SUM(LEAVES[[#This Row],[Schools Check]:[Leave Types Overlap]])</f>
        <v>0</v>
      </c>
      <c r="J32" t="s">
        <v>1940</v>
      </c>
      <c r="K32" t="s">
        <v>1941</v>
      </c>
      <c r="L32" t="b">
        <v>1</v>
      </c>
      <c r="N32">
        <v>92</v>
      </c>
      <c r="O32" t="b">
        <v>1</v>
      </c>
      <c r="P32" t="b">
        <v>1</v>
      </c>
      <c r="Q32">
        <v>1</v>
      </c>
      <c r="R32">
        <v>12</v>
      </c>
      <c r="S32">
        <v>90</v>
      </c>
      <c r="T32">
        <v>50</v>
      </c>
      <c r="U32">
        <v>0</v>
      </c>
      <c r="V32" s="19">
        <v>187.18</v>
      </c>
      <c r="W32">
        <v>0</v>
      </c>
    </row>
    <row r="33" spans="1:23" x14ac:dyDescent="0.25">
      <c r="A33" s="145">
        <f>IF(LEAVES[[#This Row],[AvailableToAllSchools]]=FALSE,IF(ISBLANK(LEAVES[[#This Row],[SchoolCodes]]),1,0),IF(LEAVES[[#This Row],[AvailableToAllSchools]]=TRUE,IF(ISBLANK(LEAVES[[#This Row],[SchoolCodes]]),0,1)))</f>
        <v>0</v>
      </c>
      <c r="B33" s="145">
        <f>IF(OR(LEAVES[[#This Row],[LeaveTypeEnabled]]=TRUE,LEAVES[[#This Row],[LeaveTypeEnabled]]=FALSE),IF(OR(LEAVES[[#This Row],[AvailableToAllSchools]]=TRUE,LEAVES[[#This Row],[AvailableToAllSchools]]=FALSE),IF(OR(LEAVES[[#This Row],[UseGrossValueForPension]]=TRUE,LEAVES[[#This Row],[UseGrossValueForPension]]=FALSE),0,1),1),1)</f>
        <v>0</v>
      </c>
      <c r="C33" s="145">
        <f>COUNTBLANK(LEAVES[[#This Row],[RebatePercentage]:[TopUpToPercentage]])</f>
        <v>0</v>
      </c>
      <c r="D33" s="145">
        <f>IF(LEN(LEAVES[[#This Row],[LeaveTypeCode]])&lt;100,0,1)</f>
        <v>0</v>
      </c>
      <c r="E33" s="145">
        <f>IF(LEN(LEAVES[[#This Row],[LeaveTypeTitle]])&lt;100,0,1)</f>
        <v>0</v>
      </c>
      <c r="F33" s="145">
        <f>IF(SUBSTITUTE(TEXT(LEAVES[[#This Row],[LeaveTypeCode]],10)," ","")=TEXT(LEAVES[[#This Row],[LeaveTypeCode]],10),0,1)</f>
        <v>0</v>
      </c>
      <c r="G33" s="145" cm="1">
        <f t="array" ref="G33">IF(SUM((LEAVES[LeaveTypeCode]=LEAVES[[#This Row],[LeaveTypeCode]]) *
        (LEAVES[WeeksFrom] &lt;= LEAVES[[#This Row],[WeeksTo]]) *
        (LEAVES[WeeksTo] &gt;= LEAVES[[#This Row],[WeeksFrom]])) &gt; 1,
    1,
    0
)</f>
        <v>0</v>
      </c>
      <c r="H33" s="145">
        <f>SUM(LEAVES[[#This Row],[Schools Check]:[Leave Types Overlap]])</f>
        <v>0</v>
      </c>
      <c r="J33" t="s">
        <v>1942</v>
      </c>
      <c r="K33" t="s">
        <v>1943</v>
      </c>
      <c r="L33" t="b">
        <v>1</v>
      </c>
      <c r="N33">
        <v>92</v>
      </c>
      <c r="O33" t="b">
        <v>1</v>
      </c>
      <c r="P33" t="b">
        <v>1</v>
      </c>
      <c r="Q33">
        <v>1</v>
      </c>
      <c r="R33">
        <v>6</v>
      </c>
      <c r="S33">
        <v>90</v>
      </c>
      <c r="T33">
        <v>0</v>
      </c>
      <c r="U33">
        <v>0</v>
      </c>
      <c r="V33">
        <v>99999</v>
      </c>
      <c r="W33">
        <v>100</v>
      </c>
    </row>
    <row r="34" spans="1:23" x14ac:dyDescent="0.25">
      <c r="A34" s="145">
        <f>IF(LEAVES[[#This Row],[AvailableToAllSchools]]=FALSE,IF(ISBLANK(LEAVES[[#This Row],[SchoolCodes]]),1,0),IF(LEAVES[[#This Row],[AvailableToAllSchools]]=TRUE,IF(ISBLANK(LEAVES[[#This Row],[SchoolCodes]]),0,1)))</f>
        <v>0</v>
      </c>
      <c r="B34" s="145">
        <f>IF(OR(LEAVES[[#This Row],[LeaveTypeEnabled]]=TRUE,LEAVES[[#This Row],[LeaveTypeEnabled]]=FALSE),IF(OR(LEAVES[[#This Row],[AvailableToAllSchools]]=TRUE,LEAVES[[#This Row],[AvailableToAllSchools]]=FALSE),IF(OR(LEAVES[[#This Row],[UseGrossValueForPension]]=TRUE,LEAVES[[#This Row],[UseGrossValueForPension]]=FALSE),0,1),1),1)</f>
        <v>0</v>
      </c>
      <c r="C34" s="145">
        <f>COUNTBLANK(LEAVES[[#This Row],[RebatePercentage]:[TopUpToPercentage]])</f>
        <v>0</v>
      </c>
      <c r="D34" s="145">
        <f>IF(LEN(LEAVES[[#This Row],[LeaveTypeCode]])&lt;100,0,1)</f>
        <v>0</v>
      </c>
      <c r="E34" s="145">
        <f>IF(LEN(LEAVES[[#This Row],[LeaveTypeTitle]])&lt;100,0,1)</f>
        <v>0</v>
      </c>
      <c r="F34" s="145">
        <f>IF(SUBSTITUTE(TEXT(LEAVES[[#This Row],[LeaveTypeCode]],10)," ","")=TEXT(LEAVES[[#This Row],[LeaveTypeCode]],10),0,1)</f>
        <v>0</v>
      </c>
      <c r="G34" s="145" cm="1">
        <f t="array" ref="G34">IF(SUM((LEAVES[LeaveTypeCode]=LEAVES[[#This Row],[LeaveTypeCode]]) *
        (LEAVES[WeeksFrom] &lt;= LEAVES[[#This Row],[WeeksTo]]) *
        (LEAVES[WeeksTo] &gt;= LEAVES[[#This Row],[WeeksFrom]])) &gt; 1,
    1,
    0
)</f>
        <v>0</v>
      </c>
      <c r="H34" s="145">
        <f>SUM(LEAVES[[#This Row],[Schools Check]:[Leave Types Overlap]])</f>
        <v>0</v>
      </c>
      <c r="J34" t="s">
        <v>1944</v>
      </c>
      <c r="K34" t="s">
        <v>1945</v>
      </c>
      <c r="L34" t="b">
        <v>1</v>
      </c>
      <c r="N34">
        <v>0</v>
      </c>
      <c r="O34" t="b">
        <v>1</v>
      </c>
      <c r="P34" t="b">
        <v>1</v>
      </c>
      <c r="Q34">
        <v>1</v>
      </c>
      <c r="R34">
        <v>6</v>
      </c>
      <c r="S34">
        <v>90</v>
      </c>
      <c r="T34">
        <v>0</v>
      </c>
      <c r="U34">
        <v>0</v>
      </c>
      <c r="V34">
        <v>99999</v>
      </c>
      <c r="W34">
        <v>100</v>
      </c>
    </row>
  </sheetData>
  <pageMargins left="0.7" right="0.7" top="0.75" bottom="0.75" header="0.3" footer="0.3"/>
  <legacyDrawing r:id="rId1"/>
  <tableParts count="1">
    <tablePart r:id="rId2"/>
  </tableParts>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3D385-E71F-4343-A2FF-693DFB426A53}">
  <sheetPr codeName="Sheet43">
    <tabColor theme="4" tint="0.79998168889431442"/>
  </sheetPr>
  <dimension ref="A1:R3"/>
  <sheetViews>
    <sheetView workbookViewId="0">
      <pane ySplit="1" topLeftCell="A2" activePane="bottomLeft" state="frozen"/>
      <selection activeCell="D2" sqref="D2"/>
      <selection pane="bottomLeft" activeCell="Q27" sqref="Q27"/>
    </sheetView>
  </sheetViews>
  <sheetFormatPr defaultColWidth="9.28515625" defaultRowHeight="15" outlineLevelCol="1" x14ac:dyDescent="0.25"/>
  <cols>
    <col min="1" max="1" width="10.7109375" customWidth="1" outlineLevel="1"/>
    <col min="2" max="2" width="13" customWidth="1" outlineLevel="1"/>
    <col min="3" max="3" width="13" style="11" customWidth="1" outlineLevel="1"/>
    <col min="4" max="6" width="10.7109375" customWidth="1" outlineLevel="1"/>
    <col min="7" max="7" width="13" customWidth="1" outlineLevel="1"/>
    <col min="8" max="8" width="10.7109375" customWidth="1"/>
    <col min="9" max="9" width="13.7109375" customWidth="1"/>
    <col min="10" max="10" width="13.5703125" customWidth="1"/>
    <col min="11" max="11" width="17.7109375" customWidth="1"/>
    <col min="12" max="12" width="16.7109375" customWidth="1"/>
    <col min="13" max="13" width="18.28515625" style="21" customWidth="1"/>
    <col min="14" max="14" width="11.7109375" style="21" bestFit="1" customWidth="1"/>
    <col min="15" max="15" width="10.5703125" style="21" bestFit="1" customWidth="1"/>
    <col min="16" max="16" width="12.28515625" bestFit="1" customWidth="1"/>
    <col min="17" max="17" width="14" customWidth="1"/>
    <col min="18" max="18" width="18" customWidth="1"/>
  </cols>
  <sheetData>
    <row r="1" spans="1:18" s="28" customFormat="1" ht="45" x14ac:dyDescent="0.25">
      <c r="A1" s="127" t="s">
        <v>1946</v>
      </c>
      <c r="B1" s="65" t="s">
        <v>1947</v>
      </c>
      <c r="C1" s="142" t="s">
        <v>1948</v>
      </c>
      <c r="D1" s="65" t="s">
        <v>1507</v>
      </c>
      <c r="E1" s="65" t="s">
        <v>1508</v>
      </c>
      <c r="F1" s="127" t="s">
        <v>1364</v>
      </c>
      <c r="G1" s="53" t="s">
        <v>1367</v>
      </c>
      <c r="H1" s="115" t="s">
        <v>1126</v>
      </c>
      <c r="I1" s="116" t="s">
        <v>1949</v>
      </c>
      <c r="J1" s="129" t="s">
        <v>1371</v>
      </c>
      <c r="K1" s="129" t="s">
        <v>1818</v>
      </c>
      <c r="L1" s="129" t="s">
        <v>1893</v>
      </c>
      <c r="M1" s="159" t="s">
        <v>1950</v>
      </c>
      <c r="N1" s="130" t="s">
        <v>1855</v>
      </c>
      <c r="O1" s="130" t="s">
        <v>1856</v>
      </c>
      <c r="P1" s="129" t="s">
        <v>1951</v>
      </c>
      <c r="Q1" s="129" t="s">
        <v>1825</v>
      </c>
      <c r="R1" s="149" t="s">
        <v>1952</v>
      </c>
    </row>
    <row r="2" spans="1:18" x14ac:dyDescent="0.25">
      <c r="A2" s="118">
        <f>COUNTIF(SM_LEAVES[StaffMemberCode],SM_LEAVES[[#This Row],[StaffMemberCode]])-1</f>
        <v>-1</v>
      </c>
      <c r="B2" s="118">
        <f>1-COUNTIF(MEMBERS[StaffMemberCode],SM_LEAVES[[#This Row],[StaffMemberCode]])</f>
        <v>1</v>
      </c>
      <c r="C2" s="11" t="str">
        <f>IF(COUNTIF('30_LeaveTypes'!J:J,SM_LEAVES[[#This Row],[LeaveTypeCode]])&gt;0,"0","1")</f>
        <v>1</v>
      </c>
      <c r="D2">
        <f>IF(ISBLANK(SM_LEAVES[[#This Row],[DateTo]]),0,IF(SM_LEAVES[[#This Row],[DateFrom]]&lt;SM_LEAVES[[#This Row],[DateTo]],0,1))</f>
        <v>0</v>
      </c>
      <c r="E2" s="11" cm="1">
        <f t="array" aca="1" ref="E2" ca="1">IF(CELL("format",SM_LEAVES[[#This Row],[DateFrom]])="D1",0,1)+IF(CELL("format",SM_LEAVES[[#This Row],[DateTo]])="D1",0,1)</f>
        <v>0</v>
      </c>
      <c r="F2">
        <f>IF(OR(SM_LEAVES[[#This Row],[PensionOptOut]]=TRUE,SM_LEAVES[[#This Row],[PensionOptOut]]=FALSE),0,1)</f>
        <v>0</v>
      </c>
      <c r="G2">
        <f>COUNTBLANK(SM_LEAVES[[#This Row],[StaffMemberCode]:[DateTo]])+COUNTBLANK(SM_LEAVES[[#This Row],[PensionOptOut]])</f>
        <v>5</v>
      </c>
      <c r="H2" s="43">
        <f ca="1">SUM(SM_LEAVES[[#This Row],[Duplicate Employee]:[Blank in column]])</f>
        <v>5</v>
      </c>
      <c r="I2" s="27">
        <f>IF(SM_LEAVES[[#This Row],[DateFrom]]&gt;=_xlfn.XLOOKUP(SM_LEAVES[[#This Row],[StaffMemberCode]],CONT_SUP[StaffMemberCode],CONT_SUP[DateFrom],_xlfn.XLOOKUP(SM_LEAVES[[#This Row],[StaffMemberCode]],CONT_TEA[StaffMemberCode],CONT_TEA[DateFrom])),0,1)</f>
        <v>0</v>
      </c>
      <c r="J2" s="43"/>
      <c r="K2" s="43"/>
      <c r="L2" s="78"/>
      <c r="M2" s="160"/>
      <c r="N2" s="79"/>
      <c r="O2" s="79"/>
      <c r="P2" s="43"/>
      <c r="Q2" s="43" t="b">
        <v>0</v>
      </c>
      <c r="R2" s="161" t="str">
        <f>_xlfn.XLOOKUP(SM_LEAVES[[#This Row],[StaffMemberCode]],'25_StaffMembers'!O:O,'25_StaffMembers'!R:R)</f>
        <v xml:space="preserve"> </v>
      </c>
    </row>
    <row r="3" spans="1:18" x14ac:dyDescent="0.25">
      <c r="A3" s="128">
        <f>COUNTIF(SM_LEAVES[StaffMemberCode],SM_LEAVES[[#This Row],[StaffMemberCode]])-1</f>
        <v>-1</v>
      </c>
      <c r="B3" s="128">
        <f>1-COUNTIF(MEMBERS[StaffMemberCode],SM_LEAVES[[#This Row],[StaffMemberCode]])</f>
        <v>1</v>
      </c>
      <c r="C3" s="11" t="str">
        <f>IF(COUNTIF('30_LeaveTypes'!J:J,SM_LEAVES[[#This Row],[LeaveTypeCode]])&gt;0,"0","1")</f>
        <v>1</v>
      </c>
      <c r="D3">
        <f>IF(ISBLANK(SM_LEAVES[[#This Row],[DateTo]]),0,IF(SM_LEAVES[[#This Row],[DateFrom]]&lt;SM_LEAVES[[#This Row],[DateTo]],0,1))</f>
        <v>0</v>
      </c>
      <c r="E3" s="11" cm="1">
        <f t="array" aca="1" ref="E3" ca="1">IF(CELL("format",SM_LEAVES[[#This Row],[DateFrom]])="D1",0,1)+IF(CELL("format",SM_LEAVES[[#This Row],[DateTo]])="D1",0,1)</f>
        <v>0</v>
      </c>
      <c r="F3">
        <f>IF(OR(SM_LEAVES[[#This Row],[PensionOptOut]]=TRUE,SM_LEAVES[[#This Row],[PensionOptOut]]=FALSE),0,1)</f>
        <v>0</v>
      </c>
      <c r="G3">
        <f>COUNTBLANK(SM_LEAVES[[#This Row],[StaffMemberCode]:[DateTo]])+COUNTBLANK(SM_LEAVES[[#This Row],[PensionOptOut]])</f>
        <v>5</v>
      </c>
      <c r="H3" s="113">
        <f ca="1">SUM(SM_LEAVES[[#This Row],[Duplicate Employee]:[Blank in column]])</f>
        <v>5</v>
      </c>
      <c r="I3" s="114">
        <f>IF(SM_LEAVES[[#This Row],[DateFrom]]&gt;=_xlfn.XLOOKUP(SM_LEAVES[[#This Row],[StaffMemberCode]],CONT_SUP[StaffMemberCode],CONT_SUP[DateFrom],_xlfn.XLOOKUP(SM_LEAVES[[#This Row],[StaffMemberCode]],CONT_TEA[StaffMemberCode],CONT_TEA[DateFrom])),0,1)</f>
        <v>0</v>
      </c>
      <c r="J3" s="113"/>
      <c r="K3" s="43"/>
      <c r="L3" s="78"/>
      <c r="M3" s="160"/>
      <c r="N3" s="79"/>
      <c r="O3" s="79"/>
      <c r="P3" s="43"/>
      <c r="Q3" s="43" t="b">
        <v>0</v>
      </c>
      <c r="R3" s="18" t="str">
        <f>_xlfn.XLOOKUP(SM_LEAVES[[#This Row],[StaffMemberCode]],'25_StaffMembers'!O:O,'25_StaffMembers'!R:R)</f>
        <v xml:space="preserve"> </v>
      </c>
    </row>
  </sheetData>
  <phoneticPr fontId="2" type="noConversion"/>
  <pageMargins left="0.7" right="0.7" top="0.75" bottom="0.75" header="0.3" footer="0.3"/>
  <legacyDrawing r:id="rId1"/>
  <tableParts count="1">
    <tablePart r:id="rId2"/>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F144A-CBF4-4BCD-96E9-3B15B368C085}">
  <sheetPr codeName="Sheet210">
    <tabColor theme="0"/>
  </sheetPr>
  <dimension ref="A1:D24"/>
  <sheetViews>
    <sheetView workbookViewId="0">
      <pane xSplit="2" ySplit="2" topLeftCell="C3" activePane="bottomRight" state="frozen"/>
      <selection pane="topRight" activeCell="D2" sqref="D2"/>
      <selection pane="bottomLeft" activeCell="D2" sqref="D2"/>
      <selection pane="bottomRight" activeCell="B3" sqref="B3"/>
    </sheetView>
  </sheetViews>
  <sheetFormatPr defaultColWidth="9.28515625" defaultRowHeight="15" x14ac:dyDescent="0.25"/>
  <cols>
    <col min="1" max="1" width="3.28515625" customWidth="1"/>
    <col min="2" max="2" width="26" bestFit="1" customWidth="1"/>
    <col min="3" max="3" width="12.5703125" bestFit="1" customWidth="1"/>
    <col min="4" max="4" width="15" bestFit="1" customWidth="1"/>
  </cols>
  <sheetData>
    <row r="1" spans="1:4" x14ac:dyDescent="0.25">
      <c r="A1" s="82"/>
      <c r="B1" s="82" t="s">
        <v>1953</v>
      </c>
      <c r="C1" s="82" t="s">
        <v>1954</v>
      </c>
      <c r="D1" s="82" t="s">
        <v>1955</v>
      </c>
    </row>
    <row r="2" spans="1:4" x14ac:dyDescent="0.25">
      <c r="A2" s="82"/>
      <c r="B2" s="82"/>
      <c r="C2" s="82" t="s">
        <v>1956</v>
      </c>
      <c r="D2" s="82" t="s">
        <v>1957</v>
      </c>
    </row>
    <row r="3" spans="1:4" x14ac:dyDescent="0.25">
      <c r="A3" s="82">
        <v>1</v>
      </c>
      <c r="B3" s="83" t="s">
        <v>1958</v>
      </c>
      <c r="C3" s="10">
        <v>1</v>
      </c>
      <c r="D3" s="171"/>
    </row>
    <row r="4" spans="1:4" x14ac:dyDescent="0.25">
      <c r="A4" s="82">
        <v>2</v>
      </c>
      <c r="B4" s="83" t="s">
        <v>1959</v>
      </c>
      <c r="C4" s="10">
        <v>1</v>
      </c>
    </row>
    <row r="5" spans="1:4" x14ac:dyDescent="0.25">
      <c r="A5" s="82">
        <v>3</v>
      </c>
      <c r="B5" s="83" t="s">
        <v>1960</v>
      </c>
      <c r="C5" s="10">
        <v>1</v>
      </c>
    </row>
    <row r="6" spans="1:4" x14ac:dyDescent="0.25">
      <c r="A6" s="82">
        <v>4</v>
      </c>
      <c r="B6" s="83" t="s">
        <v>1961</v>
      </c>
      <c r="C6" s="10">
        <v>1</v>
      </c>
    </row>
    <row r="7" spans="1:4" x14ac:dyDescent="0.25">
      <c r="A7" s="82">
        <v>5</v>
      </c>
      <c r="B7" s="83" t="s">
        <v>1962</v>
      </c>
      <c r="C7" s="10">
        <v>1</v>
      </c>
    </row>
    <row r="8" spans="1:4" x14ac:dyDescent="0.25">
      <c r="A8" s="82">
        <v>6</v>
      </c>
      <c r="B8" s="83" t="s">
        <v>1963</v>
      </c>
      <c r="C8" s="10">
        <v>1</v>
      </c>
    </row>
    <row r="9" spans="1:4" x14ac:dyDescent="0.25">
      <c r="A9" s="82">
        <v>7</v>
      </c>
      <c r="B9" s="83" t="s">
        <v>1964</v>
      </c>
      <c r="C9" s="10">
        <v>1</v>
      </c>
    </row>
    <row r="10" spans="1:4" x14ac:dyDescent="0.25">
      <c r="A10" s="82">
        <v>8</v>
      </c>
      <c r="B10" s="83" t="s">
        <v>1965</v>
      </c>
      <c r="C10" s="10">
        <v>1</v>
      </c>
    </row>
    <row r="11" spans="1:4" x14ac:dyDescent="0.25">
      <c r="A11" s="82">
        <v>9</v>
      </c>
      <c r="B11" s="83" t="s">
        <v>1966</v>
      </c>
      <c r="C11" s="10">
        <v>1</v>
      </c>
    </row>
    <row r="12" spans="1:4" x14ac:dyDescent="0.25">
      <c r="A12" s="82">
        <v>10</v>
      </c>
      <c r="B12" s="83" t="s">
        <v>1967</v>
      </c>
      <c r="C12" s="10">
        <v>1</v>
      </c>
    </row>
    <row r="13" spans="1:4" x14ac:dyDescent="0.25">
      <c r="A13" s="82">
        <v>11</v>
      </c>
      <c r="B13" s="83" t="s">
        <v>1968</v>
      </c>
      <c r="C13" s="10">
        <v>1</v>
      </c>
    </row>
    <row r="14" spans="1:4" x14ac:dyDescent="0.25">
      <c r="A14" s="82">
        <v>12</v>
      </c>
      <c r="B14" s="83" t="s">
        <v>1969</v>
      </c>
      <c r="C14" s="10">
        <v>1</v>
      </c>
    </row>
    <row r="15" spans="1:4" x14ac:dyDescent="0.25">
      <c r="A15" s="82">
        <v>13</v>
      </c>
      <c r="B15" s="83" t="s">
        <v>1970</v>
      </c>
      <c r="C15" s="10">
        <v>1</v>
      </c>
    </row>
    <row r="16" spans="1:4" x14ac:dyDescent="0.25">
      <c r="A16" s="82">
        <v>14</v>
      </c>
      <c r="B16" s="83" t="s">
        <v>1971</v>
      </c>
      <c r="C16" s="10">
        <v>1</v>
      </c>
    </row>
    <row r="17" spans="1:3" x14ac:dyDescent="0.25">
      <c r="A17" s="82">
        <v>15</v>
      </c>
      <c r="B17" s="83" t="s">
        <v>1972</v>
      </c>
      <c r="C17" s="10">
        <v>1</v>
      </c>
    </row>
    <row r="18" spans="1:3" x14ac:dyDescent="0.25">
      <c r="A18" s="82">
        <v>16</v>
      </c>
      <c r="B18" s="83" t="s">
        <v>1973</v>
      </c>
      <c r="C18" s="10">
        <v>1</v>
      </c>
    </row>
    <row r="19" spans="1:3" x14ac:dyDescent="0.25">
      <c r="A19" s="82">
        <v>17</v>
      </c>
      <c r="B19" s="83" t="s">
        <v>1974</v>
      </c>
      <c r="C19" s="10">
        <v>1</v>
      </c>
    </row>
    <row r="20" spans="1:3" x14ac:dyDescent="0.25">
      <c r="A20" s="82">
        <v>18</v>
      </c>
      <c r="B20" s="83" t="s">
        <v>1975</v>
      </c>
      <c r="C20" s="10">
        <v>1</v>
      </c>
    </row>
    <row r="21" spans="1:3" x14ac:dyDescent="0.25">
      <c r="A21" s="82">
        <v>19</v>
      </c>
      <c r="B21" s="83" t="s">
        <v>1976</v>
      </c>
      <c r="C21" s="10">
        <v>1</v>
      </c>
    </row>
    <row r="22" spans="1:3" x14ac:dyDescent="0.25">
      <c r="A22" s="82">
        <v>20</v>
      </c>
      <c r="B22" s="83" t="s">
        <v>1977</v>
      </c>
      <c r="C22" s="10">
        <v>1</v>
      </c>
    </row>
    <row r="23" spans="1:3" x14ac:dyDescent="0.25">
      <c r="A23" s="82">
        <v>21</v>
      </c>
      <c r="B23" s="83" t="s">
        <v>1978</v>
      </c>
      <c r="C23" s="10">
        <v>1</v>
      </c>
    </row>
    <row r="24" spans="1:3" x14ac:dyDescent="0.25">
      <c r="A24" s="82">
        <v>22</v>
      </c>
      <c r="B24" s="83" t="s">
        <v>1979</v>
      </c>
      <c r="C24" s="10">
        <v>1</v>
      </c>
    </row>
  </sheetData>
  <phoneticPr fontId="2" type="noConversion"/>
  <hyperlinks>
    <hyperlink ref="B12" location="Pensions!A1" display="Pensions" xr:uid="{C6E3265F-CB59-48BF-9CCE-A14FC06D71C9}"/>
    <hyperlink ref="B13" location="StaffMembers!A1" display="StaffMembers" xr:uid="{5BF8ED68-2406-4E05-914B-EF522075EA08}"/>
    <hyperlink ref="B7" location="PayScales!A1" display="PayScales" xr:uid="{6ABB78B8-C208-4F61-95CC-A4B8ECA2292F}"/>
    <hyperlink ref="B9" location="PayScaleGrades!A1" display="PayScaleGrades" xr:uid="{9F3C7A75-949D-4E44-8532-6EB5647C581E}"/>
    <hyperlink ref="B11" location="EQWPatterns!A1" display="EQWPatterns" xr:uid="{DC0AFBAA-2718-4693-9835-546C03EEC218}"/>
    <hyperlink ref="B14" location="StfRoleGroup!A1" display="StfRoleGroup" xr:uid="{2EFE412A-E65D-4C5D-91A9-9EC0E208D8F4}"/>
    <hyperlink ref="B15" location="StfRole!A1" display="StfRole" xr:uid="{9C4D4E7A-1B3C-4C88-AA7C-C85A3FC0DC96}"/>
    <hyperlink ref="B16" location="ContractsTeachFTE!A1" display="ContractsTeachFTE" xr:uid="{D0B8A857-D82A-4687-A814-838B0C26A218}"/>
    <hyperlink ref="B17" location="ContractsSupportHours!A1" display="ContractsSupportHours" xr:uid="{77E3A649-4B8C-440B-9645-4A42DA24A9ED}"/>
    <hyperlink ref="B18" location="LeaveTypes!A1" display="LeaveTypes" xr:uid="{C1F72E1B-5ECE-46E5-8430-D49C998F2C91}"/>
    <hyperlink ref="B21" location="ContractAdjustments!A1" display="ContractAdjustments" xr:uid="{3E7FC3B7-D397-49ED-B14B-001AC434C7ED}"/>
    <hyperlink ref="B10" location="PayScaleIncreasePercen!A1" display="PayScaleIncreasePercen" xr:uid="{44544DCA-0C83-4FAF-A152-035FB51422F0}"/>
    <hyperlink ref="B4" location="AllowanceTypes!A1" display="AllowanceTypes" xr:uid="{05449257-1BCD-4B05-81EF-8669251CD14D}"/>
    <hyperlink ref="B5" location="AllowanceTypePoint!A1" display="AllowanceTypePoint" xr:uid="{83576A4E-397E-42A4-B2CD-CBD3D02494EF}"/>
    <hyperlink ref="B6" location="AllowanceIncreasePercen!A1" display="AllowanceIncreasePercen" xr:uid="{9BC02841-84C7-4B9A-8376-1768F58D43C7}"/>
    <hyperlink ref="B19" location="AdjustmentTypes!A1" display="AdjustmentTypes" xr:uid="{858738E0-2303-49F8-90FE-D4C9EB862360}"/>
    <hyperlink ref="B20" location="StaffMemberLeaves!A1" display="StaffMemberLeaves" xr:uid="{F6459D6A-0D29-4A2E-B13E-6947973EEC50}"/>
    <hyperlink ref="B22" location="ContractAllowances!A1" display="ContractAllowances" xr:uid="{9857BDF0-BA3C-41B5-9E84-E1581F3D0FCE}"/>
    <hyperlink ref="B8" location="PayScalePoints!A1" display="PayScalePoints" xr:uid="{65BCD4B6-D0F2-420A-BFCA-FE23535EC9B7}"/>
    <hyperlink ref="B23" location="'Finance Codes S2'!A1" display="Finance Codes S2" xr:uid="{AF6C840E-A324-40AB-95BE-B2A62A5636D9}"/>
    <hyperlink ref="B24" location="Genders!A1" display="Genders" xr:uid="{385544B4-E071-42D2-BB4E-8C84DF075645}"/>
  </hyperlinks>
  <pageMargins left="0.7" right="0.7" top="0.75" bottom="0.75" header="0.3" footer="0.3"/>
  <pageSetup orientation="portrait" horizontalDpi="300" verticalDpi="300"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8E43E-F300-4E1B-84B3-9ABD48CB64C5}">
  <sheetPr codeName="Sheet371"/>
  <dimension ref="A1:B7"/>
  <sheetViews>
    <sheetView workbookViewId="0">
      <selection activeCell="O17" sqref="O17"/>
    </sheetView>
  </sheetViews>
  <sheetFormatPr defaultRowHeight="15" x14ac:dyDescent="0.25"/>
  <cols>
    <col min="1" max="1" width="18.5703125" bestFit="1" customWidth="1"/>
  </cols>
  <sheetData>
    <row r="1" spans="1:2" x14ac:dyDescent="0.25">
      <c r="A1" s="4" t="s">
        <v>1980</v>
      </c>
      <c r="B1" s="4"/>
    </row>
    <row r="2" spans="1:2" x14ac:dyDescent="0.25">
      <c r="A2" t="s">
        <v>1169</v>
      </c>
    </row>
    <row r="3" spans="1:2" x14ac:dyDescent="0.25">
      <c r="A3" t="s">
        <v>1360</v>
      </c>
    </row>
    <row r="4" spans="1:2" x14ac:dyDescent="0.25">
      <c r="A4" t="s">
        <v>1981</v>
      </c>
    </row>
    <row r="5" spans="1:2" x14ac:dyDescent="0.25">
      <c r="A5" t="s">
        <v>1982</v>
      </c>
    </row>
    <row r="6" spans="1:2" x14ac:dyDescent="0.25">
      <c r="A6" t="s">
        <v>1983</v>
      </c>
    </row>
    <row r="7" spans="1:2" x14ac:dyDescent="0.25">
      <c r="A7" t="s">
        <v>1984</v>
      </c>
    </row>
  </sheetData>
  <phoneticPr fontId="2" type="noConversion"/>
  <pageMargins left="0.7" right="0.7" top="0.75" bottom="0.75" header="0.3" footer="0.3"/>
  <pageSetup paperSize="9"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F6D79-D3EB-4147-9110-06C9B2F5E0C0}">
  <sheetPr codeName="Sheet321"/>
  <dimension ref="A1:O26"/>
  <sheetViews>
    <sheetView workbookViewId="0">
      <selection activeCell="O17" sqref="O17"/>
    </sheetView>
  </sheetViews>
  <sheetFormatPr defaultColWidth="9.28515625" defaultRowHeight="15" x14ac:dyDescent="0.25"/>
  <cols>
    <col min="1" max="1" width="16.28515625" bestFit="1" customWidth="1"/>
    <col min="2" max="2" width="5" bestFit="1" customWidth="1"/>
    <col min="3" max="3" width="3.28515625" customWidth="1"/>
    <col min="7" max="7" width="9.28515625" style="5"/>
    <col min="15" max="15" width="20.85546875" customWidth="1"/>
  </cols>
  <sheetData>
    <row r="1" spans="1:15" x14ac:dyDescent="0.25">
      <c r="A1" s="4" t="s">
        <v>1985</v>
      </c>
      <c r="B1" s="4"/>
      <c r="C1" s="4"/>
      <c r="E1" s="4" t="s">
        <v>1986</v>
      </c>
      <c r="M1" s="4" t="s">
        <v>1987</v>
      </c>
      <c r="O1" t="s">
        <v>1988</v>
      </c>
    </row>
    <row r="2" spans="1:15" x14ac:dyDescent="0.25">
      <c r="A2" t="s">
        <v>1989</v>
      </c>
      <c r="B2">
        <v>0</v>
      </c>
      <c r="E2" t="s">
        <v>1990</v>
      </c>
      <c r="G2" t="b">
        <v>1</v>
      </c>
      <c r="I2" s="1" t="s">
        <v>1991</v>
      </c>
      <c r="K2" t="s">
        <v>1992</v>
      </c>
      <c r="M2" t="s">
        <v>1993</v>
      </c>
      <c r="O2" t="s">
        <v>1078</v>
      </c>
    </row>
    <row r="3" spans="1:15" x14ac:dyDescent="0.25">
      <c r="A3" t="s">
        <v>1994</v>
      </c>
      <c r="B3">
        <v>0.5</v>
      </c>
      <c r="E3" t="s">
        <v>4</v>
      </c>
      <c r="G3" t="b">
        <v>0</v>
      </c>
      <c r="I3" s="6" t="s">
        <v>1995</v>
      </c>
      <c r="K3" t="s">
        <v>1996</v>
      </c>
      <c r="M3" t="s">
        <v>1997</v>
      </c>
      <c r="O3" t="s">
        <v>1981</v>
      </c>
    </row>
    <row r="4" spans="1:15" x14ac:dyDescent="0.25">
      <c r="A4" t="s">
        <v>1998</v>
      </c>
      <c r="B4">
        <v>0.75</v>
      </c>
      <c r="I4" s="7" t="s">
        <v>1999</v>
      </c>
      <c r="M4" t="s">
        <v>7</v>
      </c>
      <c r="O4" t="s">
        <v>1360</v>
      </c>
    </row>
    <row r="5" spans="1:15" x14ac:dyDescent="0.25">
      <c r="A5" t="s">
        <v>2000</v>
      </c>
      <c r="B5">
        <v>1</v>
      </c>
      <c r="M5" t="s">
        <v>1592</v>
      </c>
      <c r="O5" t="s">
        <v>1982</v>
      </c>
    </row>
    <row r="6" spans="1:15" x14ac:dyDescent="0.25">
      <c r="A6" t="s">
        <v>2001</v>
      </c>
      <c r="B6">
        <v>0</v>
      </c>
      <c r="M6" t="s">
        <v>1590</v>
      </c>
      <c r="O6" t="s">
        <v>1169</v>
      </c>
    </row>
    <row r="7" spans="1:15" x14ac:dyDescent="0.25">
      <c r="A7" t="s">
        <v>2002</v>
      </c>
      <c r="B7">
        <v>0</v>
      </c>
      <c r="G7" s="5" t="s">
        <v>2003</v>
      </c>
      <c r="H7" t="s">
        <v>2004</v>
      </c>
      <c r="M7" t="s">
        <v>2005</v>
      </c>
    </row>
    <row r="8" spans="1:15" x14ac:dyDescent="0.25">
      <c r="A8" t="s">
        <v>2006</v>
      </c>
      <c r="G8" s="5" t="s">
        <v>2007</v>
      </c>
      <c r="H8" t="s">
        <v>2008</v>
      </c>
    </row>
    <row r="9" spans="1:15" x14ac:dyDescent="0.25">
      <c r="G9" s="5" t="s">
        <v>2009</v>
      </c>
      <c r="H9" t="s">
        <v>2010</v>
      </c>
    </row>
    <row r="10" spans="1:15" x14ac:dyDescent="0.25">
      <c r="A10" t="s">
        <v>1401</v>
      </c>
      <c r="G10" s="5" t="s">
        <v>2011</v>
      </c>
      <c r="H10" t="s">
        <v>2012</v>
      </c>
    </row>
    <row r="11" spans="1:15" x14ac:dyDescent="0.25">
      <c r="A11" t="s">
        <v>1412</v>
      </c>
      <c r="G11" s="5" t="s">
        <v>2013</v>
      </c>
      <c r="H11" t="s">
        <v>2014</v>
      </c>
    </row>
    <row r="12" spans="1:15" x14ac:dyDescent="0.25">
      <c r="A12" t="s">
        <v>1392</v>
      </c>
      <c r="G12" s="5" t="s">
        <v>2015</v>
      </c>
      <c r="H12" t="s">
        <v>2016</v>
      </c>
    </row>
    <row r="13" spans="1:15" x14ac:dyDescent="0.25">
      <c r="A13" t="s">
        <v>1137</v>
      </c>
      <c r="G13" s="5" t="s">
        <v>2017</v>
      </c>
      <c r="H13" t="s">
        <v>2018</v>
      </c>
    </row>
    <row r="14" spans="1:15" x14ac:dyDescent="0.25">
      <c r="G14" s="5" t="s">
        <v>2019</v>
      </c>
      <c r="H14" t="s">
        <v>2020</v>
      </c>
    </row>
    <row r="15" spans="1:15" x14ac:dyDescent="0.25">
      <c r="A15" t="s">
        <v>1166</v>
      </c>
      <c r="G15" s="5" t="s">
        <v>2021</v>
      </c>
      <c r="H15" t="s">
        <v>2022</v>
      </c>
    </row>
    <row r="16" spans="1:15" x14ac:dyDescent="0.25">
      <c r="A16" t="s">
        <v>1101</v>
      </c>
      <c r="G16" s="5" t="s">
        <v>2023</v>
      </c>
      <c r="H16" t="s">
        <v>2024</v>
      </c>
    </row>
    <row r="17" spans="1:8" x14ac:dyDescent="0.25">
      <c r="A17" t="s">
        <v>1103</v>
      </c>
      <c r="G17" s="5" t="s">
        <v>2025</v>
      </c>
      <c r="H17" t="s">
        <v>2026</v>
      </c>
    </row>
    <row r="18" spans="1:8" x14ac:dyDescent="0.25">
      <c r="A18" t="s">
        <v>1109</v>
      </c>
      <c r="G18" s="5" t="s">
        <v>2027</v>
      </c>
      <c r="H18" t="s">
        <v>2028</v>
      </c>
    </row>
    <row r="19" spans="1:8" x14ac:dyDescent="0.25">
      <c r="A19" t="s">
        <v>2029</v>
      </c>
      <c r="G19" s="5" t="s">
        <v>2030</v>
      </c>
      <c r="H19" t="s">
        <v>2031</v>
      </c>
    </row>
    <row r="20" spans="1:8" x14ac:dyDescent="0.25">
      <c r="A20" t="s">
        <v>2032</v>
      </c>
      <c r="G20" s="5" t="s">
        <v>2033</v>
      </c>
      <c r="H20" t="s">
        <v>2034</v>
      </c>
    </row>
    <row r="21" spans="1:8" x14ac:dyDescent="0.25">
      <c r="A21" t="s">
        <v>1143</v>
      </c>
      <c r="G21" s="5" t="s">
        <v>2035</v>
      </c>
      <c r="H21" t="s">
        <v>2036</v>
      </c>
    </row>
    <row r="22" spans="1:8" x14ac:dyDescent="0.25">
      <c r="A22" t="s">
        <v>1138</v>
      </c>
      <c r="G22" s="5" t="s">
        <v>2037</v>
      </c>
      <c r="H22" t="s">
        <v>2038</v>
      </c>
    </row>
    <row r="23" spans="1:8" x14ac:dyDescent="0.25">
      <c r="G23" s="5" t="s">
        <v>2039</v>
      </c>
      <c r="H23" t="s">
        <v>2040</v>
      </c>
    </row>
    <row r="24" spans="1:8" x14ac:dyDescent="0.25">
      <c r="G24" s="5" t="s">
        <v>2041</v>
      </c>
      <c r="H24" t="s">
        <v>2042</v>
      </c>
    </row>
    <row r="25" spans="1:8" x14ac:dyDescent="0.25">
      <c r="G25" s="5" t="s">
        <v>2043</v>
      </c>
      <c r="H25" t="s">
        <v>2044</v>
      </c>
    </row>
    <row r="26" spans="1:8" x14ac:dyDescent="0.25">
      <c r="G26" s="5" t="s">
        <v>2045</v>
      </c>
      <c r="H26" t="s">
        <v>2046</v>
      </c>
    </row>
  </sheetData>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A0EDB4919DEF46A3F9004875D57D86" ma:contentTypeVersion="17" ma:contentTypeDescription="Create a new document." ma:contentTypeScope="" ma:versionID="df779710d3984a72ef90d6987b1ced28">
  <xsd:schema xmlns:xsd="http://www.w3.org/2001/XMLSchema" xmlns:xs="http://www.w3.org/2001/XMLSchema" xmlns:p="http://schemas.microsoft.com/office/2006/metadata/properties" xmlns:ns2="05c74e94-00cb-4960-9681-9403ecb617b0" xmlns:ns3="9f2f73ca-e186-41ca-9b39-17400bef97b2" targetNamespace="http://schemas.microsoft.com/office/2006/metadata/properties" ma:root="true" ma:fieldsID="145e04b88160d965f24fa293422ed3b2" ns2:_="" ns3:_="">
    <xsd:import namespace="05c74e94-00cb-4960-9681-9403ecb617b0"/>
    <xsd:import namespace="9f2f73ca-e186-41ca-9b39-17400bef97b2"/>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c74e94-00cb-4960-9681-9403ecb617b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642ee81-b0db-44ae-be3d-cd622bfef65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f2f73ca-e186-41ca-9b39-17400bef97b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e102cf62-306d-4988-945c-4383bcab73be}" ma:internalName="TaxCatchAll" ma:showField="CatchAllData" ma:web="9f2f73ca-e186-41ca-9b39-17400bef97b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dWithUsers xmlns="9f2f73ca-e186-41ca-9b39-17400bef97b2">
      <UserInfo>
        <DisplayName>Simon Pidduck</DisplayName>
        <AccountId>39</AccountId>
        <AccountType/>
      </UserInfo>
      <UserInfo>
        <DisplayName>Sarah Martin</DisplayName>
        <AccountId>48</AccountId>
        <AccountType/>
      </UserInfo>
      <UserInfo>
        <DisplayName>Gill Edwards</DisplayName>
        <AccountId>27</AccountId>
        <AccountType/>
      </UserInfo>
      <UserInfo>
        <DisplayName>Paul Ramster</DisplayName>
        <AccountId>25</AccountId>
        <AccountType/>
      </UserInfo>
    </SharedWithUsers>
    <TaxCatchAll xmlns="9f2f73ca-e186-41ca-9b39-17400bef97b2" xsi:nil="true"/>
    <lcf76f155ced4ddcb4097134ff3c332f xmlns="05c74e94-00cb-4960-9681-9403ecb617b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3173E9E3-8BCC-4470-A88B-DF0E256481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c74e94-00cb-4960-9681-9403ecb617b0"/>
    <ds:schemaRef ds:uri="9f2f73ca-e186-41ca-9b39-17400bef97b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0619F97-77E5-4DF6-A4A4-AC7F9A0CBAB1}">
  <ds:schemaRefs>
    <ds:schemaRef ds:uri="http://schemas.microsoft.com/office/2006/metadata/properties"/>
    <ds:schemaRef ds:uri="http://schemas.microsoft.com/office/infopath/2007/PartnerControls"/>
    <ds:schemaRef ds:uri="9f2f73ca-e186-41ca-9b39-17400bef97b2"/>
    <ds:schemaRef ds:uri="05c74e94-00cb-4960-9681-9403ecb617b0"/>
  </ds:schemaRefs>
</ds:datastoreItem>
</file>

<file path=customXml/itemProps3.xml><?xml version="1.0" encoding="utf-8"?>
<ds:datastoreItem xmlns:ds="http://schemas.openxmlformats.org/officeDocument/2006/customXml" ds:itemID="{0EDCBCF4-ECEF-4317-8F8C-293D7FBBD21A}">
  <ds:schemaRefs>
    <ds:schemaRef ds:uri="http://schemas.microsoft.com/sharepoint/v3/contenttype/forms"/>
  </ds:schemaRefs>
</ds:datastoreItem>
</file>

<file path=customXml/itemProps4.xml><?xml version="1.0" encoding="utf-8"?>
<ds:datastoreItem xmlns:ds="http://schemas.openxmlformats.org/officeDocument/2006/customXml" ds:itemID="{581F9116-D2BA-4473-8094-4A6CA56761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41</vt:i4>
      </vt:variant>
      <vt:variant>
        <vt:lpstr>Named Ranges</vt:lpstr>
      </vt:variant>
      <vt:variant>
        <vt:i4>1</vt:i4>
      </vt:variant>
    </vt:vector>
  </HeadingPairs>
  <TitlesOfParts>
    <vt:vector size="42" baseType="lpstr">
      <vt:lpstr>Parameters</vt:lpstr>
      <vt:lpstr>Notes</vt:lpstr>
      <vt:lpstr>Build Checklist</vt:lpstr>
      <vt:lpstr>Import Checklist</vt:lpstr>
      <vt:lpstr>System Grouping Codes</vt:lpstr>
      <vt:lpstr>Funds</vt:lpstr>
      <vt:lpstr>Activity</vt:lpstr>
      <vt:lpstr>Ledger</vt:lpstr>
      <vt:lpstr>CustGroup</vt:lpstr>
      <vt:lpstr>SchHub</vt:lpstr>
      <vt:lpstr>SchType</vt:lpstr>
      <vt:lpstr>LocalAuth</vt:lpstr>
      <vt:lpstr>Schools</vt:lpstr>
      <vt:lpstr>Depts</vt:lpstr>
      <vt:lpstr>SourceFinanceCodes</vt:lpstr>
      <vt:lpstr>11_Finance Codes S2</vt:lpstr>
      <vt:lpstr>FinanceCodes Budget</vt:lpstr>
      <vt:lpstr>19_PayScales</vt:lpstr>
      <vt:lpstr>22_PayScaleGrades</vt:lpstr>
      <vt:lpstr>21_PayScaleIncreasePercen</vt:lpstr>
      <vt:lpstr>20_PayScalePoints</vt:lpstr>
      <vt:lpstr>16_AllowanceTypes</vt:lpstr>
      <vt:lpstr>17_AllowanceTypePoint</vt:lpstr>
      <vt:lpstr>18_AllowanceIncreasePercen</vt:lpstr>
      <vt:lpstr>31_AdjustmentTypes</vt:lpstr>
      <vt:lpstr>24_Pensions</vt:lpstr>
      <vt:lpstr>23_EQWPatterns</vt:lpstr>
      <vt:lpstr>26_StfRoleGroup</vt:lpstr>
      <vt:lpstr>27_StfRole</vt:lpstr>
      <vt:lpstr>12_Genders</vt:lpstr>
      <vt:lpstr>13_ContractTypes</vt:lpstr>
      <vt:lpstr>25_StaffMembers</vt:lpstr>
      <vt:lpstr>28_ContractsTeachFTE</vt:lpstr>
      <vt:lpstr>29_ContractsSupportHours</vt:lpstr>
      <vt:lpstr>34_ContractAllowances</vt:lpstr>
      <vt:lpstr>33_ContractAdjustments</vt:lpstr>
      <vt:lpstr>30_LeaveTypes</vt:lpstr>
      <vt:lpstr>32_StaffMemberLeaves</vt:lpstr>
      <vt:lpstr>Checklist</vt:lpstr>
      <vt:lpstr>Lookup</vt:lpstr>
      <vt:lpstr>Validation</vt:lpstr>
      <vt:lpstr>BuildYear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Dave Hall</dc:creator>
  <cp:keywords/>
  <dc:description/>
  <cp:lastModifiedBy>John Dunridge</cp:lastModifiedBy>
  <cp:revision/>
  <dcterms:created xsi:type="dcterms:W3CDTF">2019-04-25T10:54:11Z</dcterms:created>
  <dcterms:modified xsi:type="dcterms:W3CDTF">2026-02-03T10:38:53Z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0x0101006FA0EDB4919DEF46A3F9004875D57D86</vt:lpwstr>
  </property>
  <property fmtid="{D5CDD505-2E9C-101B-9397-08002B2CF9AE}" pid="3" name="xd_ProgID">
    <vt:lpwstr/>
  </property>
  <property fmtid="{D5CDD505-2E9C-101B-9397-08002B2CF9AE}" pid="4" name="ComplianceAssetId">
    <vt:lpwstr/>
  </property>
  <property fmtid="{D5CDD505-2E9C-101B-9397-08002B2CF9AE}" pid="5" name="TemplateUrl">
    <vt:lpwstr/>
  </property>
  <property fmtid="{D5CDD505-2E9C-101B-9397-08002B2CF9AE}" pid="6" name="_ExtendedDescription">
    <vt:lpwstr/>
  </property>
  <property fmtid="{D5CDD505-2E9C-101B-9397-08002B2CF9AE}" pid="7" name="TriggerFlowInfo">
    <vt:lpwstr/>
  </property>
  <property fmtid="{D5CDD505-2E9C-101B-9397-08002B2CF9AE}" pid="8" name="xd_Signature">
    <vt:lpwstr/>
  </property>
  <property fmtid="{D5CDD505-2E9C-101B-9397-08002B2CF9AE}" pid="9" name="MediaServiceImageTags">
    <vt:lpwstr/>
  </property>
</Properties>
</file>