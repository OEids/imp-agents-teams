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0.Planner Build Stage/NEN001 - Nene Education Trust/Customer Supplied Data/Strand 2/Payscales and Pension Rates/"/>
    </mc:Choice>
  </mc:AlternateContent>
  <xr:revisionPtr revIDLastSave="0" documentId="10_ncr:8000_{F8692B58-10E0-41C2-A25B-EAB6C1552D0E}" xr6:coauthVersionLast="47" xr6:coauthVersionMax="47" xr10:uidLastSave="{00000000-0000-0000-0000-000000000000}"/>
  <bookViews>
    <workbookView xWindow="-108" yWindow="-108" windowWidth="23256" windowHeight="12456" activeTab="1" xr2:uid="{7D326D91-FCAF-4D65-9194-3DF043A4257A}"/>
  </bookViews>
  <sheets>
    <sheet name="Support" sheetId="1" r:id="rId1"/>
    <sheet name="Teaching &amp; Leadership" sheetId="2" r:id="rId2"/>
    <sheet name="TL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2" i="3"/>
  <c r="AW58" i="2"/>
  <c r="AX58" i="2" s="1"/>
  <c r="AN58" i="2"/>
  <c r="AM58" i="2"/>
  <c r="AK58" i="2"/>
  <c r="AI58" i="2"/>
  <c r="AH58" i="2"/>
  <c r="AF58" i="2"/>
  <c r="AW57" i="2"/>
  <c r="AX57" i="2" s="1"/>
  <c r="AN57" i="2"/>
  <c r="AM57" i="2"/>
  <c r="AK57" i="2"/>
  <c r="AI57" i="2"/>
  <c r="AH57" i="2"/>
  <c r="AF57" i="2"/>
  <c r="AW56" i="2"/>
  <c r="AX56" i="2" s="1"/>
  <c r="AN56" i="2"/>
  <c r="AM56" i="2"/>
  <c r="AK56" i="2"/>
  <c r="AI56" i="2"/>
  <c r="AH56" i="2"/>
  <c r="AF56" i="2"/>
  <c r="AW55" i="2"/>
  <c r="AX55" i="2" s="1"/>
  <c r="AN55" i="2"/>
  <c r="AM55" i="2"/>
  <c r="AK55" i="2"/>
  <c r="AI55" i="2"/>
  <c r="AH55" i="2"/>
  <c r="AF55" i="2"/>
  <c r="AW54" i="2"/>
  <c r="AX54" i="2" s="1"/>
  <c r="AN54" i="2"/>
  <c r="AM54" i="2"/>
  <c r="AK54" i="2"/>
  <c r="AI54" i="2"/>
  <c r="AH54" i="2"/>
  <c r="AF54" i="2"/>
  <c r="AW53" i="2"/>
  <c r="AX53" i="2" s="1"/>
  <c r="AN53" i="2"/>
  <c r="AM53" i="2"/>
  <c r="AK53" i="2"/>
  <c r="AI53" i="2"/>
  <c r="AH53" i="2"/>
  <c r="AF53" i="2"/>
  <c r="AW52" i="2"/>
  <c r="AX52" i="2" s="1"/>
  <c r="AN52" i="2"/>
  <c r="AM52" i="2"/>
  <c r="AK52" i="2"/>
  <c r="AI52" i="2"/>
  <c r="AH52" i="2"/>
  <c r="AF52" i="2"/>
  <c r="AW51" i="2"/>
  <c r="AX51" i="2" s="1"/>
  <c r="AN51" i="2"/>
  <c r="AM51" i="2"/>
  <c r="AK51" i="2"/>
  <c r="AI51" i="2"/>
  <c r="AH51" i="2"/>
  <c r="AF51" i="2"/>
  <c r="AW50" i="2"/>
  <c r="AX50" i="2" s="1"/>
  <c r="AN50" i="2"/>
  <c r="AM50" i="2"/>
  <c r="AK50" i="2"/>
  <c r="AI50" i="2"/>
  <c r="AH50" i="2"/>
  <c r="AF50" i="2"/>
  <c r="AW49" i="2"/>
  <c r="AX49" i="2" s="1"/>
  <c r="AN49" i="2"/>
  <c r="AM49" i="2"/>
  <c r="AK49" i="2"/>
  <c r="AI49" i="2"/>
  <c r="AH49" i="2"/>
  <c r="AF49" i="2"/>
  <c r="AW48" i="2"/>
  <c r="AX48" i="2" s="1"/>
  <c r="AN48" i="2"/>
  <c r="AM48" i="2"/>
  <c r="AK48" i="2"/>
  <c r="AI48" i="2"/>
  <c r="AH48" i="2"/>
  <c r="AF48" i="2"/>
  <c r="AW47" i="2"/>
  <c r="AX47" i="2" s="1"/>
  <c r="AN47" i="2"/>
  <c r="AM47" i="2"/>
  <c r="AK47" i="2"/>
  <c r="AI47" i="2"/>
  <c r="AH47" i="2"/>
  <c r="AF47" i="2"/>
  <c r="AW46" i="2"/>
  <c r="AX46" i="2" s="1"/>
  <c r="AN46" i="2"/>
  <c r="AM46" i="2"/>
  <c r="AK46" i="2"/>
  <c r="AI46" i="2"/>
  <c r="AH46" i="2"/>
  <c r="AF46" i="2"/>
  <c r="P46" i="2"/>
  <c r="R46" i="2" s="1"/>
  <c r="M46" i="2"/>
  <c r="AN45" i="2"/>
  <c r="AM45" i="2"/>
  <c r="AK45" i="2"/>
  <c r="AH45" i="2"/>
  <c r="AF45" i="2"/>
  <c r="P45" i="2"/>
  <c r="R45" i="2" s="1"/>
  <c r="M45" i="2"/>
  <c r="AM44" i="2"/>
  <c r="AN44" i="2" s="1"/>
  <c r="AK44" i="2"/>
  <c r="AH44" i="2"/>
  <c r="AW44" i="2" s="1"/>
  <c r="AX44" i="2" s="1"/>
  <c r="AF44" i="2"/>
  <c r="R44" i="2"/>
  <c r="P44" i="2"/>
  <c r="M44" i="2"/>
  <c r="AX43" i="2"/>
  <c r="AW43" i="2"/>
  <c r="AM43" i="2"/>
  <c r="AN43" i="2" s="1"/>
  <c r="AK43" i="2"/>
  <c r="AI43" i="2"/>
  <c r="AH43" i="2"/>
  <c r="AF43" i="2"/>
  <c r="R43" i="2"/>
  <c r="P43" i="2"/>
  <c r="M43" i="2"/>
  <c r="AW42" i="2"/>
  <c r="AX42" i="2" s="1"/>
  <c r="AN42" i="2"/>
  <c r="AM42" i="2"/>
  <c r="AK42" i="2"/>
  <c r="AI42" i="2"/>
  <c r="AH42" i="2"/>
  <c r="AF42" i="2"/>
  <c r="P42" i="2"/>
  <c r="R42" i="2" s="1"/>
  <c r="M42" i="2"/>
  <c r="F42" i="2"/>
  <c r="H42" i="2" s="1"/>
  <c r="C42" i="2"/>
  <c r="AM41" i="2"/>
  <c r="AN41" i="2" s="1"/>
  <c r="AK41" i="2"/>
  <c r="AH41" i="2"/>
  <c r="AW41" i="2" s="1"/>
  <c r="AX41" i="2" s="1"/>
  <c r="AF41" i="2"/>
  <c r="R41" i="2"/>
  <c r="P41" i="2"/>
  <c r="M41" i="2"/>
  <c r="H41" i="2"/>
  <c r="F41" i="2"/>
  <c r="C41" i="2"/>
  <c r="AW40" i="2"/>
  <c r="AX40" i="2" s="1"/>
  <c r="AN40" i="2"/>
  <c r="AM40" i="2"/>
  <c r="AK40" i="2"/>
  <c r="AI40" i="2"/>
  <c r="AH40" i="2"/>
  <c r="AF40" i="2"/>
  <c r="P40" i="2"/>
  <c r="R40" i="2" s="1"/>
  <c r="M40" i="2"/>
  <c r="F40" i="2"/>
  <c r="H40" i="2" s="1"/>
  <c r="C40" i="2"/>
  <c r="AM39" i="2"/>
  <c r="AN39" i="2" s="1"/>
  <c r="AK39" i="2"/>
  <c r="AH39" i="2"/>
  <c r="AW39" i="2" s="1"/>
  <c r="AX39" i="2" s="1"/>
  <c r="AF39" i="2"/>
  <c r="R39" i="2"/>
  <c r="P39" i="2"/>
  <c r="M39" i="2"/>
  <c r="H39" i="2"/>
  <c r="F39" i="2"/>
  <c r="C39" i="2"/>
  <c r="AW38" i="2"/>
  <c r="AX38" i="2" s="1"/>
  <c r="AN38" i="2"/>
  <c r="AM38" i="2"/>
  <c r="AK38" i="2"/>
  <c r="AI38" i="2"/>
  <c r="AH38" i="2"/>
  <c r="AF38" i="2"/>
  <c r="P38" i="2"/>
  <c r="R38" i="2" s="1"/>
  <c r="M38" i="2"/>
  <c r="F38" i="2"/>
  <c r="H38" i="2" s="1"/>
  <c r="C38" i="2"/>
  <c r="AM37" i="2"/>
  <c r="AN37" i="2" s="1"/>
  <c r="AK37" i="2"/>
  <c r="AH37" i="2"/>
  <c r="AW37" i="2" s="1"/>
  <c r="AX37" i="2" s="1"/>
  <c r="AF37" i="2"/>
  <c r="R37" i="2"/>
  <c r="P37" i="2"/>
  <c r="M37" i="2"/>
  <c r="H37" i="2"/>
  <c r="F37" i="2"/>
  <c r="C37" i="2"/>
  <c r="AW36" i="2"/>
  <c r="AX36" i="2" s="1"/>
  <c r="AN36" i="2"/>
  <c r="AM36" i="2"/>
  <c r="AK36" i="2"/>
  <c r="AI36" i="2"/>
  <c r="AH36" i="2"/>
  <c r="AF36" i="2"/>
  <c r="P36" i="2"/>
  <c r="R36" i="2" s="1"/>
  <c r="M36" i="2"/>
  <c r="AN35" i="2"/>
  <c r="AM35" i="2"/>
  <c r="AK35" i="2"/>
  <c r="AH35" i="2"/>
  <c r="AF35" i="2"/>
  <c r="P35" i="2"/>
  <c r="R35" i="2" s="1"/>
  <c r="M35" i="2"/>
  <c r="AM34" i="2"/>
  <c r="AN34" i="2" s="1"/>
  <c r="AK34" i="2"/>
  <c r="AH34" i="2"/>
  <c r="AW34" i="2" s="1"/>
  <c r="AX34" i="2" s="1"/>
  <c r="AF34" i="2"/>
  <c r="R34" i="2"/>
  <c r="P34" i="2"/>
  <c r="M34" i="2"/>
  <c r="AX33" i="2"/>
  <c r="AW33" i="2"/>
  <c r="AM33" i="2"/>
  <c r="AN33" i="2" s="1"/>
  <c r="AK33" i="2"/>
  <c r="AI33" i="2"/>
  <c r="AH33" i="2"/>
  <c r="AF33" i="2"/>
  <c r="R33" i="2"/>
  <c r="P33" i="2"/>
  <c r="M33" i="2"/>
  <c r="AW32" i="2"/>
  <c r="AX32" i="2" s="1"/>
  <c r="AN32" i="2"/>
  <c r="AM32" i="2"/>
  <c r="AK32" i="2"/>
  <c r="AI32" i="2"/>
  <c r="AH32" i="2"/>
  <c r="AF32" i="2"/>
  <c r="P32" i="2"/>
  <c r="R32" i="2" s="1"/>
  <c r="M32" i="2"/>
  <c r="F32" i="2"/>
  <c r="H32" i="2" s="1"/>
  <c r="C32" i="2"/>
  <c r="AM31" i="2"/>
  <c r="AN31" i="2" s="1"/>
  <c r="AK31" i="2"/>
  <c r="AH31" i="2"/>
  <c r="AW31" i="2" s="1"/>
  <c r="AX31" i="2" s="1"/>
  <c r="AF31" i="2"/>
  <c r="R31" i="2"/>
  <c r="P31" i="2"/>
  <c r="M31" i="2"/>
  <c r="H31" i="2"/>
  <c r="F31" i="2"/>
  <c r="C31" i="2"/>
  <c r="AW30" i="2"/>
  <c r="AX30" i="2" s="1"/>
  <c r="AN30" i="2"/>
  <c r="AM30" i="2"/>
  <c r="AK30" i="2"/>
  <c r="AI30" i="2"/>
  <c r="AH30" i="2"/>
  <c r="AF30" i="2"/>
  <c r="P30" i="2"/>
  <c r="R30" i="2" s="1"/>
  <c r="M30" i="2"/>
  <c r="F30" i="2"/>
  <c r="H30" i="2" s="1"/>
  <c r="C30" i="2"/>
  <c r="AM29" i="2"/>
  <c r="AN29" i="2" s="1"/>
  <c r="AK29" i="2"/>
  <c r="AH29" i="2"/>
  <c r="AW29" i="2" s="1"/>
  <c r="AX29" i="2" s="1"/>
  <c r="AF29" i="2"/>
  <c r="R29" i="2"/>
  <c r="P29" i="2"/>
  <c r="M29" i="2"/>
  <c r="H29" i="2"/>
  <c r="F29" i="2"/>
  <c r="C29" i="2"/>
  <c r="AW28" i="2"/>
  <c r="AX28" i="2" s="1"/>
  <c r="AN28" i="2"/>
  <c r="AM28" i="2"/>
  <c r="AK28" i="2"/>
  <c r="AI28" i="2"/>
  <c r="AH28" i="2"/>
  <c r="AF28" i="2"/>
  <c r="P28" i="2"/>
  <c r="R28" i="2" s="1"/>
  <c r="M28" i="2"/>
  <c r="F28" i="2"/>
  <c r="H28" i="2" s="1"/>
  <c r="C28" i="2"/>
  <c r="AM27" i="2"/>
  <c r="AN27" i="2" s="1"/>
  <c r="AK27" i="2"/>
  <c r="AH27" i="2"/>
  <c r="AW27" i="2" s="1"/>
  <c r="AX27" i="2" s="1"/>
  <c r="AF27" i="2"/>
  <c r="R27" i="2"/>
  <c r="P27" i="2"/>
  <c r="M27" i="2"/>
  <c r="H27" i="2"/>
  <c r="F27" i="2"/>
  <c r="C27" i="2"/>
  <c r="AW26" i="2"/>
  <c r="AX26" i="2" s="1"/>
  <c r="AN26" i="2"/>
  <c r="AM26" i="2"/>
  <c r="AK26" i="2"/>
  <c r="AI26" i="2"/>
  <c r="AH26" i="2"/>
  <c r="AF26" i="2"/>
  <c r="P26" i="2"/>
  <c r="R26" i="2" s="1"/>
  <c r="M26" i="2"/>
  <c r="F26" i="2"/>
  <c r="H26" i="2" s="1"/>
  <c r="C26" i="2"/>
  <c r="AM25" i="2"/>
  <c r="AN25" i="2" s="1"/>
  <c r="AK25" i="2"/>
  <c r="AH25" i="2"/>
  <c r="AW25" i="2" s="1"/>
  <c r="AX25" i="2" s="1"/>
  <c r="AF25" i="2"/>
  <c r="R25" i="2"/>
  <c r="P25" i="2"/>
  <c r="M25" i="2"/>
  <c r="H25" i="2"/>
  <c r="F25" i="2"/>
  <c r="C25" i="2"/>
  <c r="AW24" i="2"/>
  <c r="AX24" i="2" s="1"/>
  <c r="AN24" i="2"/>
  <c r="AM24" i="2"/>
  <c r="AK24" i="2"/>
  <c r="AI24" i="2"/>
  <c r="AH24" i="2"/>
  <c r="AF24" i="2"/>
  <c r="P24" i="2"/>
  <c r="R24" i="2" s="1"/>
  <c r="M24" i="2"/>
  <c r="F24" i="2"/>
  <c r="H24" i="2" s="1"/>
  <c r="C24" i="2"/>
  <c r="AM23" i="2"/>
  <c r="AN23" i="2" s="1"/>
  <c r="AK23" i="2"/>
  <c r="AH23" i="2"/>
  <c r="AW23" i="2" s="1"/>
  <c r="AX23" i="2" s="1"/>
  <c r="AF23" i="2"/>
  <c r="R23" i="2"/>
  <c r="P23" i="2"/>
  <c r="M23" i="2"/>
  <c r="H23" i="2"/>
  <c r="F23" i="2"/>
  <c r="C23" i="2"/>
  <c r="AW22" i="2"/>
  <c r="AX22" i="2" s="1"/>
  <c r="AN22" i="2"/>
  <c r="AM22" i="2"/>
  <c r="AK22" i="2"/>
  <c r="AI22" i="2"/>
  <c r="AH22" i="2"/>
  <c r="AF22" i="2"/>
  <c r="P22" i="2"/>
  <c r="R22" i="2" s="1"/>
  <c r="M22" i="2"/>
  <c r="F22" i="2"/>
  <c r="H22" i="2" s="1"/>
  <c r="C22" i="2"/>
  <c r="AM21" i="2"/>
  <c r="AN21" i="2" s="1"/>
  <c r="AK21" i="2"/>
  <c r="AH21" i="2"/>
  <c r="AW21" i="2" s="1"/>
  <c r="AX21" i="2" s="1"/>
  <c r="AF21" i="2"/>
  <c r="R21" i="2"/>
  <c r="P21" i="2"/>
  <c r="M21" i="2"/>
  <c r="H21" i="2"/>
  <c r="F21" i="2"/>
  <c r="C21" i="2"/>
  <c r="AW20" i="2"/>
  <c r="AX20" i="2" s="1"/>
  <c r="AN20" i="2"/>
  <c r="AM20" i="2"/>
  <c r="AK20" i="2"/>
  <c r="AI20" i="2"/>
  <c r="AH20" i="2"/>
  <c r="AF20" i="2"/>
  <c r="P20" i="2"/>
  <c r="R20" i="2" s="1"/>
  <c r="M20" i="2"/>
  <c r="F20" i="2"/>
  <c r="H20" i="2" s="1"/>
  <c r="C20" i="2"/>
  <c r="AM19" i="2"/>
  <c r="AN19" i="2" s="1"/>
  <c r="AK19" i="2"/>
  <c r="AH19" i="2"/>
  <c r="AW19" i="2" s="1"/>
  <c r="AX19" i="2" s="1"/>
  <c r="AF19" i="2"/>
  <c r="R19" i="2"/>
  <c r="P19" i="2"/>
  <c r="M19" i="2"/>
  <c r="H19" i="2"/>
  <c r="F19" i="2"/>
  <c r="C19" i="2"/>
  <c r="AW18" i="2"/>
  <c r="AX18" i="2" s="1"/>
  <c r="AN18" i="2"/>
  <c r="AM18" i="2"/>
  <c r="AK18" i="2"/>
  <c r="AI18" i="2"/>
  <c r="AH18" i="2"/>
  <c r="AF18" i="2"/>
  <c r="P18" i="2"/>
  <c r="R18" i="2" s="1"/>
  <c r="M18" i="2"/>
  <c r="F18" i="2"/>
  <c r="H18" i="2" s="1"/>
  <c r="C18" i="2"/>
  <c r="AM17" i="2"/>
  <c r="AN17" i="2" s="1"/>
  <c r="AK17" i="2"/>
  <c r="AH17" i="2"/>
  <c r="AW17" i="2" s="1"/>
  <c r="AX17" i="2" s="1"/>
  <c r="AF17" i="2"/>
  <c r="R17" i="2"/>
  <c r="P17" i="2"/>
  <c r="M17" i="2"/>
  <c r="H17" i="2"/>
  <c r="F17" i="2"/>
  <c r="C17" i="2"/>
  <c r="AW16" i="2"/>
  <c r="AX16" i="2" s="1"/>
  <c r="AN16" i="2"/>
  <c r="AM16" i="2"/>
  <c r="AK16" i="2"/>
  <c r="AI16" i="2"/>
  <c r="AH16" i="2"/>
  <c r="AF16" i="2"/>
  <c r="X16" i="2"/>
  <c r="W16" i="2"/>
  <c r="R16" i="2"/>
  <c r="P16" i="2"/>
  <c r="M16" i="2"/>
  <c r="AX15" i="2"/>
  <c r="AW15" i="2"/>
  <c r="AM15" i="2"/>
  <c r="AN15" i="2" s="1"/>
  <c r="AK15" i="2"/>
  <c r="AI15" i="2"/>
  <c r="AH15" i="2"/>
  <c r="AF15" i="2"/>
  <c r="X15" i="2"/>
  <c r="W15" i="2"/>
  <c r="P15" i="2"/>
  <c r="R15" i="2" s="1"/>
  <c r="M15" i="2"/>
  <c r="AM14" i="2"/>
  <c r="AN14" i="2" s="1"/>
  <c r="AK14" i="2"/>
  <c r="AH14" i="2"/>
  <c r="AW14" i="2" s="1"/>
  <c r="AX14" i="2" s="1"/>
  <c r="AF14" i="2"/>
  <c r="X14" i="2"/>
  <c r="W14" i="2"/>
  <c r="P14" i="2"/>
  <c r="R14" i="2" s="1"/>
  <c r="M14" i="2"/>
  <c r="AN13" i="2"/>
  <c r="AM13" i="2"/>
  <c r="AK13" i="2"/>
  <c r="AI13" i="2"/>
  <c r="AH13" i="2"/>
  <c r="AW13" i="2" s="1"/>
  <c r="AX13" i="2" s="1"/>
  <c r="AF13" i="2"/>
  <c r="X13" i="2"/>
  <c r="W13" i="2"/>
  <c r="R13" i="2"/>
  <c r="P13" i="2"/>
  <c r="M13" i="2"/>
  <c r="AW12" i="2"/>
  <c r="AX12" i="2" s="1"/>
  <c r="AN12" i="2"/>
  <c r="AM12" i="2"/>
  <c r="AK12" i="2"/>
  <c r="AI12" i="2"/>
  <c r="AH12" i="2"/>
  <c r="AF12" i="2"/>
  <c r="P12" i="2"/>
  <c r="R12" i="2" s="1"/>
  <c r="M12" i="2"/>
  <c r="F12" i="2"/>
  <c r="H12" i="2" s="1"/>
  <c r="AX11" i="2"/>
  <c r="AW11" i="2"/>
  <c r="AM11" i="2"/>
  <c r="AN11" i="2" s="1"/>
  <c r="AK11" i="2"/>
  <c r="AI11" i="2"/>
  <c r="AH11" i="2"/>
  <c r="AF11" i="2"/>
  <c r="R11" i="2"/>
  <c r="P11" i="2"/>
  <c r="M11" i="2"/>
  <c r="H11" i="2"/>
  <c r="F11" i="2"/>
  <c r="AM10" i="2"/>
  <c r="AN10" i="2" s="1"/>
  <c r="AK10" i="2"/>
  <c r="AH10" i="2"/>
  <c r="AF10" i="2"/>
  <c r="R10" i="2"/>
  <c r="P10" i="2"/>
  <c r="M10" i="2"/>
  <c r="H10" i="2"/>
  <c r="F10" i="2"/>
  <c r="AW9" i="2"/>
  <c r="AX9" i="2" s="1"/>
  <c r="AT9" i="2"/>
  <c r="AN9" i="2"/>
  <c r="AM9" i="2"/>
  <c r="AK9" i="2"/>
  <c r="AI9" i="2"/>
  <c r="AH9" i="2"/>
  <c r="AF9" i="2"/>
  <c r="R9" i="2"/>
  <c r="P9" i="2"/>
  <c r="M9" i="2"/>
  <c r="F9" i="2"/>
  <c r="H9" i="2" s="1"/>
  <c r="AX8" i="2"/>
  <c r="AW8" i="2"/>
  <c r="AM8" i="2"/>
  <c r="AN8" i="2" s="1"/>
  <c r="AN59" i="2" s="1"/>
  <c r="AK8" i="2"/>
  <c r="AK59" i="2" s="1"/>
  <c r="AI8" i="2"/>
  <c r="AH8" i="2"/>
  <c r="AF8" i="2"/>
  <c r="R8" i="2"/>
  <c r="P8" i="2"/>
  <c r="M8" i="2"/>
  <c r="F8" i="2"/>
  <c r="H8" i="2" s="1"/>
  <c r="AI7" i="2"/>
  <c r="AH7" i="2"/>
  <c r="AW7" i="2" s="1"/>
  <c r="AX7" i="2" s="1"/>
  <c r="AF7" i="2"/>
  <c r="P7" i="2"/>
  <c r="R7" i="2" s="1"/>
  <c r="M7" i="2"/>
  <c r="H7" i="2"/>
  <c r="F7" i="2"/>
  <c r="AX6" i="2"/>
  <c r="AW6" i="2"/>
  <c r="AI6" i="2"/>
  <c r="AH6" i="2"/>
  <c r="AF6" i="2"/>
  <c r="R6" i="2"/>
  <c r="P6" i="2"/>
  <c r="M6" i="2"/>
  <c r="H6" i="2"/>
  <c r="F6" i="2"/>
  <c r="R5" i="2"/>
  <c r="P5" i="2"/>
  <c r="M5" i="2"/>
  <c r="H5" i="2"/>
  <c r="F5" i="2"/>
  <c r="AP4" i="2"/>
  <c r="AN4" i="2"/>
  <c r="R4" i="2"/>
  <c r="P4" i="2"/>
  <c r="M4" i="2"/>
  <c r="H4" i="2"/>
  <c r="F4" i="2"/>
  <c r="BF58" i="1"/>
  <c r="AV58" i="1"/>
  <c r="AY58" i="1" s="1"/>
  <c r="AT58" i="1"/>
  <c r="BF57" i="1"/>
  <c r="AV57" i="1"/>
  <c r="AY57" i="1" s="1"/>
  <c r="BB57" i="1" s="1"/>
  <c r="BE57" i="1" s="1"/>
  <c r="AT57" i="1"/>
  <c r="BF56" i="1"/>
  <c r="AV56" i="1"/>
  <c r="AY56" i="1" s="1"/>
  <c r="BB56" i="1" s="1"/>
  <c r="BE56" i="1" s="1"/>
  <c r="AT56" i="1"/>
  <c r="BF55" i="1"/>
  <c r="AV55" i="1"/>
  <c r="AY55" i="1" s="1"/>
  <c r="BB55" i="1" s="1"/>
  <c r="BE55" i="1" s="1"/>
  <c r="AT55" i="1"/>
  <c r="BF54" i="1"/>
  <c r="AV54" i="1"/>
  <c r="AY54" i="1" s="1"/>
  <c r="BB54" i="1" s="1"/>
  <c r="BE54" i="1" s="1"/>
  <c r="AT54" i="1"/>
  <c r="BF53" i="1"/>
  <c r="AV53" i="1"/>
  <c r="AY53" i="1" s="1"/>
  <c r="BB53" i="1" s="1"/>
  <c r="BE53" i="1" s="1"/>
  <c r="AT53" i="1"/>
  <c r="BF52" i="1"/>
  <c r="AV52" i="1"/>
  <c r="AY52" i="1" s="1"/>
  <c r="BB52" i="1" s="1"/>
  <c r="BE52" i="1" s="1"/>
  <c r="AT52" i="1"/>
  <c r="BF51" i="1"/>
  <c r="AV51" i="1"/>
  <c r="AY51" i="1" s="1"/>
  <c r="BB51" i="1" s="1"/>
  <c r="BE51" i="1" s="1"/>
  <c r="AT51" i="1"/>
  <c r="BF50" i="1"/>
  <c r="AV50" i="1"/>
  <c r="AY50" i="1" s="1"/>
  <c r="BB50" i="1" s="1"/>
  <c r="BE50" i="1" s="1"/>
  <c r="AT50" i="1"/>
  <c r="BF49" i="1"/>
  <c r="AV49" i="1"/>
  <c r="AY49" i="1" s="1"/>
  <c r="BB49" i="1" s="1"/>
  <c r="BE49" i="1" s="1"/>
  <c r="AT49" i="1"/>
  <c r="BF48" i="1"/>
  <c r="AV48" i="1"/>
  <c r="AY48" i="1" s="1"/>
  <c r="BB48" i="1" s="1"/>
  <c r="BE48" i="1" s="1"/>
  <c r="AT48" i="1"/>
  <c r="BF47" i="1"/>
  <c r="AV47" i="1"/>
  <c r="AY47" i="1" s="1"/>
  <c r="BB47" i="1" s="1"/>
  <c r="BE47" i="1" s="1"/>
  <c r="AT47" i="1"/>
  <c r="BF46" i="1"/>
  <c r="AV46" i="1"/>
  <c r="AY46" i="1" s="1"/>
  <c r="BB46" i="1" s="1"/>
  <c r="BE46" i="1" s="1"/>
  <c r="AT46" i="1"/>
  <c r="Z46" i="1"/>
  <c r="W46" i="1"/>
  <c r="BF45" i="1"/>
  <c r="AY45" i="1"/>
  <c r="BB45" i="1" s="1"/>
  <c r="BE45" i="1" s="1"/>
  <c r="AW45" i="1"/>
  <c r="AV45" i="1"/>
  <c r="AT45" i="1"/>
  <c r="Z45" i="1"/>
  <c r="W45" i="1"/>
  <c r="BF44" i="1"/>
  <c r="AV44" i="1"/>
  <c r="AY44" i="1" s="1"/>
  <c r="BB44" i="1" s="1"/>
  <c r="BE44" i="1" s="1"/>
  <c r="AT44" i="1"/>
  <c r="Z44" i="1"/>
  <c r="W44" i="1"/>
  <c r="BF43" i="1"/>
  <c r="AY43" i="1"/>
  <c r="BB43" i="1" s="1"/>
  <c r="BE43" i="1" s="1"/>
  <c r="AW43" i="1"/>
  <c r="AV43" i="1"/>
  <c r="AT43" i="1"/>
  <c r="Z43" i="1"/>
  <c r="W43" i="1"/>
  <c r="BF42" i="1"/>
  <c r="AV42" i="1"/>
  <c r="AY42" i="1" s="1"/>
  <c r="BB42" i="1" s="1"/>
  <c r="BE42" i="1" s="1"/>
  <c r="AT42" i="1"/>
  <c r="Z42" i="1"/>
  <c r="W42" i="1"/>
  <c r="BF41" i="1"/>
  <c r="AY41" i="1"/>
  <c r="BB41" i="1" s="1"/>
  <c r="BE41" i="1" s="1"/>
  <c r="AW41" i="1"/>
  <c r="AV41" i="1"/>
  <c r="AT41" i="1"/>
  <c r="Z41" i="1"/>
  <c r="W41" i="1"/>
  <c r="BF40" i="1"/>
  <c r="AV40" i="1"/>
  <c r="AY40" i="1" s="1"/>
  <c r="BB40" i="1" s="1"/>
  <c r="BE40" i="1" s="1"/>
  <c r="AT40" i="1"/>
  <c r="Z40" i="1"/>
  <c r="W40" i="1"/>
  <c r="BF39" i="1"/>
  <c r="AY39" i="1"/>
  <c r="BB39" i="1" s="1"/>
  <c r="BE39" i="1" s="1"/>
  <c r="AW39" i="1"/>
  <c r="AV39" i="1"/>
  <c r="AT39" i="1"/>
  <c r="Z39" i="1"/>
  <c r="W39" i="1"/>
  <c r="BF38" i="1"/>
  <c r="AV38" i="1"/>
  <c r="AY38" i="1" s="1"/>
  <c r="BB38" i="1" s="1"/>
  <c r="BE38" i="1" s="1"/>
  <c r="AT38" i="1"/>
  <c r="Z38" i="1"/>
  <c r="W38" i="1"/>
  <c r="BF37" i="1"/>
  <c r="AY37" i="1"/>
  <c r="BB37" i="1" s="1"/>
  <c r="BE37" i="1" s="1"/>
  <c r="AW37" i="1"/>
  <c r="AV37" i="1"/>
  <c r="AT37" i="1"/>
  <c r="Z37" i="1"/>
  <c r="W37" i="1"/>
  <c r="BF36" i="1"/>
  <c r="AV36" i="1"/>
  <c r="AY36" i="1" s="1"/>
  <c r="BB36" i="1" s="1"/>
  <c r="BE36" i="1" s="1"/>
  <c r="AT36" i="1"/>
  <c r="Z36" i="1"/>
  <c r="W36" i="1"/>
  <c r="BF35" i="1"/>
  <c r="AY35" i="1"/>
  <c r="BB35" i="1" s="1"/>
  <c r="BE35" i="1" s="1"/>
  <c r="AW35" i="1"/>
  <c r="AV35" i="1"/>
  <c r="AT35" i="1"/>
  <c r="Z35" i="1"/>
  <c r="W35" i="1"/>
  <c r="BF34" i="1"/>
  <c r="AV34" i="1"/>
  <c r="AY34" i="1" s="1"/>
  <c r="BB34" i="1" s="1"/>
  <c r="BE34" i="1" s="1"/>
  <c r="AT34" i="1"/>
  <c r="Z34" i="1"/>
  <c r="W34" i="1"/>
  <c r="BF33" i="1"/>
  <c r="AY33" i="1"/>
  <c r="BB33" i="1" s="1"/>
  <c r="BE33" i="1" s="1"/>
  <c r="AW33" i="1"/>
  <c r="AV33" i="1"/>
  <c r="AT33" i="1"/>
  <c r="Z33" i="1"/>
  <c r="W33" i="1"/>
  <c r="BF32" i="1"/>
  <c r="AV32" i="1"/>
  <c r="AY32" i="1" s="1"/>
  <c r="BB32" i="1" s="1"/>
  <c r="BE32" i="1" s="1"/>
  <c r="AT32" i="1"/>
  <c r="Z32" i="1"/>
  <c r="W32" i="1"/>
  <c r="BF31" i="1"/>
  <c r="BE31" i="1"/>
  <c r="AY31" i="1"/>
  <c r="BB31" i="1" s="1"/>
  <c r="AW31" i="1"/>
  <c r="AV31" i="1"/>
  <c r="AT31" i="1"/>
  <c r="Z31" i="1"/>
  <c r="W31" i="1"/>
  <c r="BF30" i="1"/>
  <c r="AV30" i="1"/>
  <c r="AY30" i="1" s="1"/>
  <c r="BB30" i="1" s="1"/>
  <c r="BE30" i="1" s="1"/>
  <c r="AT30" i="1"/>
  <c r="Z30" i="1"/>
  <c r="W30" i="1"/>
  <c r="BF29" i="1"/>
  <c r="AY29" i="1"/>
  <c r="BB29" i="1" s="1"/>
  <c r="BE29" i="1" s="1"/>
  <c r="AW29" i="1"/>
  <c r="AV29" i="1"/>
  <c r="AT29" i="1"/>
  <c r="Z29" i="1"/>
  <c r="W29" i="1"/>
  <c r="BF28" i="1"/>
  <c r="AV28" i="1"/>
  <c r="AY28" i="1" s="1"/>
  <c r="BB28" i="1" s="1"/>
  <c r="BE28" i="1" s="1"/>
  <c r="AT28" i="1"/>
  <c r="Z28" i="1"/>
  <c r="W28" i="1"/>
  <c r="BF27" i="1"/>
  <c r="BE27" i="1"/>
  <c r="AY27" i="1"/>
  <c r="BB27" i="1" s="1"/>
  <c r="AW27" i="1"/>
  <c r="AV27" i="1"/>
  <c r="AT27" i="1"/>
  <c r="Z27" i="1"/>
  <c r="W27" i="1"/>
  <c r="BF26" i="1"/>
  <c r="AZ26" i="1"/>
  <c r="AV26" i="1"/>
  <c r="AY26" i="1" s="1"/>
  <c r="BB26" i="1" s="1"/>
  <c r="BE26" i="1" s="1"/>
  <c r="AT26" i="1"/>
  <c r="Z26" i="1"/>
  <c r="W26" i="1"/>
  <c r="BF25" i="1"/>
  <c r="AY25" i="1"/>
  <c r="BB25" i="1" s="1"/>
  <c r="BE25" i="1" s="1"/>
  <c r="AW25" i="1"/>
  <c r="AV25" i="1"/>
  <c r="AT25" i="1"/>
  <c r="Z25" i="1"/>
  <c r="W25" i="1"/>
  <c r="BF24" i="1"/>
  <c r="AV24" i="1"/>
  <c r="AY24" i="1" s="1"/>
  <c r="BB24" i="1" s="1"/>
  <c r="BE24" i="1" s="1"/>
  <c r="AT24" i="1"/>
  <c r="Z24" i="1"/>
  <c r="W24" i="1"/>
  <c r="BF23" i="1"/>
  <c r="BE23" i="1"/>
  <c r="AY23" i="1"/>
  <c r="BB23" i="1" s="1"/>
  <c r="AW23" i="1"/>
  <c r="AV23" i="1"/>
  <c r="AT23" i="1"/>
  <c r="Z23" i="1"/>
  <c r="W23" i="1"/>
  <c r="BF22" i="1"/>
  <c r="AZ22" i="1"/>
  <c r="AV22" i="1"/>
  <c r="AY22" i="1" s="1"/>
  <c r="BB22" i="1" s="1"/>
  <c r="BE22" i="1" s="1"/>
  <c r="AT22" i="1"/>
  <c r="Z22" i="1"/>
  <c r="W22" i="1"/>
  <c r="BF21" i="1"/>
  <c r="AY21" i="1"/>
  <c r="BB21" i="1" s="1"/>
  <c r="BE21" i="1" s="1"/>
  <c r="AW21" i="1"/>
  <c r="AV21" i="1"/>
  <c r="AT21" i="1"/>
  <c r="Z21" i="1"/>
  <c r="W21" i="1"/>
  <c r="BF20" i="1"/>
  <c r="AV20" i="1"/>
  <c r="AY20" i="1" s="1"/>
  <c r="BB20" i="1" s="1"/>
  <c r="BE20" i="1" s="1"/>
  <c r="AT20" i="1"/>
  <c r="Z20" i="1"/>
  <c r="W20" i="1"/>
  <c r="BF19" i="1"/>
  <c r="BE19" i="1"/>
  <c r="AY19" i="1"/>
  <c r="BB19" i="1" s="1"/>
  <c r="AW19" i="1"/>
  <c r="AV19" i="1"/>
  <c r="AT19" i="1"/>
  <c r="Z19" i="1"/>
  <c r="W19" i="1"/>
  <c r="M19" i="1"/>
  <c r="J19" i="1"/>
  <c r="BF18" i="1"/>
  <c r="AY18" i="1"/>
  <c r="BB18" i="1" s="1"/>
  <c r="BE18" i="1" s="1"/>
  <c r="AW18" i="1"/>
  <c r="AV18" i="1"/>
  <c r="AT18" i="1"/>
  <c r="Z18" i="1"/>
  <c r="W18" i="1"/>
  <c r="M18" i="1"/>
  <c r="J18" i="1"/>
  <c r="BF17" i="1"/>
  <c r="BE17" i="1"/>
  <c r="AY17" i="1"/>
  <c r="BB17" i="1" s="1"/>
  <c r="AW17" i="1"/>
  <c r="AV17" i="1"/>
  <c r="AT17" i="1"/>
  <c r="Z17" i="1"/>
  <c r="W17" i="1"/>
  <c r="M17" i="1"/>
  <c r="J17" i="1"/>
  <c r="BF16" i="1"/>
  <c r="AY16" i="1"/>
  <c r="BB16" i="1" s="1"/>
  <c r="BE16" i="1" s="1"/>
  <c r="AW16" i="1"/>
  <c r="AV16" i="1"/>
  <c r="AT16" i="1"/>
  <c r="Z16" i="1"/>
  <c r="W16" i="1"/>
  <c r="M16" i="1"/>
  <c r="J16" i="1"/>
  <c r="BF15" i="1"/>
  <c r="BE15" i="1"/>
  <c r="AY15" i="1"/>
  <c r="BB15" i="1" s="1"/>
  <c r="AW15" i="1"/>
  <c r="AV15" i="1"/>
  <c r="AT15" i="1"/>
  <c r="Z15" i="1"/>
  <c r="W15" i="1"/>
  <c r="M15" i="1"/>
  <c r="J15" i="1"/>
  <c r="BF14" i="1"/>
  <c r="AY14" i="1"/>
  <c r="BB14" i="1" s="1"/>
  <c r="BE14" i="1" s="1"/>
  <c r="AW14" i="1"/>
  <c r="AV14" i="1"/>
  <c r="AT14" i="1"/>
  <c r="Z14" i="1"/>
  <c r="W14" i="1"/>
  <c r="M14" i="1"/>
  <c r="J14" i="1"/>
  <c r="BF13" i="1"/>
  <c r="BE13" i="1"/>
  <c r="AY13" i="1"/>
  <c r="BB13" i="1" s="1"/>
  <c r="AW13" i="1"/>
  <c r="AV13" i="1"/>
  <c r="AT13" i="1"/>
  <c r="Z13" i="1"/>
  <c r="W13" i="1"/>
  <c r="M13" i="1"/>
  <c r="J13" i="1"/>
  <c r="BF12" i="1"/>
  <c r="AY12" i="1"/>
  <c r="BB12" i="1" s="1"/>
  <c r="BE12" i="1" s="1"/>
  <c r="AW12" i="1"/>
  <c r="AV12" i="1"/>
  <c r="AT12" i="1"/>
  <c r="Z12" i="1"/>
  <c r="W12" i="1"/>
  <c r="M12" i="1"/>
  <c r="J12" i="1"/>
  <c r="F12" i="1"/>
  <c r="BF11" i="1"/>
  <c r="AY11" i="1"/>
  <c r="AV11" i="1"/>
  <c r="AW11" i="1" s="1"/>
  <c r="AT11" i="1"/>
  <c r="Z11" i="1"/>
  <c r="W11" i="1"/>
  <c r="M11" i="1"/>
  <c r="J11" i="1"/>
  <c r="F11" i="1"/>
  <c r="BF10" i="1"/>
  <c r="AV10" i="1"/>
  <c r="AY10" i="1" s="1"/>
  <c r="BB10" i="1" s="1"/>
  <c r="BE10" i="1" s="1"/>
  <c r="AT10" i="1"/>
  <c r="Z10" i="1"/>
  <c r="W10" i="1"/>
  <c r="M10" i="1"/>
  <c r="J10" i="1"/>
  <c r="F10" i="1"/>
  <c r="BF9" i="1"/>
  <c r="AV9" i="1"/>
  <c r="AT9" i="1"/>
  <c r="AG9" i="1"/>
  <c r="AD9" i="1"/>
  <c r="Z9" i="1"/>
  <c r="W9" i="1"/>
  <c r="M9" i="1"/>
  <c r="J9" i="1"/>
  <c r="F9" i="1"/>
  <c r="BF8" i="1"/>
  <c r="AV8" i="1"/>
  <c r="AY8" i="1" s="1"/>
  <c r="BB8" i="1" s="1"/>
  <c r="BE8" i="1" s="1"/>
  <c r="AT8" i="1"/>
  <c r="AG8" i="1"/>
  <c r="AD8" i="1"/>
  <c r="Z8" i="1"/>
  <c r="W8" i="1"/>
  <c r="M8" i="1"/>
  <c r="J8" i="1"/>
  <c r="F8" i="1"/>
  <c r="AZ7" i="1"/>
  <c r="AV7" i="1"/>
  <c r="AY7" i="1" s="1"/>
  <c r="AT7" i="1"/>
  <c r="AG7" i="1"/>
  <c r="AD7" i="1"/>
  <c r="Z7" i="1"/>
  <c r="W7" i="1"/>
  <c r="M7" i="1"/>
  <c r="J7" i="1"/>
  <c r="F7" i="1"/>
  <c r="AV6" i="1"/>
  <c r="AY6" i="1" s="1"/>
  <c r="AZ6" i="1" s="1"/>
  <c r="AT6" i="1"/>
  <c r="AG6" i="1"/>
  <c r="AD6" i="1"/>
  <c r="Z6" i="1"/>
  <c r="W6" i="1"/>
  <c r="M6" i="1"/>
  <c r="J6" i="1"/>
  <c r="F6" i="1"/>
  <c r="AG5" i="1"/>
  <c r="AD5" i="1"/>
  <c r="Z5" i="1"/>
  <c r="W5" i="1"/>
  <c r="M5" i="1"/>
  <c r="J5" i="1"/>
  <c r="F5" i="1"/>
  <c r="AG4" i="1"/>
  <c r="AD4" i="1"/>
  <c r="Z4" i="1"/>
  <c r="W4" i="1"/>
  <c r="M4" i="1"/>
  <c r="J4" i="1"/>
  <c r="F4" i="1"/>
  <c r="AW10" i="2" l="1"/>
  <c r="AX10" i="2" s="1"/>
  <c r="AI10" i="2"/>
  <c r="AI35" i="2"/>
  <c r="AW35" i="2"/>
  <c r="AX35" i="2" s="1"/>
  <c r="AI45" i="2"/>
  <c r="AW45" i="2"/>
  <c r="AX45" i="2" s="1"/>
  <c r="AI14" i="2"/>
  <c r="AI17" i="2"/>
  <c r="AI19" i="2"/>
  <c r="AI21" i="2"/>
  <c r="AI23" i="2"/>
  <c r="AI25" i="2"/>
  <c r="AI27" i="2"/>
  <c r="AI29" i="2"/>
  <c r="AI31" i="2"/>
  <c r="AI34" i="2"/>
  <c r="AI37" i="2"/>
  <c r="AI39" i="2"/>
  <c r="AI41" i="2"/>
  <c r="AI44" i="2"/>
  <c r="AZ36" i="1"/>
  <c r="AZ44" i="1"/>
  <c r="BB11" i="1"/>
  <c r="BE11" i="1" s="1"/>
  <c r="AZ11" i="1"/>
  <c r="BB58" i="1"/>
  <c r="BE58" i="1" s="1"/>
  <c r="AZ58" i="1"/>
  <c r="AZ8" i="1"/>
  <c r="AZ10" i="1"/>
  <c r="AZ20" i="1"/>
  <c r="AZ24" i="1"/>
  <c r="AZ28" i="1"/>
  <c r="AZ32" i="1"/>
  <c r="AZ40" i="1"/>
  <c r="AY9" i="1"/>
  <c r="AW9" i="1"/>
  <c r="AZ30" i="1"/>
  <c r="AZ34" i="1"/>
  <c r="AZ38" i="1"/>
  <c r="AZ42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12" i="1"/>
  <c r="AZ14" i="1"/>
  <c r="AZ18" i="1"/>
  <c r="AW20" i="1"/>
  <c r="AZ21" i="1"/>
  <c r="AW22" i="1"/>
  <c r="AZ23" i="1"/>
  <c r="AW24" i="1"/>
  <c r="AZ25" i="1"/>
  <c r="AW26" i="1"/>
  <c r="AZ27" i="1"/>
  <c r="AW28" i="1"/>
  <c r="AZ29" i="1"/>
  <c r="AW30" i="1"/>
  <c r="AZ31" i="1"/>
  <c r="AW32" i="1"/>
  <c r="AZ33" i="1"/>
  <c r="AW34" i="1"/>
  <c r="AZ35" i="1"/>
  <c r="AW36" i="1"/>
  <c r="AZ37" i="1"/>
  <c r="AW38" i="1"/>
  <c r="AZ39" i="1"/>
  <c r="AW40" i="1"/>
  <c r="AZ41" i="1"/>
  <c r="AW42" i="1"/>
  <c r="AZ43" i="1"/>
  <c r="AW44" i="1"/>
  <c r="AZ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6" i="1"/>
  <c r="AW7" i="1"/>
  <c r="AW8" i="1"/>
  <c r="AW10" i="1"/>
  <c r="AZ13" i="1"/>
  <c r="AZ15" i="1"/>
  <c r="AZ16" i="1"/>
  <c r="AZ17" i="1"/>
  <c r="AZ19" i="1"/>
  <c r="AZ9" i="1" l="1"/>
  <c r="BB9" i="1"/>
  <c r="BE9" i="1" s="1"/>
</calcChain>
</file>

<file path=xl/sharedStrings.xml><?xml version="1.0" encoding="utf-8"?>
<sst xmlns="http://schemas.openxmlformats.org/spreadsheetml/2006/main" count="311" uniqueCount="143">
  <si>
    <t>Classroom Teacher Pay Ranges</t>
  </si>
  <si>
    <t>Lead Practitioner</t>
  </si>
  <si>
    <t>Teaching &amp; Learning Responsibility (TLR's)</t>
  </si>
  <si>
    <t>Leadership</t>
  </si>
  <si>
    <t>Unqualified Teachers</t>
  </si>
  <si>
    <t>Support Staff Pay Scales</t>
  </si>
  <si>
    <t>Teacher Scales</t>
  </si>
  <si>
    <t>Lead Practioner Scales</t>
  </si>
  <si>
    <t>Sep-22</t>
  </si>
  <si>
    <t>TLR Scale</t>
  </si>
  <si>
    <t>Leadership Scales</t>
  </si>
  <si>
    <t>Unqualified Teacher Scales</t>
  </si>
  <si>
    <t>Payscales</t>
  </si>
  <si>
    <t>Inflation Increase</t>
  </si>
  <si>
    <t>Minimum</t>
  </si>
  <si>
    <t>Maximum</t>
  </si>
  <si>
    <t>2022/23</t>
  </si>
  <si>
    <t>2023/24</t>
  </si>
  <si>
    <t>2024/25</t>
  </si>
  <si>
    <t>2025/26</t>
  </si>
  <si>
    <t>2026/27</t>
  </si>
  <si>
    <t>TMPS 1</t>
  </si>
  <si>
    <t>L1</t>
  </si>
  <si>
    <t>April 2022</t>
  </si>
  <si>
    <t>TMPS 2</t>
  </si>
  <si>
    <t>L2</t>
  </si>
  <si>
    <t>Grade</t>
  </si>
  <si>
    <t>Scale Point</t>
  </si>
  <si>
    <t>Annual Salary</t>
  </si>
  <si>
    <t>Hourly Rate</t>
  </si>
  <si>
    <t>TMPS 3</t>
  </si>
  <si>
    <t>L3</t>
  </si>
  <si>
    <t>A</t>
  </si>
  <si>
    <t xml:space="preserve">-   </t>
  </si>
  <si>
    <t>TMPS 4</t>
  </si>
  <si>
    <t>SEN</t>
  </si>
  <si>
    <t>L4</t>
  </si>
  <si>
    <t>B</t>
  </si>
  <si>
    <t xml:space="preserve"> -   </t>
  </si>
  <si>
    <t>TMPS 5</t>
  </si>
  <si>
    <t>L5</t>
  </si>
  <si>
    <t>TMPS 6</t>
  </si>
  <si>
    <t>L6</t>
  </si>
  <si>
    <t>Bracket</t>
  </si>
  <si>
    <t>C</t>
  </si>
  <si>
    <t>UPS 1</t>
  </si>
  <si>
    <t>L7</t>
  </si>
  <si>
    <t>UPS 2</t>
  </si>
  <si>
    <t>L8</t>
  </si>
  <si>
    <t>2-3</t>
  </si>
  <si>
    <t>D</t>
  </si>
  <si>
    <t>UPS 3</t>
  </si>
  <si>
    <t>L9</t>
  </si>
  <si>
    <t>3-4</t>
  </si>
  <si>
    <t>L10</t>
  </si>
  <si>
    <t>E</t>
  </si>
  <si>
    <t>4-5</t>
  </si>
  <si>
    <t>L11</t>
  </si>
  <si>
    <t>F</t>
  </si>
  <si>
    <t>6-7</t>
  </si>
  <si>
    <t>L12</t>
  </si>
  <si>
    <t>G</t>
  </si>
  <si>
    <t>8-13</t>
  </si>
  <si>
    <t>L13</t>
  </si>
  <si>
    <t>H</t>
  </si>
  <si>
    <t>14-20</t>
  </si>
  <si>
    <t>L14</t>
  </si>
  <si>
    <t>I</t>
  </si>
  <si>
    <t>21-26</t>
  </si>
  <si>
    <t>L15</t>
  </si>
  <si>
    <t>J</t>
  </si>
  <si>
    <t>27-31</t>
  </si>
  <si>
    <t>L16</t>
  </si>
  <si>
    <t>K</t>
  </si>
  <si>
    <t>32-36</t>
  </si>
  <si>
    <t>L17</t>
  </si>
  <si>
    <t>L</t>
  </si>
  <si>
    <t>37-41</t>
  </si>
  <si>
    <t>L18</t>
  </si>
  <si>
    <t>M</t>
  </si>
  <si>
    <t>42-49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</si>
  <si>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</si>
  <si>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</si>
  <si>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</si>
  <si>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</si>
  <si>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</si>
  <si>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</si>
  <si>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</si>
  <si>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</si>
  <si>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</si>
  <si>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</si>
  <si>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</si>
  <si>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</si>
  <si>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</si>
  <si>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</si>
  <si>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</si>
  <si>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</si>
  <si>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</si>
  <si>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</si>
  <si>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</si>
  <si>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</si>
  <si>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</si>
  <si>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</si>
  <si>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</si>
  <si>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</si>
  <si>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</si>
  <si>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NET</t>
  </si>
  <si>
    <t>MSC</t>
  </si>
  <si>
    <t>NRD</t>
  </si>
  <si>
    <t>RED</t>
  </si>
  <si>
    <t>NJC</t>
  </si>
  <si>
    <t>NJC 19</t>
  </si>
  <si>
    <t>UQT 1</t>
  </si>
  <si>
    <t>UQT 2</t>
  </si>
  <si>
    <t>UQT 3</t>
  </si>
  <si>
    <t>UQT 4</t>
  </si>
  <si>
    <t>UQT 5</t>
  </si>
  <si>
    <t>UQT 6</t>
  </si>
  <si>
    <t>2</t>
  </si>
  <si>
    <t>West</t>
  </si>
  <si>
    <t>Charlotte Amy</t>
  </si>
  <si>
    <t>Redwell Primary School</t>
  </si>
  <si>
    <t>Harbison</t>
  </si>
  <si>
    <t>Leanne Jayne</t>
  </si>
  <si>
    <t>Hadaway</t>
  </si>
  <si>
    <t>Lydia</t>
  </si>
  <si>
    <t>Stanwick Academy</t>
  </si>
  <si>
    <t>Hepworth</t>
  </si>
  <si>
    <t>Sarah</t>
  </si>
  <si>
    <t>Cox</t>
  </si>
  <si>
    <t>Zoe</t>
  </si>
  <si>
    <t>James</t>
  </si>
  <si>
    <t>Jody</t>
  </si>
  <si>
    <t>Newton Road School</t>
  </si>
  <si>
    <t>Robinson</t>
  </si>
  <si>
    <t>St. Peter's C of E Primary Academy</t>
  </si>
  <si>
    <t>Location</t>
  </si>
  <si>
    <t>Surname</t>
  </si>
  <si>
    <t>First Name</t>
  </si>
  <si>
    <t>Emp Number</t>
  </si>
  <si>
    <t>TLR</t>
  </si>
  <si>
    <t>Monthly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</si>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</sst>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b/>
      <sz val="10"/>
      <color rgb="FF000000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8D08D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0D0D0D"/>
        <bgColor rgb="FF000000"/>
      </patternFill>
    </fill>
    <fill>
      <patternFill patternType="solid">
        <fgColor theme="1" tint="4.9989318521683403E-2"/>
        <bgColor rgb="FF000000"/>
      </patternFill>
    </fill>
    <fill>
      <patternFill patternType="solid">
        <fgColor rgb="FFC5E0B3"/>
        <bgColor indexed="64"/>
      </patternFill>
    </fill>
    <fill>
      <patternFill patternType="solid">
        <fgColor rgb="FFC5E0B3"/>
        <bgColor rgb="FF000000"/>
      </patternFill>
    </fill>
    <fill>
      <patternFill patternType="solid">
        <fgColor rgb="FFE2EFD9"/>
        <bgColor rgb="FF000000"/>
      </patternFill>
    </fill>
    <fill>
      <patternFill patternType="solid">
        <fgColor theme="5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1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43" fontId="3" fillId="0" borderId="0" xfId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5" fillId="0" borderId="0" xfId="0" applyFont="1"/>
    <xf numFmtId="17" fontId="2" fillId="0" borderId="2" xfId="1" applyNumberFormat="1" applyFont="1" applyBorder="1" applyAlignment="1">
      <alignment horizontal="center" vertical="center"/>
    </xf>
    <xf numFmtId="164" fontId="3" fillId="0" borderId="4" xfId="1" quotePrefix="1" applyNumberFormat="1" applyFont="1" applyFill="1" applyBorder="1" applyAlignment="1">
      <alignment horizontal="center" vertical="center"/>
    </xf>
    <xf numFmtId="17" fontId="3" fillId="0" borderId="4" xfId="1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1" applyNumberFormat="1" applyFont="1" applyFill="1"/>
    <xf numFmtId="10" fontId="0" fillId="0" borderId="0" xfId="2" applyNumberFormat="1" applyFont="1"/>
    <xf numFmtId="164" fontId="0" fillId="4" borderId="0" xfId="1" applyNumberFormat="1" applyFont="1" applyFill="1"/>
    <xf numFmtId="0" fontId="0" fillId="4" borderId="0" xfId="2" applyNumberFormat="1" applyFont="1" applyFill="1"/>
    <xf numFmtId="10" fontId="5" fillId="4" borderId="0" xfId="0" applyNumberFormat="1" applyFont="1" applyFill="1"/>
    <xf numFmtId="9" fontId="8" fillId="4" borderId="0" xfId="0" applyNumberFormat="1" applyFont="1" applyFill="1"/>
    <xf numFmtId="0" fontId="8" fillId="0" borderId="0" xfId="0" applyFont="1"/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8" borderId="4" xfId="0" applyFont="1" applyFill="1" applyBorder="1" applyAlignment="1">
      <alignment horizontal="center" vertical="center" wrapText="1"/>
    </xf>
    <xf numFmtId="164" fontId="2" fillId="8" borderId="6" xfId="1" applyNumberFormat="1" applyFont="1" applyFill="1" applyBorder="1" applyAlignment="1">
      <alignment vertical="center"/>
    </xf>
    <xf numFmtId="165" fontId="0" fillId="2" borderId="5" xfId="2" applyNumberFormat="1" applyFont="1" applyFill="1" applyBorder="1" applyAlignment="1">
      <alignment horizontal="center" vertical="center"/>
    </xf>
    <xf numFmtId="9" fontId="0" fillId="9" borderId="5" xfId="2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64" fontId="0" fillId="0" borderId="20" xfId="1" applyNumberFormat="1" applyFont="1" applyBorder="1" applyAlignment="1">
      <alignment vertical="center"/>
    </xf>
    <xf numFmtId="165" fontId="0" fillId="3" borderId="21" xfId="2" applyNumberFormat="1" applyFont="1" applyFill="1" applyBorder="1" applyAlignment="1">
      <alignment horizontal="center" vertical="center"/>
    </xf>
    <xf numFmtId="164" fontId="0" fillId="3" borderId="22" xfId="1" applyNumberFormat="1" applyFont="1" applyFill="1" applyBorder="1" applyAlignment="1">
      <alignment vertical="center"/>
    </xf>
    <xf numFmtId="9" fontId="0" fillId="0" borderId="21" xfId="2" applyFont="1" applyBorder="1" applyAlignment="1">
      <alignment horizontal="center" vertical="center"/>
    </xf>
    <xf numFmtId="164" fontId="0" fillId="0" borderId="22" xfId="1" applyNumberFormat="1" applyFont="1" applyBorder="1" applyAlignment="1">
      <alignment vertical="center"/>
    </xf>
    <xf numFmtId="0" fontId="0" fillId="0" borderId="20" xfId="0" applyBorder="1" applyAlignment="1">
      <alignment horizontal="center" vertical="center"/>
    </xf>
    <xf numFmtId="165" fontId="0" fillId="0" borderId="21" xfId="2" applyNumberFormat="1" applyFont="1" applyBorder="1" applyAlignment="1">
      <alignment horizontal="center" vertical="center"/>
    </xf>
    <xf numFmtId="164" fontId="0" fillId="0" borderId="23" xfId="1" applyNumberFormat="1" applyFont="1" applyBorder="1" applyAlignment="1">
      <alignment vertical="center"/>
    </xf>
    <xf numFmtId="0" fontId="2" fillId="0" borderId="24" xfId="0" applyFont="1" applyBorder="1" applyAlignment="1">
      <alignment horizontal="center" vertical="center"/>
    </xf>
    <xf numFmtId="165" fontId="0" fillId="3" borderId="21" xfId="2" applyNumberFormat="1" applyFont="1" applyFill="1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164" fontId="0" fillId="0" borderId="6" xfId="1" applyNumberFormat="1" applyFont="1" applyBorder="1" applyAlignment="1">
      <alignment vertical="center"/>
    </xf>
    <xf numFmtId="165" fontId="0" fillId="3" borderId="5" xfId="2" applyNumberFormat="1" applyFont="1" applyFill="1" applyBorder="1" applyAlignment="1">
      <alignment horizontal="center" vertical="center"/>
    </xf>
    <xf numFmtId="9" fontId="0" fillId="0" borderId="5" xfId="2" applyFont="1" applyBorder="1" applyAlignment="1">
      <alignment horizontal="center" vertical="center"/>
    </xf>
    <xf numFmtId="17" fontId="9" fillId="0" borderId="25" xfId="0" applyNumberFormat="1" applyFont="1" applyBorder="1" applyAlignment="1">
      <alignment vertical="center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2" fillId="8" borderId="28" xfId="0" applyFont="1" applyFill="1" applyBorder="1" applyAlignment="1">
      <alignment horizontal="center" vertical="center" wrapText="1"/>
    </xf>
    <xf numFmtId="164" fontId="2" fillId="8" borderId="27" xfId="1" applyNumberFormat="1" applyFont="1" applyFill="1" applyBorder="1" applyAlignment="1">
      <alignment vertical="center"/>
    </xf>
    <xf numFmtId="165" fontId="0" fillId="2" borderId="29" xfId="2" applyNumberFormat="1" applyFont="1" applyFill="1" applyBorder="1" applyAlignment="1">
      <alignment horizontal="center" vertical="center"/>
    </xf>
    <xf numFmtId="9" fontId="0" fillId="9" borderId="29" xfId="2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164" fontId="0" fillId="0" borderId="28" xfId="1" applyNumberFormat="1" applyFont="1" applyBorder="1" applyAlignment="1">
      <alignment vertical="center"/>
    </xf>
    <xf numFmtId="165" fontId="0" fillId="3" borderId="29" xfId="2" applyNumberFormat="1" applyFont="1" applyFill="1" applyBorder="1" applyAlignment="1">
      <alignment horizontal="center" vertical="center"/>
    </xf>
    <xf numFmtId="164" fontId="0" fillId="3" borderId="27" xfId="1" applyNumberFormat="1" applyFont="1" applyFill="1" applyBorder="1" applyAlignment="1">
      <alignment vertical="center"/>
    </xf>
    <xf numFmtId="9" fontId="0" fillId="0" borderId="29" xfId="2" applyFont="1" applyBorder="1" applyAlignment="1">
      <alignment horizontal="center" vertical="center"/>
    </xf>
    <xf numFmtId="164" fontId="0" fillId="0" borderId="27" xfId="1" applyNumberFormat="1" applyFont="1" applyBorder="1" applyAlignment="1">
      <alignment vertical="center"/>
    </xf>
    <xf numFmtId="0" fontId="0" fillId="0" borderId="28" xfId="0" applyBorder="1" applyAlignment="1">
      <alignment horizontal="center" vertical="center"/>
    </xf>
    <xf numFmtId="165" fontId="0" fillId="0" borderId="29" xfId="2" applyNumberFormat="1" applyFont="1" applyBorder="1" applyAlignment="1">
      <alignment horizontal="center" vertical="center"/>
    </xf>
    <xf numFmtId="164" fontId="0" fillId="0" borderId="26" xfId="1" applyNumberFormat="1" applyFont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165" fontId="0" fillId="3" borderId="29" xfId="2" applyNumberFormat="1" applyFont="1" applyFill="1" applyBorder="1" applyAlignment="1">
      <alignment vertical="center"/>
    </xf>
    <xf numFmtId="0" fontId="0" fillId="0" borderId="28" xfId="0" applyBorder="1" applyAlignment="1">
      <alignment horizontal="center" vertical="center" wrapText="1"/>
    </xf>
    <xf numFmtId="0" fontId="9" fillId="0" borderId="25" xfId="0" applyFont="1" applyBorder="1" applyAlignment="1">
      <alignment vertical="center"/>
    </xf>
    <xf numFmtId="10" fontId="5" fillId="0" borderId="26" xfId="0" applyNumberFormat="1" applyFont="1" applyBorder="1" applyAlignment="1">
      <alignment vertical="center"/>
    </xf>
    <xf numFmtId="10" fontId="5" fillId="0" borderId="27" xfId="0" applyNumberFormat="1" applyFont="1" applyBorder="1" applyAlignment="1">
      <alignment vertical="center"/>
    </xf>
    <xf numFmtId="0" fontId="12" fillId="5" borderId="30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10" fontId="2" fillId="0" borderId="0" xfId="2" applyNumberFormat="1" applyFont="1" applyAlignment="1">
      <alignment vertical="center"/>
    </xf>
    <xf numFmtId="0" fontId="12" fillId="5" borderId="16" xfId="0" applyFont="1" applyFill="1" applyBorder="1" applyAlignment="1">
      <alignment horizontal="center" vertical="center" wrapText="1"/>
    </xf>
    <xf numFmtId="0" fontId="12" fillId="5" borderId="31" xfId="0" applyFont="1" applyFill="1" applyBorder="1" applyAlignment="1">
      <alignment horizontal="center" vertical="center" wrapText="1"/>
    </xf>
    <xf numFmtId="0" fontId="12" fillId="6" borderId="16" xfId="0" applyFont="1" applyFill="1" applyBorder="1" applyAlignment="1">
      <alignment horizontal="center" vertical="center" wrapText="1"/>
    </xf>
    <xf numFmtId="0" fontId="12" fillId="6" borderId="31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2" fillId="7" borderId="31" xfId="0" applyFont="1" applyFill="1" applyBorder="1" applyAlignment="1">
      <alignment horizontal="center" vertical="center" wrapText="1"/>
    </xf>
    <xf numFmtId="0" fontId="13" fillId="7" borderId="32" xfId="0" applyFont="1" applyFill="1" applyBorder="1" applyAlignment="1">
      <alignment wrapText="1"/>
    </xf>
    <xf numFmtId="17" fontId="9" fillId="0" borderId="14" xfId="0" applyNumberFormat="1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12" fillId="10" borderId="8" xfId="0" applyFont="1" applyFill="1" applyBorder="1" applyAlignment="1">
      <alignment horizontal="center" vertical="center" wrapText="1"/>
    </xf>
    <xf numFmtId="0" fontId="14" fillId="10" borderId="33" xfId="0" applyFont="1" applyFill="1" applyBorder="1" applyAlignment="1">
      <alignment horizontal="center" vertical="center" wrapText="1"/>
    </xf>
    <xf numFmtId="43" fontId="0" fillId="0" borderId="0" xfId="0" applyNumberFormat="1"/>
    <xf numFmtId="164" fontId="14" fillId="10" borderId="34" xfId="1" applyNumberFormat="1" applyFont="1" applyFill="1" applyBorder="1" applyAlignment="1">
      <alignment horizontal="center" vertical="center" wrapText="1"/>
    </xf>
    <xf numFmtId="43" fontId="14" fillId="10" borderId="35" xfId="1" applyFont="1" applyFill="1" applyBorder="1" applyAlignment="1">
      <alignment horizontal="center" vertical="center" wrapText="1"/>
    </xf>
    <xf numFmtId="0" fontId="14" fillId="11" borderId="34" xfId="0" applyFont="1" applyFill="1" applyBorder="1" applyAlignment="1">
      <alignment horizontal="center" vertical="center" wrapText="1"/>
    </xf>
    <xf numFmtId="0" fontId="14" fillId="11" borderId="35" xfId="0" applyFont="1" applyFill="1" applyBorder="1" applyAlignment="1">
      <alignment horizontal="center" vertical="center" wrapText="1"/>
    </xf>
    <xf numFmtId="0" fontId="14" fillId="12" borderId="34" xfId="0" applyFont="1" applyFill="1" applyBorder="1" applyAlignment="1">
      <alignment horizontal="center" vertical="center" wrapText="1"/>
    </xf>
    <xf numFmtId="0" fontId="14" fillId="12" borderId="35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165" fontId="0" fillId="0" borderId="12" xfId="2" applyNumberFormat="1" applyFont="1" applyBorder="1" applyAlignment="1">
      <alignment horizontal="center" vertical="center"/>
    </xf>
    <xf numFmtId="164" fontId="0" fillId="0" borderId="13" xfId="1" applyNumberFormat="1" applyFont="1" applyBorder="1" applyAlignment="1">
      <alignment vertical="center"/>
    </xf>
    <xf numFmtId="164" fontId="0" fillId="0" borderId="9" xfId="1" applyNumberFormat="1" applyFont="1" applyBorder="1" applyAlignment="1">
      <alignment vertical="center"/>
    </xf>
    <xf numFmtId="0" fontId="14" fillId="13" borderId="33" xfId="0" applyFont="1" applyFill="1" applyBorder="1" applyAlignment="1">
      <alignment horizontal="center" vertical="center" wrapText="1"/>
    </xf>
    <xf numFmtId="164" fontId="14" fillId="13" borderId="34" xfId="1" applyNumberFormat="1" applyFont="1" applyFill="1" applyBorder="1" applyAlignment="1">
      <alignment horizontal="center" vertical="center" wrapText="1"/>
    </xf>
    <xf numFmtId="43" fontId="14" fillId="13" borderId="35" xfId="1" applyFont="1" applyFill="1" applyBorder="1" applyAlignment="1">
      <alignment horizontal="center" vertical="center" wrapText="1"/>
    </xf>
    <xf numFmtId="3" fontId="14" fillId="14" borderId="34" xfId="0" applyNumberFormat="1" applyFont="1" applyFill="1" applyBorder="1" applyAlignment="1">
      <alignment horizontal="center" vertical="center" wrapText="1"/>
    </xf>
    <xf numFmtId="0" fontId="14" fillId="14" borderId="35" xfId="0" applyFont="1" applyFill="1" applyBorder="1" applyAlignment="1">
      <alignment horizontal="center" vertical="center" wrapText="1"/>
    </xf>
    <xf numFmtId="2" fontId="14" fillId="14" borderId="3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5" fontId="0" fillId="3" borderId="36" xfId="2" applyNumberFormat="1" applyFont="1" applyFill="1" applyBorder="1" applyAlignment="1">
      <alignment horizontal="center" vertical="center"/>
    </xf>
    <xf numFmtId="9" fontId="0" fillId="0" borderId="36" xfId="2" applyFont="1" applyBorder="1" applyAlignment="1">
      <alignment horizontal="center" vertical="center"/>
    </xf>
    <xf numFmtId="164" fontId="0" fillId="0" borderId="35" xfId="1" applyNumberFormat="1" applyFont="1" applyBorder="1" applyAlignment="1">
      <alignment vertical="center"/>
    </xf>
    <xf numFmtId="0" fontId="2" fillId="0" borderId="3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4" fillId="15" borderId="35" xfId="0" applyFont="1" applyFill="1" applyBorder="1" applyAlignment="1">
      <alignment horizontal="center" vertical="center" wrapText="1"/>
    </xf>
    <xf numFmtId="0" fontId="2" fillId="16" borderId="28" xfId="0" applyFont="1" applyFill="1" applyBorder="1" applyAlignment="1">
      <alignment horizontal="center" vertical="center" wrapText="1"/>
    </xf>
    <xf numFmtId="164" fontId="2" fillId="16" borderId="27" xfId="1" applyNumberFormat="1" applyFont="1" applyFill="1" applyBorder="1" applyAlignment="1">
      <alignment vertical="center"/>
    </xf>
    <xf numFmtId="0" fontId="0" fillId="0" borderId="21" xfId="0" applyBorder="1" applyAlignment="1">
      <alignment horizontal="center"/>
    </xf>
    <xf numFmtId="16" fontId="0" fillId="0" borderId="22" xfId="0" quotePrefix="1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7" xfId="0" quotePrefix="1" applyBorder="1" applyAlignment="1">
      <alignment horizontal="center"/>
    </xf>
    <xf numFmtId="0" fontId="2" fillId="16" borderId="11" xfId="0" applyFont="1" applyFill="1" applyBorder="1" applyAlignment="1">
      <alignment horizontal="center" vertical="center" wrapText="1"/>
    </xf>
    <xf numFmtId="164" fontId="2" fillId="16" borderId="9" xfId="1" applyNumberFormat="1" applyFont="1" applyFill="1" applyBorder="1" applyAlignment="1">
      <alignment vertical="center"/>
    </xf>
    <xf numFmtId="9" fontId="0" fillId="9" borderId="12" xfId="2" applyFont="1" applyFill="1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164" fontId="0" fillId="0" borderId="11" xfId="1" applyNumberFormat="1" applyFont="1" applyBorder="1" applyAlignment="1">
      <alignment vertical="center"/>
    </xf>
    <xf numFmtId="165" fontId="0" fillId="3" borderId="12" xfId="2" applyNumberFormat="1" applyFont="1" applyFill="1" applyBorder="1" applyAlignment="1">
      <alignment horizontal="center" vertical="center"/>
    </xf>
    <xf numFmtId="164" fontId="0" fillId="3" borderId="9" xfId="1" applyNumberFormat="1" applyFont="1" applyFill="1" applyBorder="1" applyAlignment="1">
      <alignment vertical="center"/>
    </xf>
    <xf numFmtId="9" fontId="0" fillId="0" borderId="12" xfId="2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165" fontId="0" fillId="3" borderId="12" xfId="2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/>
    <xf numFmtId="0" fontId="10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164" fontId="4" fillId="0" borderId="39" xfId="1" applyNumberFormat="1" applyFont="1" applyBorder="1" applyAlignment="1">
      <alignment horizontal="center"/>
    </xf>
    <xf numFmtId="164" fontId="4" fillId="0" borderId="40" xfId="1" applyNumberFormat="1" applyFont="1" applyBorder="1" applyAlignment="1">
      <alignment horizontal="center"/>
    </xf>
    <xf numFmtId="164" fontId="4" fillId="0" borderId="41" xfId="1" applyNumberFormat="1" applyFont="1" applyBorder="1" applyAlignment="1">
      <alignment horizontal="center"/>
    </xf>
    <xf numFmtId="10" fontId="0" fillId="4" borderId="0" xfId="2" applyNumberFormat="1" applyFont="1" applyFill="1"/>
    <xf numFmtId="0" fontId="2" fillId="0" borderId="34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164" fontId="0" fillId="0" borderId="42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2" fillId="0" borderId="0" xfId="1" applyNumberFormat="1" applyFont="1" applyBorder="1" applyAlignment="1">
      <alignment horizontal="center" wrapText="1"/>
    </xf>
    <xf numFmtId="164" fontId="1" fillId="0" borderId="0" xfId="1" applyNumberFormat="1" applyFont="1" applyBorder="1" applyAlignment="1">
      <alignment horizontal="center" wrapText="1"/>
    </xf>
    <xf numFmtId="164" fontId="2" fillId="0" borderId="43" xfId="1" applyNumberFormat="1" applyFont="1" applyBorder="1" applyAlignment="1">
      <alignment horizontal="center" wrapText="1"/>
    </xf>
    <xf numFmtId="165" fontId="0" fillId="9" borderId="5" xfId="2" applyNumberFormat="1" applyFont="1" applyFill="1" applyBorder="1" applyAlignment="1">
      <alignment horizontal="center" vertical="center"/>
    </xf>
    <xf numFmtId="9" fontId="0" fillId="3" borderId="21" xfId="2" applyFont="1" applyFill="1" applyBorder="1" applyAlignment="1">
      <alignment horizontal="center" vertical="center"/>
    </xf>
    <xf numFmtId="164" fontId="0" fillId="0" borderId="44" xfId="1" applyNumberFormat="1" applyFont="1" applyBorder="1"/>
    <xf numFmtId="164" fontId="0" fillId="0" borderId="45" xfId="1" applyNumberFormat="1" applyFont="1" applyBorder="1"/>
    <xf numFmtId="164" fontId="0" fillId="0" borderId="45" xfId="0" applyNumberFormat="1" applyBorder="1"/>
    <xf numFmtId="164" fontId="0" fillId="0" borderId="46" xfId="1" applyNumberFormat="1" applyFont="1" applyBorder="1"/>
    <xf numFmtId="165" fontId="0" fillId="9" borderId="29" xfId="2" applyNumberFormat="1" applyFont="1" applyFill="1" applyBorder="1" applyAlignment="1">
      <alignment horizontal="center" vertical="center"/>
    </xf>
    <xf numFmtId="10" fontId="2" fillId="0" borderId="0" xfId="2" applyNumberFormat="1" applyFont="1"/>
    <xf numFmtId="9" fontId="2" fillId="0" borderId="0" xfId="2" applyFont="1" applyAlignment="1">
      <alignment horizontal="center"/>
    </xf>
    <xf numFmtId="9" fontId="0" fillId="0" borderId="0" xfId="2" applyFont="1"/>
    <xf numFmtId="164" fontId="0" fillId="0" borderId="0" xfId="0" applyNumberFormat="1" applyAlignment="1">
      <alignment vertical="center"/>
    </xf>
    <xf numFmtId="165" fontId="0" fillId="9" borderId="12" xfId="2" applyNumberFormat="1" applyFont="1" applyFill="1" applyBorder="1" applyAlignment="1">
      <alignment horizontal="center" vertical="center"/>
    </xf>
    <xf numFmtId="165" fontId="5" fillId="0" borderId="21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vertical="center"/>
    </xf>
    <xf numFmtId="3" fontId="5" fillId="0" borderId="22" xfId="0" applyNumberFormat="1" applyFont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3" fontId="5" fillId="0" borderId="26" xfId="0" applyNumberFormat="1" applyFont="1" applyBorder="1" applyAlignment="1">
      <alignment vertical="center"/>
    </xf>
    <xf numFmtId="3" fontId="5" fillId="0" borderId="27" xfId="0" applyNumberFormat="1" applyFont="1" applyBorder="1" applyAlignment="1">
      <alignment vertical="center"/>
    </xf>
    <xf numFmtId="165" fontId="5" fillId="0" borderId="36" xfId="0" applyNumberFormat="1" applyFont="1" applyBorder="1" applyAlignment="1">
      <alignment horizontal="center" vertical="center"/>
    </xf>
    <xf numFmtId="3" fontId="5" fillId="0" borderId="13" xfId="0" applyNumberFormat="1" applyFont="1" applyBorder="1" applyAlignment="1">
      <alignment vertical="center"/>
    </xf>
    <xf numFmtId="3" fontId="5" fillId="0" borderId="9" xfId="0" applyNumberFormat="1" applyFont="1" applyBorder="1" applyAlignment="1">
      <alignment vertical="center"/>
    </xf>
    <xf numFmtId="165" fontId="0" fillId="0" borderId="5" xfId="2" applyNumberFormat="1" applyFont="1" applyBorder="1" applyAlignment="1">
      <alignment horizontal="center" vertical="center"/>
    </xf>
    <xf numFmtId="164" fontId="0" fillId="3" borderId="6" xfId="1" applyNumberFormat="1" applyFont="1" applyFill="1" applyBorder="1" applyAlignment="1">
      <alignment vertical="center"/>
    </xf>
    <xf numFmtId="165" fontId="0" fillId="0" borderId="36" xfId="2" applyNumberFormat="1" applyFont="1" applyBorder="1" applyAlignment="1">
      <alignment horizontal="center" vertical="center"/>
    </xf>
    <xf numFmtId="165" fontId="0" fillId="3" borderId="37" xfId="2" applyNumberFormat="1" applyFont="1" applyFill="1" applyBorder="1" applyAlignment="1">
      <alignment horizontal="center" vertical="center"/>
    </xf>
    <xf numFmtId="164" fontId="0" fillId="3" borderId="35" xfId="1" applyNumberFormat="1" applyFont="1" applyFill="1" applyBorder="1" applyAlignment="1">
      <alignment vertical="center"/>
    </xf>
    <xf numFmtId="9" fontId="0" fillId="0" borderId="47" xfId="2" applyFont="1" applyBorder="1"/>
    <xf numFmtId="164" fontId="0" fillId="0" borderId="47" xfId="1" applyNumberFormat="1" applyFont="1" applyBorder="1"/>
    <xf numFmtId="0" fontId="2" fillId="0" borderId="0" xfId="0" applyFont="1"/>
    <xf numFmtId="0" fontId="2" fillId="0" borderId="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7" fontId="2" fillId="2" borderId="3" xfId="1" applyNumberFormat="1" applyFont="1" applyFill="1" applyBorder="1" applyAlignment="1">
      <alignment horizontal="center" vertical="center"/>
    </xf>
    <xf numFmtId="17" fontId="2" fillId="2" borderId="2" xfId="1" applyNumberFormat="1" applyFont="1" applyFill="1" applyBorder="1" applyAlignment="1">
      <alignment horizontal="center" vertical="center"/>
    </xf>
    <xf numFmtId="17" fontId="2" fillId="0" borderId="3" xfId="1" applyNumberFormat="1" applyFont="1" applyBorder="1" applyAlignment="1">
      <alignment horizontal="center" vertical="center"/>
    </xf>
    <xf numFmtId="17" fontId="2" fillId="0" borderId="2" xfId="1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17" fontId="3" fillId="2" borderId="5" xfId="1" applyNumberFormat="1" applyFont="1" applyFill="1" applyBorder="1" applyAlignment="1">
      <alignment horizontal="center" vertical="center"/>
    </xf>
    <xf numFmtId="17" fontId="3" fillId="2" borderId="6" xfId="1" applyNumberFormat="1" applyFont="1" applyFill="1" applyBorder="1" applyAlignment="1">
      <alignment horizontal="center" vertical="center"/>
    </xf>
    <xf numFmtId="17" fontId="3" fillId="0" borderId="5" xfId="1" applyNumberFormat="1" applyFont="1" applyFill="1" applyBorder="1" applyAlignment="1">
      <alignment horizontal="center" vertical="center"/>
    </xf>
    <xf numFmtId="17" fontId="3" fillId="0" borderId="6" xfId="1" applyNumberFormat="1" applyFont="1" applyFill="1" applyBorder="1" applyAlignment="1">
      <alignment horizontal="center" vertical="center"/>
    </xf>
    <xf numFmtId="17" fontId="3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" fontId="3" fillId="3" borderId="3" xfId="1" applyNumberFormat="1" applyFont="1" applyFill="1" applyBorder="1" applyAlignment="1">
      <alignment horizontal="center" vertical="center"/>
    </xf>
    <xf numFmtId="17" fontId="3" fillId="3" borderId="2" xfId="1" applyNumberFormat="1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17" xfId="0" applyFont="1" applyFill="1" applyBorder="1" applyAlignment="1">
      <alignment horizontal="center" vertical="center" wrapText="1"/>
    </xf>
    <xf numFmtId="0" fontId="11" fillId="7" borderId="16" xfId="0" applyFont="1" applyFill="1" applyBorder="1" applyAlignment="1">
      <alignment horizontal="center" wrapText="1"/>
    </xf>
    <xf numFmtId="0" fontId="11" fillId="7" borderId="19" xfId="0" applyFont="1" applyFill="1" applyBorder="1" applyAlignment="1">
      <alignment horizontal="center" wrapText="1"/>
    </xf>
    <xf numFmtId="17" fontId="10" fillId="6" borderId="16" xfId="0" applyNumberFormat="1" applyFont="1" applyFill="1" applyBorder="1" applyAlignment="1">
      <alignment horizontal="center" vertical="center" wrapText="1"/>
    </xf>
    <xf numFmtId="17" fontId="10" fillId="5" borderId="16" xfId="0" applyNumberFormat="1" applyFont="1" applyFill="1" applyBorder="1" applyAlignment="1">
      <alignment horizontal="center" vertical="center" wrapText="1"/>
    </xf>
    <xf numFmtId="17" fontId="10" fillId="7" borderId="16" xfId="0" applyNumberFormat="1" applyFont="1" applyFill="1" applyBorder="1" applyAlignment="1">
      <alignment horizontal="center" vertical="center" wrapText="1"/>
    </xf>
    <xf numFmtId="17" fontId="10" fillId="7" borderId="18" xfId="0" applyNumberFormat="1" applyFont="1" applyFill="1" applyBorder="1" applyAlignment="1">
      <alignment horizontal="center" vertical="center" wrapText="1"/>
    </xf>
    <xf numFmtId="17" fontId="11" fillId="7" borderId="16" xfId="0" applyNumberFormat="1" applyFont="1" applyFill="1" applyBorder="1" applyAlignment="1">
      <alignment horizontal="center" wrapText="1"/>
    </xf>
    <xf numFmtId="17" fontId="11" fillId="7" borderId="19" xfId="0" applyNumberFormat="1" applyFont="1" applyFill="1" applyBorder="1" applyAlignment="1">
      <alignment horizontal="center" wrapText="1"/>
    </xf>
    <xf numFmtId="0" fontId="10" fillId="7" borderId="16" xfId="0" applyFont="1" applyFill="1" applyBorder="1" applyAlignment="1">
      <alignment horizontal="center" vertical="center" wrapText="1"/>
    </xf>
    <xf numFmtId="0" fontId="10" fillId="7" borderId="18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38" xfId="0" applyFont="1" applyFill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8" xfId="0" applyFont="1" applyFill="1" applyBorder="1" applyAlignment="1">
      <alignment horizontal="center" vertical="center" wrapText="1"/>
    </xf>
    <xf numFmtId="0" fontId="12" fillId="13" borderId="38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17" fontId="3" fillId="3" borderId="5" xfId="1" applyNumberFormat="1" applyFont="1" applyFill="1" applyBorder="1" applyAlignment="1">
      <alignment horizontal="center" vertical="center"/>
    </xf>
    <xf numFmtId="17" fontId="3" fillId="3" borderId="6" xfId="1" applyNumberFormat="1" applyFont="1" applyFill="1" applyBorder="1" applyAlignment="1">
      <alignment horizontal="center" vertical="center"/>
    </xf>
    <xf numFmtId="0" fontId="15" fillId="0" borderId="32" xfId="0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6A5B-0747-484B-9F73-E68B56CA1E2A}">
  <dimension ref="A1:BF58"/>
  <sheetViews>
    <sheetView topLeftCell="AI1" workbookViewId="0">
      <selection activeCell="BP9" sqref="BP9"/>
    </sheetView>
  </sheetViews>
  <sheetFormatPr defaultColWidth="9.33203125" defaultRowHeight="14.4" x14ac:dyDescent="0.3"/>
  <cols>
    <col min="1" max="2" width="11.6640625" style="2" hidden="1" customWidth="1"/>
    <col min="3" max="3" width="9.6640625" style="2" hidden="1" customWidth="1"/>
    <col min="4" max="4" width="11.6640625" style="2" hidden="1" customWidth="1"/>
    <col min="5" max="5" width="9.6640625" style="2" hidden="1" customWidth="1"/>
    <col min="6" max="6" width="11.6640625" style="2" hidden="1" customWidth="1"/>
    <col min="7" max="7" width="1.6640625" style="2" hidden="1" customWidth="1"/>
    <col min="8" max="9" width="11.6640625" style="2" hidden="1" customWidth="1"/>
    <col min="10" max="10" width="9.6640625" style="2" hidden="1" customWidth="1"/>
    <col min="11" max="11" width="11.6640625" style="2" hidden="1" customWidth="1"/>
    <col min="12" max="12" width="9.6640625" style="2" hidden="1" customWidth="1"/>
    <col min="13" max="13" width="11.6640625" style="2" hidden="1" customWidth="1"/>
    <col min="14" max="14" width="1.6640625" style="2" hidden="1" customWidth="1"/>
    <col min="15" max="15" width="11.6640625" style="2" hidden="1" customWidth="1"/>
    <col min="16" max="18" width="9.6640625" style="2" hidden="1" customWidth="1"/>
    <col min="19" max="19" width="6.6640625" style="2" hidden="1" customWidth="1"/>
    <col min="20" max="20" width="1.6640625" style="2" hidden="1" customWidth="1"/>
    <col min="21" max="21" width="11.6640625" style="132" hidden="1" customWidth="1"/>
    <col min="22" max="22" width="11.6640625" style="2" hidden="1" customWidth="1"/>
    <col min="23" max="23" width="9.33203125" style="2" hidden="1" customWidth="1"/>
    <col min="24" max="24" width="11.6640625" style="2" hidden="1" customWidth="1"/>
    <col min="25" max="25" width="9.33203125" style="2" hidden="1" customWidth="1"/>
    <col min="26" max="26" width="11.6640625" style="2" hidden="1" customWidth="1"/>
    <col min="27" max="27" width="1.6640625" style="2" hidden="1" customWidth="1"/>
    <col min="28" max="29" width="11.6640625" style="2" hidden="1" customWidth="1"/>
    <col min="30" max="30" width="9.6640625" style="2" hidden="1" customWidth="1"/>
    <col min="31" max="31" width="11.6640625" style="2" hidden="1" customWidth="1"/>
    <col min="32" max="32" width="9.6640625" style="2" hidden="1" customWidth="1"/>
    <col min="33" max="33" width="11.6640625" style="2" hidden="1" customWidth="1"/>
    <col min="34" max="34" width="1.6640625" style="2" hidden="1" customWidth="1"/>
    <col min="35" max="35" width="9.33203125" style="2"/>
    <col min="36" max="40" width="10.6640625" style="2" customWidth="1"/>
    <col min="41" max="41" width="1.6640625" style="2" customWidth="1"/>
    <col min="42" max="43" width="9.33203125" style="13"/>
    <col min="44" max="44" width="1.6640625" customWidth="1"/>
    <col min="45" max="45" width="12.33203125" style="133" hidden="1" customWidth="1"/>
    <col min="46" max="46" width="12.33203125" hidden="1" customWidth="1"/>
    <col min="47" max="47" width="1.6640625" hidden="1" customWidth="1"/>
    <col min="48" max="48" width="12.33203125" style="133" hidden="1" customWidth="1"/>
    <col min="49" max="49" width="12.33203125" hidden="1" customWidth="1"/>
    <col min="50" max="50" width="1.6640625" customWidth="1"/>
    <col min="51" max="51" width="12.33203125" style="133" customWidth="1"/>
    <col min="52" max="52" width="12.33203125" customWidth="1"/>
    <col min="53" max="53" width="1.6640625" customWidth="1"/>
    <col min="54" max="55" width="8.6640625" customWidth="1"/>
    <col min="56" max="56" width="2" style="2" customWidth="1"/>
    <col min="57" max="16384" width="9.33203125" style="2"/>
  </cols>
  <sheetData>
    <row r="1" spans="1:58" ht="18.600000000000001" thickBot="1" x14ac:dyDescent="0.4">
      <c r="A1" s="1" t="s">
        <v>0</v>
      </c>
      <c r="H1" s="1" t="s">
        <v>1</v>
      </c>
      <c r="J1" s="3"/>
      <c r="K1" s="3"/>
      <c r="L1" s="3"/>
      <c r="M1" s="3"/>
      <c r="O1" s="1" t="s">
        <v>2</v>
      </c>
      <c r="U1" s="4" t="s">
        <v>3</v>
      </c>
      <c r="W1" s="1"/>
      <c r="X1" s="1"/>
      <c r="Y1" s="1"/>
      <c r="AB1" s="4" t="s">
        <v>4</v>
      </c>
      <c r="AI1" s="5"/>
      <c r="AP1" s="5" t="s">
        <v>5</v>
      </c>
      <c r="AQ1" s="6"/>
      <c r="AR1" s="6"/>
      <c r="AS1" s="6"/>
      <c r="AT1" s="6"/>
      <c r="AU1" s="6"/>
      <c r="AV1" s="6"/>
      <c r="AW1" s="6"/>
      <c r="AX1" s="6"/>
      <c r="AY1" s="6"/>
      <c r="AZ1" s="6"/>
      <c r="BB1" s="7"/>
      <c r="BC1" s="7"/>
    </row>
    <row r="2" spans="1:58" ht="18.75" customHeight="1" thickBot="1" x14ac:dyDescent="0.35">
      <c r="A2" s="180" t="s">
        <v>6</v>
      </c>
      <c r="B2" s="8">
        <v>44805</v>
      </c>
      <c r="C2" s="182">
        <v>45170</v>
      </c>
      <c r="D2" s="183"/>
      <c r="E2" s="184">
        <v>45536</v>
      </c>
      <c r="F2" s="185"/>
      <c r="H2" s="186" t="s">
        <v>7</v>
      </c>
      <c r="I2" s="9" t="s">
        <v>8</v>
      </c>
      <c r="J2" s="188">
        <v>45170</v>
      </c>
      <c r="K2" s="189"/>
      <c r="L2" s="190">
        <v>45536</v>
      </c>
      <c r="M2" s="191"/>
      <c r="O2" s="186" t="s">
        <v>9</v>
      </c>
      <c r="P2" s="192">
        <v>45170</v>
      </c>
      <c r="Q2" s="193"/>
      <c r="R2" s="194"/>
      <c r="U2" s="178" t="s">
        <v>10</v>
      </c>
      <c r="V2" s="10">
        <v>44805</v>
      </c>
      <c r="W2" s="195">
        <v>45170</v>
      </c>
      <c r="X2" s="196"/>
      <c r="Y2" s="190">
        <v>45536</v>
      </c>
      <c r="Z2" s="191"/>
      <c r="AB2" s="178" t="s">
        <v>11</v>
      </c>
      <c r="AC2" s="10">
        <v>44805</v>
      </c>
      <c r="AD2" s="195">
        <v>45170</v>
      </c>
      <c r="AE2" s="196"/>
      <c r="AF2" s="190">
        <v>45536</v>
      </c>
      <c r="AG2" s="191"/>
      <c r="AI2" s="5"/>
      <c r="AJ2" s="11"/>
      <c r="AK2" s="11"/>
      <c r="AL2" s="11"/>
      <c r="AM2" s="11"/>
      <c r="AN2" s="11"/>
      <c r="AP2" s="12"/>
      <c r="AS2" s="14">
        <v>1925</v>
      </c>
      <c r="AT2" s="15">
        <v>5.1779222209981271E-4</v>
      </c>
      <c r="AV2" s="16">
        <v>1925</v>
      </c>
      <c r="AW2" s="15">
        <v>5.1779222209981303E-4</v>
      </c>
      <c r="AY2" s="17">
        <v>1290</v>
      </c>
      <c r="AZ2" s="15">
        <v>5.1779222209981303E-4</v>
      </c>
      <c r="BB2" s="18">
        <v>3.2000000000000001E-2</v>
      </c>
      <c r="BC2" s="7"/>
      <c r="BE2" s="19">
        <v>0.03</v>
      </c>
      <c r="BF2" s="20"/>
    </row>
    <row r="3" spans="1:58" ht="29.4" thickBot="1" x14ac:dyDescent="0.35">
      <c r="A3" s="181"/>
      <c r="B3" s="21" t="s">
        <v>12</v>
      </c>
      <c r="C3" s="22" t="s">
        <v>13</v>
      </c>
      <c r="D3" s="21" t="s">
        <v>12</v>
      </c>
      <c r="E3" s="22" t="s">
        <v>13</v>
      </c>
      <c r="F3" s="21" t="s">
        <v>12</v>
      </c>
      <c r="H3" s="187"/>
      <c r="I3" s="23" t="s">
        <v>12</v>
      </c>
      <c r="J3" s="24" t="s">
        <v>13</v>
      </c>
      <c r="K3" s="21" t="s">
        <v>12</v>
      </c>
      <c r="L3" s="24" t="s">
        <v>13</v>
      </c>
      <c r="M3" s="21" t="s">
        <v>12</v>
      </c>
      <c r="O3" s="187"/>
      <c r="P3" s="24" t="s">
        <v>13</v>
      </c>
      <c r="Q3" s="25" t="s">
        <v>14</v>
      </c>
      <c r="R3" s="26" t="s">
        <v>15</v>
      </c>
      <c r="U3" s="179"/>
      <c r="V3" s="23" t="s">
        <v>12</v>
      </c>
      <c r="W3" s="24" t="s">
        <v>13</v>
      </c>
      <c r="X3" s="21" t="s">
        <v>12</v>
      </c>
      <c r="Y3" s="24" t="s">
        <v>13</v>
      </c>
      <c r="Z3" s="21" t="s">
        <v>12</v>
      </c>
      <c r="AB3" s="179"/>
      <c r="AC3" s="23" t="s">
        <v>12</v>
      </c>
      <c r="AD3" s="24" t="s">
        <v>13</v>
      </c>
      <c r="AE3" s="21" t="s">
        <v>12</v>
      </c>
      <c r="AF3" s="24" t="s">
        <v>13</v>
      </c>
      <c r="AG3" s="21" t="s">
        <v>12</v>
      </c>
      <c r="AI3" s="27"/>
      <c r="AJ3" s="28"/>
      <c r="AK3" s="28"/>
      <c r="AL3" s="28"/>
      <c r="AM3" s="28"/>
      <c r="AN3" s="29"/>
      <c r="AP3" s="30"/>
      <c r="AQ3" s="31"/>
      <c r="AR3" s="32"/>
      <c r="AS3" s="197" t="s">
        <v>16</v>
      </c>
      <c r="AT3" s="198"/>
      <c r="AU3" s="32"/>
      <c r="AV3" s="199" t="s">
        <v>17</v>
      </c>
      <c r="AW3" s="200"/>
      <c r="AX3" s="32"/>
      <c r="AY3" s="197" t="s">
        <v>18</v>
      </c>
      <c r="AZ3" s="198"/>
      <c r="BB3" s="209" t="s">
        <v>19</v>
      </c>
      <c r="BC3" s="210"/>
      <c r="BE3" s="201" t="s">
        <v>20</v>
      </c>
      <c r="BF3" s="202"/>
    </row>
    <row r="4" spans="1:58" ht="16.2" thickBot="1" x14ac:dyDescent="0.35">
      <c r="A4" s="33" t="s">
        <v>21</v>
      </c>
      <c r="B4" s="34">
        <v>28000</v>
      </c>
      <c r="C4" s="35">
        <v>7.1428571428571425E-2</v>
      </c>
      <c r="D4" s="34">
        <v>30000</v>
      </c>
      <c r="E4" s="36">
        <v>0.03</v>
      </c>
      <c r="F4" s="34">
        <f t="shared" ref="F4:F12" si="0">SUM(D4*E4)+D4</f>
        <v>30900</v>
      </c>
      <c r="H4" s="37">
        <v>1</v>
      </c>
      <c r="I4" s="38">
        <v>44523</v>
      </c>
      <c r="J4" s="39">
        <f t="shared" ref="J4:J19" si="1">SUM(K4-I4)/I4</f>
        <v>6.4999999999999891E-2</v>
      </c>
      <c r="K4" s="40">
        <v>47416.994999999995</v>
      </c>
      <c r="L4" s="41">
        <v>0.03</v>
      </c>
      <c r="M4" s="42">
        <f>K4*L4+K4</f>
        <v>48839.504849999998</v>
      </c>
      <c r="O4" s="43">
        <v>1</v>
      </c>
      <c r="P4" s="44">
        <v>6.5000000000000002E-2</v>
      </c>
      <c r="Q4" s="45">
        <v>639</v>
      </c>
      <c r="R4" s="42">
        <v>3169</v>
      </c>
      <c r="U4" s="46" t="s">
        <v>22</v>
      </c>
      <c r="V4" s="38">
        <v>44305</v>
      </c>
      <c r="W4" s="47">
        <f>SUM(X4-V4)/X4</f>
        <v>6.1032863849765202E-2</v>
      </c>
      <c r="X4" s="40">
        <v>47184.824999999997</v>
      </c>
      <c r="Y4" s="41">
        <v>0.03</v>
      </c>
      <c r="Z4" s="42">
        <f>X4*Y4+X4</f>
        <v>48600.369749999998</v>
      </c>
      <c r="AB4" s="48">
        <v>1</v>
      </c>
      <c r="AC4" s="49">
        <v>19340</v>
      </c>
      <c r="AD4" s="50">
        <f>SUM(AE4-AC4)/AE4</f>
        <v>6.1073890668996988E-2</v>
      </c>
      <c r="AE4" s="49">
        <v>20598</v>
      </c>
      <c r="AF4" s="51">
        <v>0.03</v>
      </c>
      <c r="AG4" s="49">
        <f>AE4*AF4+AE4</f>
        <v>21215.94</v>
      </c>
      <c r="AI4" s="52"/>
      <c r="AJ4" s="53"/>
      <c r="AK4" s="53"/>
      <c r="AL4" s="53"/>
      <c r="AM4" s="53"/>
      <c r="AN4" s="54"/>
      <c r="AP4" s="30"/>
      <c r="AQ4" s="31"/>
      <c r="AR4" s="32"/>
      <c r="AS4" s="197" t="s">
        <v>23</v>
      </c>
      <c r="AT4" s="198"/>
      <c r="AU4" s="32"/>
      <c r="AV4" s="203">
        <v>45017</v>
      </c>
      <c r="AW4" s="200"/>
      <c r="AX4" s="32"/>
      <c r="AY4" s="204">
        <v>45383</v>
      </c>
      <c r="AZ4" s="198"/>
      <c r="BB4" s="205">
        <v>45748</v>
      </c>
      <c r="BC4" s="206"/>
      <c r="BE4" s="207">
        <v>46113</v>
      </c>
      <c r="BF4" s="208"/>
    </row>
    <row r="5" spans="1:58" ht="28.2" thickBot="1" x14ac:dyDescent="0.35">
      <c r="A5" s="55" t="s">
        <v>24</v>
      </c>
      <c r="B5" s="56">
        <v>29800</v>
      </c>
      <c r="C5" s="57">
        <v>6.5000000000000002E-2</v>
      </c>
      <c r="D5" s="56">
        <v>31737</v>
      </c>
      <c r="E5" s="58">
        <v>0.03</v>
      </c>
      <c r="F5" s="56">
        <f t="shared" si="0"/>
        <v>32689.11</v>
      </c>
      <c r="H5" s="59">
        <v>2</v>
      </c>
      <c r="I5" s="60">
        <v>45639</v>
      </c>
      <c r="J5" s="61">
        <f t="shared" si="1"/>
        <v>6.4999999999999919E-2</v>
      </c>
      <c r="K5" s="62">
        <v>48605.534999999996</v>
      </c>
      <c r="L5" s="63">
        <v>0.03</v>
      </c>
      <c r="M5" s="64">
        <f t="shared" ref="M5:M19" si="2">K5*L5+K5</f>
        <v>50063.701049999996</v>
      </c>
      <c r="O5" s="65">
        <v>2</v>
      </c>
      <c r="P5" s="66">
        <v>6.5000000000000002E-2</v>
      </c>
      <c r="Q5" s="67">
        <v>3214</v>
      </c>
      <c r="R5" s="64">
        <v>7847</v>
      </c>
      <c r="U5" s="68" t="s">
        <v>25</v>
      </c>
      <c r="V5" s="60">
        <v>45414</v>
      </c>
      <c r="W5" s="69">
        <f t="shared" ref="W5:W46" si="3">SUM(X5-V5)/X5</f>
        <v>6.1032863849765182E-2</v>
      </c>
      <c r="X5" s="62">
        <v>48365.909999999996</v>
      </c>
      <c r="Y5" s="41">
        <v>0.03</v>
      </c>
      <c r="Z5" s="42">
        <f t="shared" ref="Z5:Z46" si="4">X5*Y5+X5</f>
        <v>49816.887299999995</v>
      </c>
      <c r="AB5" s="70">
        <v>2</v>
      </c>
      <c r="AC5" s="64">
        <v>21559</v>
      </c>
      <c r="AD5" s="39">
        <f t="shared" ref="AD5:AD9" si="5">SUM(AE5-AC5)/AE5</f>
        <v>6.1060058359827536E-2</v>
      </c>
      <c r="AE5" s="64">
        <v>22961</v>
      </c>
      <c r="AF5" s="41">
        <v>0.03</v>
      </c>
      <c r="AG5" s="42">
        <f t="shared" ref="AG5:AG9" si="6">AE5*AF5+AE5</f>
        <v>23649.83</v>
      </c>
      <c r="AI5" s="71"/>
      <c r="AJ5" s="72"/>
      <c r="AK5" s="72"/>
      <c r="AL5" s="72"/>
      <c r="AM5" s="72"/>
      <c r="AN5" s="73"/>
      <c r="AP5" s="74" t="s">
        <v>26</v>
      </c>
      <c r="AQ5" s="75" t="s">
        <v>27</v>
      </c>
      <c r="AR5" s="76"/>
      <c r="AS5" s="77" t="s">
        <v>28</v>
      </c>
      <c r="AT5" s="78" t="s">
        <v>29</v>
      </c>
      <c r="AU5" s="76"/>
      <c r="AV5" s="79" t="s">
        <v>28</v>
      </c>
      <c r="AW5" s="80" t="s">
        <v>29</v>
      </c>
      <c r="AX5" s="76"/>
      <c r="AY5" s="77" t="s">
        <v>28</v>
      </c>
      <c r="AZ5" s="78" t="s">
        <v>29</v>
      </c>
      <c r="BA5" s="2"/>
      <c r="BB5" s="81" t="s">
        <v>28</v>
      </c>
      <c r="BC5" s="82" t="s">
        <v>29</v>
      </c>
      <c r="BE5" s="83" t="s">
        <v>28</v>
      </c>
      <c r="BF5" s="82" t="s">
        <v>29</v>
      </c>
    </row>
    <row r="6" spans="1:58" ht="15" thickBot="1" x14ac:dyDescent="0.35">
      <c r="A6" s="55" t="s">
        <v>30</v>
      </c>
      <c r="B6" s="56">
        <v>31750</v>
      </c>
      <c r="C6" s="57">
        <v>6.5007874015748035E-2</v>
      </c>
      <c r="D6" s="56">
        <v>33814</v>
      </c>
      <c r="E6" s="58">
        <v>0.03</v>
      </c>
      <c r="F6" s="56">
        <f t="shared" si="0"/>
        <v>34828.42</v>
      </c>
      <c r="H6" s="59">
        <v>3</v>
      </c>
      <c r="I6" s="60">
        <v>46778</v>
      </c>
      <c r="J6" s="61">
        <f t="shared" si="1"/>
        <v>6.4999999999999988E-2</v>
      </c>
      <c r="K6" s="62">
        <v>49818.57</v>
      </c>
      <c r="L6" s="63">
        <v>0.03</v>
      </c>
      <c r="M6" s="64">
        <f t="shared" si="2"/>
        <v>51313.127099999998</v>
      </c>
      <c r="O6" s="65">
        <v>3</v>
      </c>
      <c r="P6" s="66">
        <v>6.5000000000000002E-2</v>
      </c>
      <c r="Q6" s="67">
        <v>9272</v>
      </c>
      <c r="R6" s="64">
        <v>15690</v>
      </c>
      <c r="U6" s="68" t="s">
        <v>31</v>
      </c>
      <c r="V6" s="60">
        <v>46548</v>
      </c>
      <c r="W6" s="69">
        <f t="shared" si="3"/>
        <v>6.1032863849765168E-2</v>
      </c>
      <c r="X6" s="62">
        <v>49573.619999999995</v>
      </c>
      <c r="Y6" s="41">
        <v>0.03</v>
      </c>
      <c r="Z6" s="42">
        <f t="shared" si="4"/>
        <v>51060.828599999993</v>
      </c>
      <c r="AB6" s="70">
        <v>3</v>
      </c>
      <c r="AC6" s="64">
        <v>23777</v>
      </c>
      <c r="AD6" s="39">
        <f t="shared" si="5"/>
        <v>6.1051218260079768E-2</v>
      </c>
      <c r="AE6" s="64">
        <v>25323</v>
      </c>
      <c r="AF6" s="41">
        <v>0.03</v>
      </c>
      <c r="AG6" s="42">
        <f t="shared" si="6"/>
        <v>26082.69</v>
      </c>
      <c r="AI6" s="84"/>
      <c r="AJ6" s="85"/>
      <c r="AK6" s="85"/>
      <c r="AL6" s="85"/>
      <c r="AM6" s="85"/>
      <c r="AN6" s="86"/>
      <c r="AP6" s="87" t="s">
        <v>32</v>
      </c>
      <c r="AQ6" s="88">
        <v>1</v>
      </c>
      <c r="AR6" s="89"/>
      <c r="AS6" s="90">
        <v>20079</v>
      </c>
      <c r="AT6" s="91">
        <f>AS6*$AT$2</f>
        <v>10.39675002754214</v>
      </c>
      <c r="AU6" s="89"/>
      <c r="AV6" s="90">
        <f t="shared" ref="AV6:AV7" si="7">AS6+$AV$2</f>
        <v>22004</v>
      </c>
      <c r="AW6" s="91">
        <f t="shared" ref="AW6:AW7" si="8">AV6*$AW$2</f>
        <v>11.393500055084287</v>
      </c>
      <c r="AX6" s="89"/>
      <c r="AY6" s="90">
        <f>AV6+$AY$2</f>
        <v>23294</v>
      </c>
      <c r="AZ6" s="91">
        <f>AY6*$AZ$2</f>
        <v>12.061452021593045</v>
      </c>
      <c r="BB6" s="92">
        <v>23294</v>
      </c>
      <c r="BC6" s="93">
        <v>12.061452021593045</v>
      </c>
      <c r="BE6" s="94"/>
      <c r="BF6" s="95" t="s">
        <v>33</v>
      </c>
    </row>
    <row r="7" spans="1:58" ht="15" thickBot="1" x14ac:dyDescent="0.35">
      <c r="A7" s="55" t="s">
        <v>34</v>
      </c>
      <c r="B7" s="56">
        <v>33850</v>
      </c>
      <c r="C7" s="57">
        <v>6.5022156573116691E-2</v>
      </c>
      <c r="D7" s="56">
        <v>36051</v>
      </c>
      <c r="E7" s="58">
        <v>0.03</v>
      </c>
      <c r="F7" s="56">
        <f t="shared" si="0"/>
        <v>37132.53</v>
      </c>
      <c r="H7" s="59">
        <v>4</v>
      </c>
      <c r="I7" s="60">
        <v>47941</v>
      </c>
      <c r="J7" s="61">
        <f t="shared" si="1"/>
        <v>6.5000000000000016E-2</v>
      </c>
      <c r="K7" s="62">
        <v>51057.165000000001</v>
      </c>
      <c r="L7" s="63">
        <v>0.03</v>
      </c>
      <c r="M7" s="64">
        <f t="shared" si="2"/>
        <v>52588.879950000002</v>
      </c>
      <c r="O7" s="96" t="s">
        <v>35</v>
      </c>
      <c r="P7" s="97">
        <v>6.5000000000000002E-2</v>
      </c>
      <c r="Q7" s="98">
        <v>2539</v>
      </c>
      <c r="R7" s="99">
        <v>5009</v>
      </c>
      <c r="U7" s="68" t="s">
        <v>36</v>
      </c>
      <c r="V7" s="60">
        <v>47706</v>
      </c>
      <c r="W7" s="69">
        <f t="shared" si="3"/>
        <v>6.1032863849765251E-2</v>
      </c>
      <c r="X7" s="62">
        <v>50806.89</v>
      </c>
      <c r="Y7" s="41">
        <v>0.03</v>
      </c>
      <c r="Z7" s="42">
        <f t="shared" si="4"/>
        <v>52331.096700000002</v>
      </c>
      <c r="AB7" s="70">
        <v>4</v>
      </c>
      <c r="AC7" s="64">
        <v>25733</v>
      </c>
      <c r="AD7" s="39">
        <f t="shared" si="5"/>
        <v>6.1045026636502957E-2</v>
      </c>
      <c r="AE7" s="64">
        <v>27406</v>
      </c>
      <c r="AF7" s="41">
        <v>0.03</v>
      </c>
      <c r="AG7" s="42">
        <f t="shared" si="6"/>
        <v>28228.18</v>
      </c>
      <c r="AP7" s="214" t="s">
        <v>37</v>
      </c>
      <c r="AQ7" s="100">
        <v>1</v>
      </c>
      <c r="AR7" s="89"/>
      <c r="AS7" s="101">
        <v>20079</v>
      </c>
      <c r="AT7" s="102">
        <f t="shared" ref="AT7:AT58" si="9">AS7*$AT$2</f>
        <v>10.39675002754214</v>
      </c>
      <c r="AU7" s="89"/>
      <c r="AV7" s="101">
        <f t="shared" si="7"/>
        <v>22004</v>
      </c>
      <c r="AW7" s="102">
        <f t="shared" si="8"/>
        <v>11.393500055084287</v>
      </c>
      <c r="AX7" s="89"/>
      <c r="AY7" s="90">
        <f t="shared" ref="AY7:AY58" si="10">AV7+$AY$2</f>
        <v>23294</v>
      </c>
      <c r="AZ7" s="102">
        <f t="shared" ref="AZ7:AZ58" si="11">AY7*$AZ$2</f>
        <v>12.061452021593045</v>
      </c>
      <c r="BB7" s="92"/>
      <c r="BC7" s="93" t="s">
        <v>38</v>
      </c>
      <c r="BE7" s="94"/>
      <c r="BF7" s="95" t="s">
        <v>38</v>
      </c>
    </row>
    <row r="8" spans="1:58" ht="15" thickBot="1" x14ac:dyDescent="0.35">
      <c r="A8" s="55" t="s">
        <v>39</v>
      </c>
      <c r="B8" s="56">
        <v>35990</v>
      </c>
      <c r="C8" s="58">
        <v>6.5018060572381214E-2</v>
      </c>
      <c r="D8" s="56">
        <v>38330</v>
      </c>
      <c r="E8" s="58">
        <v>0.03</v>
      </c>
      <c r="F8" s="56">
        <f t="shared" si="0"/>
        <v>39479.9</v>
      </c>
      <c r="H8" s="59">
        <v>5</v>
      </c>
      <c r="I8" s="60">
        <v>50368</v>
      </c>
      <c r="J8" s="61">
        <f t="shared" si="1"/>
        <v>6.4999999999999961E-2</v>
      </c>
      <c r="K8" s="62">
        <v>53641.919999999998</v>
      </c>
      <c r="L8" s="63">
        <v>0.03</v>
      </c>
      <c r="M8" s="64">
        <f t="shared" si="2"/>
        <v>55251.177599999995</v>
      </c>
      <c r="U8" s="68" t="s">
        <v>40</v>
      </c>
      <c r="V8" s="60">
        <v>48895</v>
      </c>
      <c r="W8" s="69">
        <f t="shared" si="3"/>
        <v>6.1032863849765182E-2</v>
      </c>
      <c r="X8" s="62">
        <v>52073.174999999996</v>
      </c>
      <c r="Y8" s="41">
        <v>0.03</v>
      </c>
      <c r="Z8" s="42">
        <f t="shared" si="4"/>
        <v>53635.370249999993</v>
      </c>
      <c r="AB8" s="70">
        <v>5</v>
      </c>
      <c r="AC8" s="64">
        <v>27954</v>
      </c>
      <c r="AD8" s="39">
        <f t="shared" si="5"/>
        <v>6.106408706166868E-2</v>
      </c>
      <c r="AE8" s="64">
        <v>29772</v>
      </c>
      <c r="AF8" s="41">
        <v>0.03</v>
      </c>
      <c r="AG8" s="42">
        <f t="shared" si="6"/>
        <v>30665.16</v>
      </c>
      <c r="AP8" s="215"/>
      <c r="AQ8" s="100">
        <v>2</v>
      </c>
      <c r="AR8" s="89"/>
      <c r="AS8" s="101">
        <v>20441</v>
      </c>
      <c r="AT8" s="102">
        <f t="shared" si="9"/>
        <v>10.584190811942271</v>
      </c>
      <c r="AU8" s="89"/>
      <c r="AV8" s="101">
        <f>AS8+$AV$2</f>
        <v>22366</v>
      </c>
      <c r="AW8" s="102">
        <f>AV8*$AW$2</f>
        <v>11.580940839484418</v>
      </c>
      <c r="AX8" s="89"/>
      <c r="AY8" s="90">
        <f t="shared" si="10"/>
        <v>23656</v>
      </c>
      <c r="AZ8" s="102">
        <f t="shared" si="11"/>
        <v>12.248892805993178</v>
      </c>
      <c r="BB8" s="103">
        <f>SUM(AY8*$BB$2)+AY8</f>
        <v>24412.991999999998</v>
      </c>
      <c r="BC8" s="104">
        <v>12.29</v>
      </c>
      <c r="BE8" s="103">
        <f>SUM(BB8*$BE$2)+BB8</f>
        <v>25145.381759999997</v>
      </c>
      <c r="BF8" s="105">
        <f>(BC8*$BE$2)+BC8</f>
        <v>12.6587</v>
      </c>
    </row>
    <row r="9" spans="1:58" ht="15" thickBot="1" x14ac:dyDescent="0.35">
      <c r="A9" s="55" t="s">
        <v>41</v>
      </c>
      <c r="B9" s="56">
        <v>38810</v>
      </c>
      <c r="C9" s="58">
        <v>6.5009018294254053E-2</v>
      </c>
      <c r="D9" s="56">
        <v>41333</v>
      </c>
      <c r="E9" s="58">
        <v>0.03</v>
      </c>
      <c r="F9" s="56">
        <f t="shared" si="0"/>
        <v>42572.99</v>
      </c>
      <c r="H9" s="59">
        <v>6</v>
      </c>
      <c r="I9" s="60">
        <v>51725</v>
      </c>
      <c r="J9" s="61">
        <f t="shared" si="1"/>
        <v>6.5000000000000002E-2</v>
      </c>
      <c r="K9" s="62">
        <v>55087.125</v>
      </c>
      <c r="L9" s="63">
        <v>0.03</v>
      </c>
      <c r="M9" s="64">
        <f t="shared" si="2"/>
        <v>56739.738749999997</v>
      </c>
      <c r="U9" s="68" t="s">
        <v>42</v>
      </c>
      <c r="V9" s="60">
        <v>50122</v>
      </c>
      <c r="W9" s="69">
        <f t="shared" si="3"/>
        <v>6.1032863849765265E-2</v>
      </c>
      <c r="X9" s="62">
        <v>53379.93</v>
      </c>
      <c r="Y9" s="41">
        <v>0.03</v>
      </c>
      <c r="Z9" s="42">
        <f t="shared" si="4"/>
        <v>54981.327900000004</v>
      </c>
      <c r="AB9" s="106">
        <v>6</v>
      </c>
      <c r="AC9" s="99">
        <v>30172</v>
      </c>
      <c r="AD9" s="107">
        <f t="shared" si="5"/>
        <v>6.1056824547208566E-2</v>
      </c>
      <c r="AE9" s="99">
        <v>32134</v>
      </c>
      <c r="AF9" s="108">
        <v>0.03</v>
      </c>
      <c r="AG9" s="109">
        <f t="shared" si="6"/>
        <v>33098.019999999997</v>
      </c>
      <c r="AJ9" s="110" t="s">
        <v>26</v>
      </c>
      <c r="AK9" s="111" t="s">
        <v>43</v>
      </c>
      <c r="AP9" s="211" t="s">
        <v>44</v>
      </c>
      <c r="AQ9" s="88">
        <v>2</v>
      </c>
      <c r="AR9" s="89"/>
      <c r="AS9" s="90">
        <v>20441</v>
      </c>
      <c r="AT9" s="91">
        <f t="shared" si="9"/>
        <v>10.584190811942271</v>
      </c>
      <c r="AU9" s="89"/>
      <c r="AV9" s="90">
        <f t="shared" ref="AV9:AV58" si="12">AS9+$AV$2</f>
        <v>22366</v>
      </c>
      <c r="AW9" s="91">
        <f t="shared" ref="AW9:AW58" si="13">AV9*$AW$2</f>
        <v>11.580940839484418</v>
      </c>
      <c r="AX9" s="89"/>
      <c r="AY9" s="90">
        <f t="shared" si="10"/>
        <v>23656</v>
      </c>
      <c r="AZ9" s="91">
        <f t="shared" si="11"/>
        <v>12.248892805993178</v>
      </c>
      <c r="BB9" s="103">
        <f t="shared" ref="BB9:BB58" si="14">SUM(AY9*$BB$2)+AY9</f>
        <v>24412.991999999998</v>
      </c>
      <c r="BC9" s="112">
        <v>12.29</v>
      </c>
      <c r="BE9" s="103">
        <f t="shared" ref="BE9:BE57" si="15">SUM(BB9*$BE$2)+BB9</f>
        <v>25145.381759999997</v>
      </c>
      <c r="BF9" s="105">
        <f t="shared" ref="BF9:BF58" si="16">(BC9*$BE$2)+BC9</f>
        <v>12.6587</v>
      </c>
    </row>
    <row r="10" spans="1:58" ht="15" thickBot="1" x14ac:dyDescent="0.35">
      <c r="A10" s="113" t="s">
        <v>45</v>
      </c>
      <c r="B10" s="114">
        <v>40625</v>
      </c>
      <c r="C10" s="58">
        <v>6.5009230769230764E-2</v>
      </c>
      <c r="D10" s="114">
        <v>43266</v>
      </c>
      <c r="E10" s="58">
        <v>0.03</v>
      </c>
      <c r="F10" s="114">
        <f t="shared" si="0"/>
        <v>44563.98</v>
      </c>
      <c r="H10" s="59">
        <v>7</v>
      </c>
      <c r="I10" s="60">
        <v>52917</v>
      </c>
      <c r="J10" s="61">
        <f t="shared" si="1"/>
        <v>6.4999999999999919E-2</v>
      </c>
      <c r="K10" s="62">
        <v>56356.604999999996</v>
      </c>
      <c r="L10" s="63">
        <v>0.03</v>
      </c>
      <c r="M10" s="64">
        <f t="shared" si="2"/>
        <v>58047.303149999992</v>
      </c>
      <c r="U10" s="68" t="s">
        <v>46</v>
      </c>
      <c r="V10" s="60">
        <v>51470</v>
      </c>
      <c r="W10" s="69">
        <f t="shared" si="3"/>
        <v>6.1032863849765182E-2</v>
      </c>
      <c r="X10" s="62">
        <v>54815.549999999996</v>
      </c>
      <c r="Y10" s="41">
        <v>0.03</v>
      </c>
      <c r="Z10" s="42">
        <f t="shared" si="4"/>
        <v>56460.016499999998</v>
      </c>
      <c r="AJ10" s="115" t="s">
        <v>37</v>
      </c>
      <c r="AK10" s="116" t="s">
        <v>118</v>
      </c>
      <c r="AP10" s="213"/>
      <c r="AQ10" s="88">
        <v>3</v>
      </c>
      <c r="AR10" s="89"/>
      <c r="AS10" s="90">
        <v>20812</v>
      </c>
      <c r="AT10" s="91">
        <f t="shared" si="9"/>
        <v>10.776291726341302</v>
      </c>
      <c r="AU10" s="89"/>
      <c r="AV10" s="90">
        <f t="shared" si="12"/>
        <v>22737</v>
      </c>
      <c r="AW10" s="91">
        <f t="shared" si="13"/>
        <v>11.773041753883449</v>
      </c>
      <c r="AX10" s="89"/>
      <c r="AY10" s="90">
        <f t="shared" si="10"/>
        <v>24027</v>
      </c>
      <c r="AZ10" s="91">
        <f t="shared" si="11"/>
        <v>12.440993720392207</v>
      </c>
      <c r="BB10" s="103">
        <f t="shared" si="14"/>
        <v>24795.864000000001</v>
      </c>
      <c r="BC10" s="112">
        <v>12.49</v>
      </c>
      <c r="BE10" s="103">
        <f t="shared" si="15"/>
        <v>25539.73992</v>
      </c>
      <c r="BF10" s="105">
        <f t="shared" si="16"/>
        <v>12.864700000000001</v>
      </c>
    </row>
    <row r="11" spans="1:58" ht="15" thickBot="1" x14ac:dyDescent="0.35">
      <c r="A11" s="113" t="s">
        <v>47</v>
      </c>
      <c r="B11" s="114">
        <v>42131</v>
      </c>
      <c r="C11" s="58">
        <v>6.5011511713465142E-2</v>
      </c>
      <c r="D11" s="114">
        <v>44870</v>
      </c>
      <c r="E11" s="58">
        <v>0.03</v>
      </c>
      <c r="F11" s="114">
        <f t="shared" si="0"/>
        <v>46216.1</v>
      </c>
      <c r="H11" s="59">
        <v>8</v>
      </c>
      <c r="I11" s="60">
        <v>54239</v>
      </c>
      <c r="J11" s="61">
        <f t="shared" si="1"/>
        <v>6.4999999999999933E-2</v>
      </c>
      <c r="K11" s="62">
        <v>57764.534999999996</v>
      </c>
      <c r="L11" s="63">
        <v>0.03</v>
      </c>
      <c r="M11" s="64">
        <f t="shared" si="2"/>
        <v>59497.471049999993</v>
      </c>
      <c r="U11" s="68" t="s">
        <v>48</v>
      </c>
      <c r="V11" s="60">
        <v>52659</v>
      </c>
      <c r="W11" s="69">
        <f t="shared" si="3"/>
        <v>6.1032863849765244E-2</v>
      </c>
      <c r="X11" s="62">
        <v>56081.834999999999</v>
      </c>
      <c r="Y11" s="41">
        <v>0.03</v>
      </c>
      <c r="Z11" s="42">
        <f t="shared" si="4"/>
        <v>57764.290049999996</v>
      </c>
      <c r="AJ11" s="117" t="s">
        <v>44</v>
      </c>
      <c r="AK11" s="118" t="s">
        <v>49</v>
      </c>
      <c r="AP11" s="214" t="s">
        <v>50</v>
      </c>
      <c r="AQ11" s="100">
        <v>3</v>
      </c>
      <c r="AR11" s="89"/>
      <c r="AS11" s="101">
        <v>20812</v>
      </c>
      <c r="AT11" s="102">
        <f t="shared" si="9"/>
        <v>10.776291726341302</v>
      </c>
      <c r="AU11" s="89"/>
      <c r="AV11" s="101">
        <f t="shared" si="12"/>
        <v>22737</v>
      </c>
      <c r="AW11" s="102">
        <f t="shared" si="13"/>
        <v>11.773041753883449</v>
      </c>
      <c r="AX11" s="89"/>
      <c r="AY11" s="90">
        <f t="shared" si="10"/>
        <v>24027</v>
      </c>
      <c r="AZ11" s="102">
        <f t="shared" si="11"/>
        <v>12.440993720392207</v>
      </c>
      <c r="BB11" s="103">
        <f t="shared" si="14"/>
        <v>24795.864000000001</v>
      </c>
      <c r="BC11" s="104">
        <v>12.49</v>
      </c>
      <c r="BE11" s="103">
        <f t="shared" si="15"/>
        <v>25539.73992</v>
      </c>
      <c r="BF11" s="105">
        <f t="shared" si="16"/>
        <v>12.864700000000001</v>
      </c>
    </row>
    <row r="12" spans="1:58" ht="15" thickBot="1" x14ac:dyDescent="0.35">
      <c r="A12" s="119" t="s">
        <v>51</v>
      </c>
      <c r="B12" s="120">
        <v>43685</v>
      </c>
      <c r="C12" s="121">
        <v>6.5010873297470531E-2</v>
      </c>
      <c r="D12" s="120">
        <v>46525</v>
      </c>
      <c r="E12" s="121">
        <v>0.03</v>
      </c>
      <c r="F12" s="120">
        <f t="shared" si="0"/>
        <v>47920.75</v>
      </c>
      <c r="H12" s="59">
        <v>9</v>
      </c>
      <c r="I12" s="60">
        <v>55633</v>
      </c>
      <c r="J12" s="61">
        <f t="shared" si="1"/>
        <v>6.4999999999999947E-2</v>
      </c>
      <c r="K12" s="62">
        <v>59249.144999999997</v>
      </c>
      <c r="L12" s="63">
        <v>0.03</v>
      </c>
      <c r="M12" s="64">
        <f t="shared" si="2"/>
        <v>61026.619349999994</v>
      </c>
      <c r="U12" s="68" t="s">
        <v>52</v>
      </c>
      <c r="V12" s="60">
        <v>53973</v>
      </c>
      <c r="W12" s="69">
        <f t="shared" si="3"/>
        <v>6.1032863849765182E-2</v>
      </c>
      <c r="X12" s="62">
        <v>57481.244999999995</v>
      </c>
      <c r="Y12" s="41">
        <v>0.03</v>
      </c>
      <c r="Z12" s="42">
        <f t="shared" si="4"/>
        <v>59205.682349999995</v>
      </c>
      <c r="AJ12" s="117" t="s">
        <v>50</v>
      </c>
      <c r="AK12" s="118" t="s">
        <v>53</v>
      </c>
      <c r="AP12" s="215"/>
      <c r="AQ12" s="100">
        <v>4</v>
      </c>
      <c r="AR12" s="89"/>
      <c r="AS12" s="101">
        <v>21189</v>
      </c>
      <c r="AT12" s="102">
        <f t="shared" si="9"/>
        <v>10.971499394072932</v>
      </c>
      <c r="AU12" s="89"/>
      <c r="AV12" s="101">
        <f t="shared" si="12"/>
        <v>23114</v>
      </c>
      <c r="AW12" s="102">
        <f t="shared" si="13"/>
        <v>11.968249421615079</v>
      </c>
      <c r="AX12" s="89"/>
      <c r="AY12" s="90">
        <f t="shared" si="10"/>
        <v>24404</v>
      </c>
      <c r="AZ12" s="102">
        <f t="shared" si="11"/>
        <v>12.636201388123837</v>
      </c>
      <c r="BB12" s="103">
        <f t="shared" si="14"/>
        <v>25184.928</v>
      </c>
      <c r="BC12" s="104">
        <v>12.7</v>
      </c>
      <c r="BE12" s="103">
        <f t="shared" si="15"/>
        <v>25940.475839999999</v>
      </c>
      <c r="BF12" s="105">
        <f t="shared" si="16"/>
        <v>13.081</v>
      </c>
    </row>
    <row r="13" spans="1:58" ht="15" thickBot="1" x14ac:dyDescent="0.35">
      <c r="H13" s="59">
        <v>10</v>
      </c>
      <c r="I13" s="60">
        <v>57075</v>
      </c>
      <c r="J13" s="61">
        <f t="shared" si="1"/>
        <v>6.5000000000000002E-2</v>
      </c>
      <c r="K13" s="62">
        <v>60784.875</v>
      </c>
      <c r="L13" s="63">
        <v>0.03</v>
      </c>
      <c r="M13" s="64">
        <f t="shared" si="2"/>
        <v>62608.421249999999</v>
      </c>
      <c r="U13" s="68" t="s">
        <v>54</v>
      </c>
      <c r="V13" s="60">
        <v>55360</v>
      </c>
      <c r="W13" s="69">
        <f t="shared" si="3"/>
        <v>6.1032863849765168E-2</v>
      </c>
      <c r="X13" s="62">
        <v>58958.399999999994</v>
      </c>
      <c r="Y13" s="41">
        <v>0.03</v>
      </c>
      <c r="Z13" s="42">
        <f t="shared" si="4"/>
        <v>60727.151999999995</v>
      </c>
      <c r="AJ13" s="117" t="s">
        <v>55</v>
      </c>
      <c r="AK13" s="118" t="s">
        <v>56</v>
      </c>
      <c r="AP13" s="211" t="s">
        <v>55</v>
      </c>
      <c r="AQ13" s="88">
        <v>4</v>
      </c>
      <c r="AR13" s="89"/>
      <c r="AS13" s="90">
        <v>21189</v>
      </c>
      <c r="AT13" s="91">
        <f t="shared" si="9"/>
        <v>10.971499394072932</v>
      </c>
      <c r="AU13" s="89"/>
      <c r="AV13" s="90">
        <f t="shared" si="12"/>
        <v>23114</v>
      </c>
      <c r="AW13" s="91">
        <f t="shared" si="13"/>
        <v>11.968249421615079</v>
      </c>
      <c r="AX13" s="89"/>
      <c r="AY13" s="90">
        <f t="shared" si="10"/>
        <v>24404</v>
      </c>
      <c r="AZ13" s="91">
        <f t="shared" si="11"/>
        <v>12.636201388123837</v>
      </c>
      <c r="BB13" s="103">
        <f t="shared" si="14"/>
        <v>25184.928</v>
      </c>
      <c r="BC13" s="112">
        <v>12.7</v>
      </c>
      <c r="BE13" s="103">
        <f t="shared" si="15"/>
        <v>25940.475839999999</v>
      </c>
      <c r="BF13" s="105">
        <f t="shared" si="16"/>
        <v>13.081</v>
      </c>
    </row>
    <row r="14" spans="1:58" ht="15" thickBot="1" x14ac:dyDescent="0.35">
      <c r="H14" s="59">
        <v>11</v>
      </c>
      <c r="I14" s="60">
        <v>58391</v>
      </c>
      <c r="J14" s="61">
        <f t="shared" si="1"/>
        <v>6.4999999999999891E-2</v>
      </c>
      <c r="K14" s="62">
        <v>62186.414999999994</v>
      </c>
      <c r="L14" s="63">
        <v>0.03</v>
      </c>
      <c r="M14" s="64">
        <f t="shared" si="2"/>
        <v>64052.00744999999</v>
      </c>
      <c r="U14" s="68" t="s">
        <v>57</v>
      </c>
      <c r="V14" s="60">
        <v>56796</v>
      </c>
      <c r="W14" s="69">
        <f t="shared" si="3"/>
        <v>6.1032863849765223E-2</v>
      </c>
      <c r="X14" s="62">
        <v>60487.74</v>
      </c>
      <c r="Y14" s="41">
        <v>0.03</v>
      </c>
      <c r="Z14" s="42">
        <f t="shared" si="4"/>
        <v>62302.372199999998</v>
      </c>
      <c r="AJ14" s="117" t="s">
        <v>58</v>
      </c>
      <c r="AK14" s="118" t="s">
        <v>59</v>
      </c>
      <c r="AP14" s="213"/>
      <c r="AQ14" s="88">
        <v>5</v>
      </c>
      <c r="AR14" s="89"/>
      <c r="AS14" s="90">
        <v>21575</v>
      </c>
      <c r="AT14" s="91">
        <f t="shared" si="9"/>
        <v>11.171367191803458</v>
      </c>
      <c r="AU14" s="89"/>
      <c r="AV14" s="90">
        <f t="shared" si="12"/>
        <v>23500</v>
      </c>
      <c r="AW14" s="91">
        <f t="shared" si="13"/>
        <v>12.168117219345607</v>
      </c>
      <c r="AX14" s="89"/>
      <c r="AY14" s="90">
        <f t="shared" si="10"/>
        <v>24790</v>
      </c>
      <c r="AZ14" s="91">
        <f t="shared" si="11"/>
        <v>12.836069185854365</v>
      </c>
      <c r="BB14" s="103">
        <f t="shared" si="14"/>
        <v>25583.279999999999</v>
      </c>
      <c r="BC14" s="112">
        <v>12.91</v>
      </c>
      <c r="BE14" s="103">
        <f t="shared" si="15"/>
        <v>26350.778399999999</v>
      </c>
      <c r="BF14" s="105">
        <f t="shared" si="16"/>
        <v>13.2973</v>
      </c>
    </row>
    <row r="15" spans="1:58" ht="15" thickBot="1" x14ac:dyDescent="0.35">
      <c r="H15" s="59">
        <v>12</v>
      </c>
      <c r="I15" s="60">
        <v>59850</v>
      </c>
      <c r="J15" s="61">
        <f t="shared" si="1"/>
        <v>6.5000000000000002E-2</v>
      </c>
      <c r="K15" s="62">
        <v>63740.25</v>
      </c>
      <c r="L15" s="63">
        <v>0.03</v>
      </c>
      <c r="M15" s="64">
        <f t="shared" si="2"/>
        <v>65652.457500000004</v>
      </c>
      <c r="U15" s="68" t="s">
        <v>60</v>
      </c>
      <c r="V15" s="60">
        <v>58105</v>
      </c>
      <c r="W15" s="69">
        <f t="shared" si="3"/>
        <v>6.1032863849765216E-2</v>
      </c>
      <c r="X15" s="62">
        <v>61881.824999999997</v>
      </c>
      <c r="Y15" s="41">
        <v>0.03</v>
      </c>
      <c r="Z15" s="42">
        <f t="shared" si="4"/>
        <v>63738.279749999994</v>
      </c>
      <c r="AJ15" s="117" t="s">
        <v>61</v>
      </c>
      <c r="AK15" s="118" t="s">
        <v>62</v>
      </c>
      <c r="AP15" s="214" t="s">
        <v>58</v>
      </c>
      <c r="AQ15" s="100">
        <v>6</v>
      </c>
      <c r="AR15" s="89"/>
      <c r="AS15" s="101">
        <v>21968</v>
      </c>
      <c r="AT15" s="102">
        <f t="shared" si="9"/>
        <v>11.374859535088685</v>
      </c>
      <c r="AU15" s="89"/>
      <c r="AV15" s="101">
        <f t="shared" si="12"/>
        <v>23893</v>
      </c>
      <c r="AW15" s="102">
        <f t="shared" si="13"/>
        <v>12.371609562630832</v>
      </c>
      <c r="AX15" s="89"/>
      <c r="AY15" s="90">
        <f t="shared" si="10"/>
        <v>25183</v>
      </c>
      <c r="AZ15" s="102">
        <f t="shared" si="11"/>
        <v>13.039561529139592</v>
      </c>
      <c r="BB15" s="103">
        <f t="shared" si="14"/>
        <v>25988.856</v>
      </c>
      <c r="BC15" s="104">
        <v>13.13</v>
      </c>
      <c r="BE15" s="103">
        <f t="shared" si="15"/>
        <v>26768.521679999998</v>
      </c>
      <c r="BF15" s="105">
        <f t="shared" si="16"/>
        <v>13.523900000000001</v>
      </c>
    </row>
    <row r="16" spans="1:58" ht="15" thickBot="1" x14ac:dyDescent="0.35">
      <c r="H16" s="59">
        <v>13</v>
      </c>
      <c r="I16" s="60">
        <v>61343</v>
      </c>
      <c r="J16" s="61">
        <f t="shared" si="1"/>
        <v>6.4999999999999974E-2</v>
      </c>
      <c r="K16" s="62">
        <v>65330.294999999998</v>
      </c>
      <c r="L16" s="63">
        <v>0.03</v>
      </c>
      <c r="M16" s="64">
        <f t="shared" si="2"/>
        <v>67290.203849999991</v>
      </c>
      <c r="U16" s="68" t="s">
        <v>63</v>
      </c>
      <c r="V16" s="60">
        <v>59558</v>
      </c>
      <c r="W16" s="69">
        <f t="shared" si="3"/>
        <v>6.1032863849765209E-2</v>
      </c>
      <c r="X16" s="62">
        <v>63429.27</v>
      </c>
      <c r="Y16" s="41">
        <v>0.03</v>
      </c>
      <c r="Z16" s="42">
        <f t="shared" si="4"/>
        <v>65332.148099999999</v>
      </c>
      <c r="AJ16" s="117" t="s">
        <v>64</v>
      </c>
      <c r="AK16" s="122" t="s">
        <v>65</v>
      </c>
      <c r="AP16" s="215"/>
      <c r="AQ16" s="100">
        <v>7</v>
      </c>
      <c r="AR16" s="89"/>
      <c r="AS16" s="101">
        <v>22369</v>
      </c>
      <c r="AT16" s="102">
        <f t="shared" si="9"/>
        <v>11.58249421615071</v>
      </c>
      <c r="AU16" s="89"/>
      <c r="AV16" s="101">
        <f t="shared" si="12"/>
        <v>24294</v>
      </c>
      <c r="AW16" s="102">
        <f t="shared" si="13"/>
        <v>12.579244243692857</v>
      </c>
      <c r="AX16" s="89"/>
      <c r="AY16" s="90">
        <f t="shared" si="10"/>
        <v>25584</v>
      </c>
      <c r="AZ16" s="102">
        <f t="shared" si="11"/>
        <v>13.247196210201617</v>
      </c>
      <c r="BB16" s="103">
        <f t="shared" si="14"/>
        <v>26402.687999999998</v>
      </c>
      <c r="BC16" s="104">
        <v>13.35</v>
      </c>
      <c r="BE16" s="103">
        <f t="shared" si="15"/>
        <v>27194.768639999998</v>
      </c>
      <c r="BF16" s="105">
        <f t="shared" si="16"/>
        <v>13.750499999999999</v>
      </c>
    </row>
    <row r="17" spans="8:58" ht="15" thickBot="1" x14ac:dyDescent="0.35">
      <c r="H17" s="59">
        <v>14</v>
      </c>
      <c r="I17" s="60">
        <v>62869</v>
      </c>
      <c r="J17" s="61">
        <f t="shared" si="1"/>
        <v>6.5000000000000016E-2</v>
      </c>
      <c r="K17" s="62">
        <v>66955.485000000001</v>
      </c>
      <c r="L17" s="63">
        <v>0.03</v>
      </c>
      <c r="M17" s="64">
        <f t="shared" si="2"/>
        <v>68964.149550000002</v>
      </c>
      <c r="U17" s="68" t="s">
        <v>66</v>
      </c>
      <c r="V17" s="60">
        <v>61042</v>
      </c>
      <c r="W17" s="69">
        <f t="shared" si="3"/>
        <v>6.1032863849765202E-2</v>
      </c>
      <c r="X17" s="62">
        <v>65009.729999999996</v>
      </c>
      <c r="Y17" s="41">
        <v>0.03</v>
      </c>
      <c r="Z17" s="42">
        <f t="shared" si="4"/>
        <v>66960.021899999992</v>
      </c>
      <c r="AJ17" s="117" t="s">
        <v>67</v>
      </c>
      <c r="AK17" s="122" t="s">
        <v>68</v>
      </c>
      <c r="AP17" s="211" t="s">
        <v>61</v>
      </c>
      <c r="AQ17" s="88">
        <v>8</v>
      </c>
      <c r="AR17" s="89"/>
      <c r="AS17" s="90">
        <v>22777</v>
      </c>
      <c r="AT17" s="91">
        <f t="shared" si="9"/>
        <v>11.793753442767434</v>
      </c>
      <c r="AU17" s="89"/>
      <c r="AV17" s="90">
        <f t="shared" si="12"/>
        <v>24702</v>
      </c>
      <c r="AW17" s="91">
        <f t="shared" si="13"/>
        <v>12.790503470309581</v>
      </c>
      <c r="AX17" s="89"/>
      <c r="AY17" s="90">
        <f t="shared" si="10"/>
        <v>25992</v>
      </c>
      <c r="AZ17" s="91">
        <f t="shared" si="11"/>
        <v>13.45845543681834</v>
      </c>
      <c r="BB17" s="103">
        <f t="shared" si="14"/>
        <v>26823.743999999999</v>
      </c>
      <c r="BC17" s="112">
        <v>13.57</v>
      </c>
      <c r="BE17" s="103">
        <f t="shared" si="15"/>
        <v>27628.456319999998</v>
      </c>
      <c r="BF17" s="105">
        <f t="shared" si="16"/>
        <v>13.9771</v>
      </c>
    </row>
    <row r="18" spans="8:58" ht="15" thickBot="1" x14ac:dyDescent="0.35">
      <c r="H18" s="59">
        <v>15</v>
      </c>
      <c r="I18" s="60">
        <v>66022</v>
      </c>
      <c r="J18" s="61">
        <f t="shared" si="1"/>
        <v>6.4999999999999891E-2</v>
      </c>
      <c r="K18" s="62">
        <v>70313.429999999993</v>
      </c>
      <c r="L18" s="63">
        <v>0.03</v>
      </c>
      <c r="M18" s="64">
        <f t="shared" si="2"/>
        <v>72422.832899999994</v>
      </c>
      <c r="U18" s="68" t="s">
        <v>69</v>
      </c>
      <c r="V18" s="60">
        <v>62561</v>
      </c>
      <c r="W18" s="69">
        <f t="shared" si="3"/>
        <v>6.1032863849765209E-2</v>
      </c>
      <c r="X18" s="62">
        <v>66627.464999999997</v>
      </c>
      <c r="Y18" s="41">
        <v>0.03</v>
      </c>
      <c r="Z18" s="42">
        <f t="shared" si="4"/>
        <v>68626.288950000002</v>
      </c>
      <c r="AJ18" s="117" t="s">
        <v>70</v>
      </c>
      <c r="AK18" s="122" t="s">
        <v>71</v>
      </c>
      <c r="AP18" s="212"/>
      <c r="AQ18" s="88">
        <v>9</v>
      </c>
      <c r="AR18" s="89"/>
      <c r="AS18" s="90">
        <v>23194</v>
      </c>
      <c r="AT18" s="91">
        <f t="shared" si="9"/>
        <v>12.009672799383056</v>
      </c>
      <c r="AU18" s="89"/>
      <c r="AV18" s="90">
        <f t="shared" si="12"/>
        <v>25119</v>
      </c>
      <c r="AW18" s="91">
        <f t="shared" si="13"/>
        <v>13.006422826925204</v>
      </c>
      <c r="AX18" s="89"/>
      <c r="AY18" s="90">
        <f t="shared" si="10"/>
        <v>26409</v>
      </c>
      <c r="AZ18" s="91">
        <f t="shared" si="11"/>
        <v>13.674374793433962</v>
      </c>
      <c r="BB18" s="103">
        <f t="shared" si="14"/>
        <v>27254.088</v>
      </c>
      <c r="BC18" s="112">
        <v>13.8</v>
      </c>
      <c r="BE18" s="103">
        <f t="shared" si="15"/>
        <v>28071.710640000001</v>
      </c>
      <c r="BF18" s="105">
        <f t="shared" si="16"/>
        <v>14.214</v>
      </c>
    </row>
    <row r="19" spans="8:58" ht="15" thickBot="1" x14ac:dyDescent="0.35">
      <c r="H19" s="123">
        <v>16</v>
      </c>
      <c r="I19" s="124">
        <v>67685</v>
      </c>
      <c r="J19" s="125">
        <f t="shared" si="1"/>
        <v>6.4999999999999919E-2</v>
      </c>
      <c r="K19" s="126">
        <v>72084.524999999994</v>
      </c>
      <c r="L19" s="127">
        <v>0.03</v>
      </c>
      <c r="M19" s="99">
        <f t="shared" si="2"/>
        <v>74247.06074999999</v>
      </c>
      <c r="U19" s="68" t="s">
        <v>72</v>
      </c>
      <c r="V19" s="60">
        <v>64225</v>
      </c>
      <c r="W19" s="69">
        <f t="shared" si="3"/>
        <v>6.1032863849765258E-2</v>
      </c>
      <c r="X19" s="62">
        <v>68399.625</v>
      </c>
      <c r="Y19" s="41">
        <v>0.03</v>
      </c>
      <c r="Z19" s="42">
        <f t="shared" si="4"/>
        <v>70451.613750000004</v>
      </c>
      <c r="AJ19" s="117" t="s">
        <v>73</v>
      </c>
      <c r="AK19" s="122" t="s">
        <v>74</v>
      </c>
      <c r="AP19" s="212"/>
      <c r="AQ19" s="88">
        <v>10</v>
      </c>
      <c r="AR19" s="89"/>
      <c r="AS19" s="90">
        <v>23620</v>
      </c>
      <c r="AT19" s="91">
        <f t="shared" si="9"/>
        <v>12.230252285997576</v>
      </c>
      <c r="AU19" s="89"/>
      <c r="AV19" s="90">
        <f t="shared" si="12"/>
        <v>25545</v>
      </c>
      <c r="AW19" s="91">
        <f t="shared" si="13"/>
        <v>13.227002313539725</v>
      </c>
      <c r="AX19" s="89"/>
      <c r="AY19" s="90">
        <f t="shared" si="10"/>
        <v>26835</v>
      </c>
      <c r="AZ19" s="91">
        <f t="shared" si="11"/>
        <v>13.894954280048482</v>
      </c>
      <c r="BB19" s="103">
        <f t="shared" si="14"/>
        <v>27693.72</v>
      </c>
      <c r="BC19" s="112">
        <v>14.03</v>
      </c>
      <c r="BE19" s="103">
        <f t="shared" si="15"/>
        <v>28524.531600000002</v>
      </c>
      <c r="BF19" s="105">
        <f t="shared" si="16"/>
        <v>14.450899999999999</v>
      </c>
    </row>
    <row r="20" spans="8:58" ht="15" thickBot="1" x14ac:dyDescent="0.35">
      <c r="U20" s="68" t="s">
        <v>75</v>
      </c>
      <c r="V20" s="60">
        <v>65699</v>
      </c>
      <c r="W20" s="69">
        <f t="shared" si="3"/>
        <v>6.103286384976523E-2</v>
      </c>
      <c r="X20" s="62">
        <v>69969.434999999998</v>
      </c>
      <c r="Y20" s="41">
        <v>0.03</v>
      </c>
      <c r="Z20" s="42">
        <f t="shared" si="4"/>
        <v>72068.518049999999</v>
      </c>
      <c r="AJ20" s="117" t="s">
        <v>76</v>
      </c>
      <c r="AK20" s="122" t="s">
        <v>77</v>
      </c>
      <c r="AP20" s="212"/>
      <c r="AQ20" s="88">
        <v>11</v>
      </c>
      <c r="AR20" s="89"/>
      <c r="AS20" s="90">
        <v>24054</v>
      </c>
      <c r="AT20" s="91">
        <f t="shared" si="9"/>
        <v>12.454974110388894</v>
      </c>
      <c r="AU20" s="89"/>
      <c r="AV20" s="90">
        <f t="shared" si="12"/>
        <v>25979</v>
      </c>
      <c r="AW20" s="91">
        <f t="shared" si="13"/>
        <v>13.451724137931043</v>
      </c>
      <c r="AX20" s="89"/>
      <c r="AY20" s="90">
        <f t="shared" si="10"/>
        <v>27269</v>
      </c>
      <c r="AZ20" s="91">
        <f t="shared" si="11"/>
        <v>14.119676104439801</v>
      </c>
      <c r="BB20" s="103">
        <f t="shared" si="14"/>
        <v>28141.608</v>
      </c>
      <c r="BC20" s="112">
        <v>14.27</v>
      </c>
      <c r="BE20" s="103">
        <f t="shared" si="15"/>
        <v>28985.856240000001</v>
      </c>
      <c r="BF20" s="105">
        <f t="shared" si="16"/>
        <v>14.6981</v>
      </c>
    </row>
    <row r="21" spans="8:58" ht="15" thickBot="1" x14ac:dyDescent="0.35">
      <c r="U21" s="68" t="s">
        <v>78</v>
      </c>
      <c r="V21" s="60">
        <v>67351</v>
      </c>
      <c r="W21" s="69">
        <f t="shared" si="3"/>
        <v>6.1032863849765286E-2</v>
      </c>
      <c r="X21" s="62">
        <v>71728.815000000002</v>
      </c>
      <c r="Y21" s="41">
        <v>0.03</v>
      </c>
      <c r="Z21" s="42">
        <f t="shared" si="4"/>
        <v>73880.679449999996</v>
      </c>
      <c r="AJ21" s="128" t="s">
        <v>79</v>
      </c>
      <c r="AK21" s="129" t="s">
        <v>80</v>
      </c>
      <c r="AP21" s="212"/>
      <c r="AQ21" s="88">
        <v>12</v>
      </c>
      <c r="AR21" s="89"/>
      <c r="AS21" s="90">
        <v>24496</v>
      </c>
      <c r="AT21" s="91">
        <f t="shared" si="9"/>
        <v>12.683838272557011</v>
      </c>
      <c r="AU21" s="89"/>
      <c r="AV21" s="90">
        <f t="shared" si="12"/>
        <v>26421</v>
      </c>
      <c r="AW21" s="91">
        <f t="shared" si="13"/>
        <v>13.68058830009916</v>
      </c>
      <c r="AX21" s="89"/>
      <c r="AY21" s="90">
        <f t="shared" si="10"/>
        <v>27711</v>
      </c>
      <c r="AZ21" s="91">
        <f t="shared" si="11"/>
        <v>14.34854026660792</v>
      </c>
      <c r="BB21" s="103">
        <f t="shared" si="14"/>
        <v>28597.752</v>
      </c>
      <c r="BC21" s="112">
        <v>14.51</v>
      </c>
      <c r="BE21" s="103">
        <f t="shared" si="15"/>
        <v>29455.684560000002</v>
      </c>
      <c r="BF21" s="105">
        <f t="shared" si="16"/>
        <v>14.9453</v>
      </c>
    </row>
    <row r="22" spans="8:58" ht="15" thickBot="1" x14ac:dyDescent="0.35">
      <c r="U22" s="68" t="s">
        <v>81</v>
      </c>
      <c r="V22" s="60">
        <v>69022</v>
      </c>
      <c r="W22" s="69">
        <f t="shared" si="3"/>
        <v>6.1032863849765168E-2</v>
      </c>
      <c r="X22" s="62">
        <v>73508.429999999993</v>
      </c>
      <c r="Y22" s="41">
        <v>0.03</v>
      </c>
      <c r="Z22" s="42">
        <f t="shared" si="4"/>
        <v>75713.682899999985</v>
      </c>
      <c r="AP22" s="213"/>
      <c r="AQ22" s="88">
        <v>13</v>
      </c>
      <c r="AR22" s="89"/>
      <c r="AS22" s="90">
        <v>24948</v>
      </c>
      <c r="AT22" s="91">
        <f t="shared" si="9"/>
        <v>12.917880356946128</v>
      </c>
      <c r="AU22" s="89"/>
      <c r="AV22" s="90">
        <f t="shared" si="12"/>
        <v>26873</v>
      </c>
      <c r="AW22" s="91">
        <f t="shared" si="13"/>
        <v>13.914630384488275</v>
      </c>
      <c r="AX22" s="89"/>
      <c r="AY22" s="90">
        <f t="shared" si="10"/>
        <v>28163</v>
      </c>
      <c r="AZ22" s="91">
        <f t="shared" si="11"/>
        <v>14.582582350997034</v>
      </c>
      <c r="BB22" s="103">
        <f t="shared" si="14"/>
        <v>29064.216</v>
      </c>
      <c r="BC22" s="112">
        <v>14.76</v>
      </c>
      <c r="BE22" s="103">
        <f t="shared" si="15"/>
        <v>29936.142479999999</v>
      </c>
      <c r="BF22" s="105">
        <f t="shared" si="16"/>
        <v>15.2028</v>
      </c>
    </row>
    <row r="23" spans="8:58" ht="15" thickBot="1" x14ac:dyDescent="0.35">
      <c r="U23" s="68" t="s">
        <v>82</v>
      </c>
      <c r="V23" s="60">
        <v>70733</v>
      </c>
      <c r="W23" s="69">
        <f t="shared" si="3"/>
        <v>6.1032863849765126E-2</v>
      </c>
      <c r="X23" s="62">
        <v>75330.64499999999</v>
      </c>
      <c r="Y23" s="41">
        <v>0.03</v>
      </c>
      <c r="Z23" s="42">
        <f t="shared" si="4"/>
        <v>77590.564349999986</v>
      </c>
      <c r="AP23" s="214" t="s">
        <v>64</v>
      </c>
      <c r="AQ23" s="100">
        <v>14</v>
      </c>
      <c r="AR23" s="89"/>
      <c r="AS23" s="101">
        <v>25409</v>
      </c>
      <c r="AT23" s="102">
        <f t="shared" si="9"/>
        <v>13.156582571334141</v>
      </c>
      <c r="AU23" s="89"/>
      <c r="AV23" s="101">
        <f t="shared" si="12"/>
        <v>27334</v>
      </c>
      <c r="AW23" s="102">
        <f t="shared" si="13"/>
        <v>14.15333259887629</v>
      </c>
      <c r="AX23" s="89"/>
      <c r="AY23" s="90">
        <f t="shared" si="10"/>
        <v>28624</v>
      </c>
      <c r="AZ23" s="102">
        <f t="shared" si="11"/>
        <v>14.821284565385048</v>
      </c>
      <c r="BB23" s="103">
        <f t="shared" si="14"/>
        <v>29539.968000000001</v>
      </c>
      <c r="BC23" s="104">
        <v>15.02</v>
      </c>
      <c r="BE23" s="103">
        <f t="shared" si="15"/>
        <v>30426.16704</v>
      </c>
      <c r="BF23" s="105">
        <f t="shared" si="16"/>
        <v>15.470599999999999</v>
      </c>
    </row>
    <row r="24" spans="8:58" ht="15" thickBot="1" x14ac:dyDescent="0.35">
      <c r="U24" s="68" t="s">
        <v>83</v>
      </c>
      <c r="V24" s="60">
        <v>72483</v>
      </c>
      <c r="W24" s="69">
        <f t="shared" si="3"/>
        <v>6.1032863849765133E-2</v>
      </c>
      <c r="X24" s="62">
        <v>77194.39499999999</v>
      </c>
      <c r="Y24" s="41">
        <v>0.03</v>
      </c>
      <c r="Z24" s="42">
        <f t="shared" si="4"/>
        <v>79510.226849999992</v>
      </c>
      <c r="AP24" s="216"/>
      <c r="AQ24" s="100">
        <v>15</v>
      </c>
      <c r="AR24" s="89"/>
      <c r="AS24" s="101">
        <v>25878</v>
      </c>
      <c r="AT24" s="102">
        <f t="shared" si="9"/>
        <v>13.399427123498953</v>
      </c>
      <c r="AU24" s="89"/>
      <c r="AV24" s="101">
        <f t="shared" si="12"/>
        <v>27803</v>
      </c>
      <c r="AW24" s="102">
        <f t="shared" si="13"/>
        <v>14.396177151041101</v>
      </c>
      <c r="AX24" s="89"/>
      <c r="AY24" s="90">
        <f t="shared" si="10"/>
        <v>29093</v>
      </c>
      <c r="AZ24" s="102">
        <f t="shared" si="11"/>
        <v>15.064129117549861</v>
      </c>
      <c r="BB24" s="103">
        <f t="shared" si="14"/>
        <v>30023.975999999999</v>
      </c>
      <c r="BC24" s="104">
        <v>15.27</v>
      </c>
      <c r="BE24" s="103">
        <f t="shared" si="15"/>
        <v>30924.69528</v>
      </c>
      <c r="BF24" s="105">
        <f t="shared" si="16"/>
        <v>15.7281</v>
      </c>
    </row>
    <row r="25" spans="8:58" ht="15" thickBot="1" x14ac:dyDescent="0.35">
      <c r="U25" s="68" t="s">
        <v>84</v>
      </c>
      <c r="V25" s="60">
        <v>74283</v>
      </c>
      <c r="W25" s="69">
        <f t="shared" si="3"/>
        <v>6.1032863849765133E-2</v>
      </c>
      <c r="X25" s="62">
        <v>79111.39499999999</v>
      </c>
      <c r="Y25" s="41">
        <v>0.03</v>
      </c>
      <c r="Z25" s="42">
        <f t="shared" si="4"/>
        <v>81484.736849999987</v>
      </c>
      <c r="AP25" s="216"/>
      <c r="AQ25" s="100">
        <v>16</v>
      </c>
      <c r="AR25" s="89"/>
      <c r="AS25" s="101">
        <v>26357</v>
      </c>
      <c r="AT25" s="102">
        <f t="shared" si="9"/>
        <v>13.647449597884764</v>
      </c>
      <c r="AU25" s="89"/>
      <c r="AV25" s="101">
        <f t="shared" si="12"/>
        <v>28282</v>
      </c>
      <c r="AW25" s="102">
        <f t="shared" si="13"/>
        <v>14.644199625426912</v>
      </c>
      <c r="AX25" s="89"/>
      <c r="AY25" s="90">
        <f t="shared" si="10"/>
        <v>29572</v>
      </c>
      <c r="AZ25" s="102">
        <f t="shared" si="11"/>
        <v>15.31215159193567</v>
      </c>
      <c r="BB25" s="103">
        <f t="shared" si="14"/>
        <v>30518.304</v>
      </c>
      <c r="BC25" s="104">
        <v>15.54</v>
      </c>
      <c r="BE25" s="103">
        <f t="shared" si="15"/>
        <v>31433.85312</v>
      </c>
      <c r="BF25" s="105">
        <f t="shared" si="16"/>
        <v>16.0062</v>
      </c>
    </row>
    <row r="26" spans="8:58" ht="15" thickBot="1" x14ac:dyDescent="0.35">
      <c r="U26" s="68" t="s">
        <v>85</v>
      </c>
      <c r="V26" s="60">
        <v>76122</v>
      </c>
      <c r="W26" s="69">
        <f t="shared" si="3"/>
        <v>6.1032863849765175E-2</v>
      </c>
      <c r="X26" s="62">
        <v>81069.929999999993</v>
      </c>
      <c r="Y26" s="41">
        <v>0.03</v>
      </c>
      <c r="Z26" s="42">
        <f t="shared" si="4"/>
        <v>83502.027899999986</v>
      </c>
      <c r="AP26" s="216"/>
      <c r="AQ26" s="100">
        <v>17</v>
      </c>
      <c r="AR26" s="89"/>
      <c r="AS26" s="101">
        <v>26845</v>
      </c>
      <c r="AT26" s="102">
        <f t="shared" si="9"/>
        <v>13.900132202269472</v>
      </c>
      <c r="AU26" s="89"/>
      <c r="AV26" s="101">
        <f t="shared" si="12"/>
        <v>28770</v>
      </c>
      <c r="AW26" s="102">
        <f t="shared" si="13"/>
        <v>14.89688222981162</v>
      </c>
      <c r="AX26" s="89"/>
      <c r="AY26" s="90">
        <f t="shared" si="10"/>
        <v>30060</v>
      </c>
      <c r="AZ26" s="102">
        <f t="shared" si="11"/>
        <v>15.56483419632038</v>
      </c>
      <c r="BB26" s="103">
        <f t="shared" si="14"/>
        <v>31021.919999999998</v>
      </c>
      <c r="BC26" s="104">
        <v>15.8</v>
      </c>
      <c r="BE26" s="103">
        <f t="shared" si="15"/>
        <v>31952.577599999997</v>
      </c>
      <c r="BF26" s="105">
        <f t="shared" si="16"/>
        <v>16.274000000000001</v>
      </c>
    </row>
    <row r="27" spans="8:58" ht="15" thickBot="1" x14ac:dyDescent="0.35">
      <c r="U27" s="68" t="s">
        <v>86</v>
      </c>
      <c r="V27" s="60">
        <v>78010</v>
      </c>
      <c r="W27" s="69">
        <f t="shared" si="3"/>
        <v>6.1032863849765195E-2</v>
      </c>
      <c r="X27" s="62">
        <v>83080.649999999994</v>
      </c>
      <c r="Y27" s="41">
        <v>0.03</v>
      </c>
      <c r="Z27" s="42">
        <f t="shared" si="4"/>
        <v>85573.069499999998</v>
      </c>
      <c r="AP27" s="216"/>
      <c r="AQ27" s="100">
        <v>18</v>
      </c>
      <c r="AR27" s="89"/>
      <c r="AS27" s="101">
        <v>27344</v>
      </c>
      <c r="AT27" s="102">
        <f t="shared" si="9"/>
        <v>14.158510521097279</v>
      </c>
      <c r="AU27" s="89"/>
      <c r="AV27" s="101">
        <f t="shared" si="12"/>
        <v>29269</v>
      </c>
      <c r="AW27" s="102">
        <f t="shared" si="13"/>
        <v>15.155260548639427</v>
      </c>
      <c r="AX27" s="89"/>
      <c r="AY27" s="90">
        <f t="shared" si="10"/>
        <v>30559</v>
      </c>
      <c r="AZ27" s="102">
        <f t="shared" si="11"/>
        <v>15.823212515148187</v>
      </c>
      <c r="BB27" s="103">
        <f t="shared" si="14"/>
        <v>31536.887999999999</v>
      </c>
      <c r="BC27" s="104">
        <v>16.079999999999998</v>
      </c>
      <c r="BE27" s="103">
        <f t="shared" si="15"/>
        <v>32482.994639999997</v>
      </c>
      <c r="BF27" s="105">
        <f t="shared" si="16"/>
        <v>16.562399999999997</v>
      </c>
    </row>
    <row r="28" spans="8:58" ht="15" thickBot="1" x14ac:dyDescent="0.35">
      <c r="U28" s="68" t="s">
        <v>87</v>
      </c>
      <c r="V28" s="60">
        <v>79949</v>
      </c>
      <c r="W28" s="69">
        <f t="shared" si="3"/>
        <v>6.103286384976523E-2</v>
      </c>
      <c r="X28" s="62">
        <v>85145.684999999998</v>
      </c>
      <c r="Y28" s="41">
        <v>0.03</v>
      </c>
      <c r="Z28" s="42">
        <f t="shared" si="4"/>
        <v>87700.05554999999</v>
      </c>
      <c r="AP28" s="216"/>
      <c r="AQ28" s="100">
        <v>19</v>
      </c>
      <c r="AR28" s="89"/>
      <c r="AS28" s="101">
        <v>27852</v>
      </c>
      <c r="AT28" s="102">
        <f t="shared" si="9"/>
        <v>14.421548969923984</v>
      </c>
      <c r="AU28" s="89"/>
      <c r="AV28" s="101">
        <f t="shared" si="12"/>
        <v>29777</v>
      </c>
      <c r="AW28" s="102">
        <f t="shared" si="13"/>
        <v>15.418298997466133</v>
      </c>
      <c r="AX28" s="89"/>
      <c r="AY28" s="90">
        <f t="shared" si="10"/>
        <v>31067</v>
      </c>
      <c r="AZ28" s="102">
        <f t="shared" si="11"/>
        <v>16.086250963974891</v>
      </c>
      <c r="BB28" s="103">
        <f t="shared" si="14"/>
        <v>32061.144</v>
      </c>
      <c r="BC28" s="104">
        <v>16.36</v>
      </c>
      <c r="BE28" s="103">
        <f t="shared" si="15"/>
        <v>33022.978320000002</v>
      </c>
      <c r="BF28" s="105">
        <f t="shared" si="16"/>
        <v>16.8508</v>
      </c>
    </row>
    <row r="29" spans="8:58" ht="15" thickBot="1" x14ac:dyDescent="0.35">
      <c r="U29" s="68" t="s">
        <v>88</v>
      </c>
      <c r="V29" s="60">
        <v>81927</v>
      </c>
      <c r="W29" s="69">
        <f t="shared" si="3"/>
        <v>6.1032863849765154E-2</v>
      </c>
      <c r="X29" s="62">
        <v>87252.25499999999</v>
      </c>
      <c r="Y29" s="41">
        <v>0.03</v>
      </c>
      <c r="Z29" s="42">
        <f t="shared" si="4"/>
        <v>89869.822649999987</v>
      </c>
      <c r="AP29" s="215"/>
      <c r="AQ29" s="100">
        <v>20</v>
      </c>
      <c r="AR29" s="89"/>
      <c r="AS29" s="101">
        <v>28371</v>
      </c>
      <c r="AT29" s="102">
        <f t="shared" si="9"/>
        <v>14.690283133193786</v>
      </c>
      <c r="AU29" s="89"/>
      <c r="AV29" s="101">
        <f t="shared" si="12"/>
        <v>30296</v>
      </c>
      <c r="AW29" s="102">
        <f t="shared" si="13"/>
        <v>15.687033160735936</v>
      </c>
      <c r="AX29" s="89"/>
      <c r="AY29" s="90">
        <f t="shared" si="10"/>
        <v>31586</v>
      </c>
      <c r="AZ29" s="102">
        <f t="shared" si="11"/>
        <v>16.354985127244696</v>
      </c>
      <c r="BB29" s="103">
        <f t="shared" si="14"/>
        <v>32596.752</v>
      </c>
      <c r="BC29" s="104">
        <v>16.64</v>
      </c>
      <c r="BE29" s="103">
        <f t="shared" si="15"/>
        <v>33574.654560000003</v>
      </c>
      <c r="BF29" s="105">
        <f t="shared" si="16"/>
        <v>17.139199999999999</v>
      </c>
    </row>
    <row r="30" spans="8:58" ht="15" thickBot="1" x14ac:dyDescent="0.35">
      <c r="U30" s="68" t="s">
        <v>89</v>
      </c>
      <c r="V30" s="60">
        <v>83956</v>
      </c>
      <c r="W30" s="69">
        <f t="shared" si="3"/>
        <v>6.1032863849765251E-2</v>
      </c>
      <c r="X30" s="62">
        <v>89413.14</v>
      </c>
      <c r="Y30" s="41">
        <v>0.03</v>
      </c>
      <c r="Z30" s="42">
        <f t="shared" si="4"/>
        <v>92095.534199999995</v>
      </c>
      <c r="AP30" s="211" t="s">
        <v>67</v>
      </c>
      <c r="AQ30" s="88">
        <v>21</v>
      </c>
      <c r="AR30" s="89"/>
      <c r="AS30" s="90">
        <v>28900</v>
      </c>
      <c r="AT30" s="91">
        <f t="shared" si="9"/>
        <v>14.964195218684587</v>
      </c>
      <c r="AU30" s="89"/>
      <c r="AV30" s="90">
        <f t="shared" si="12"/>
        <v>30825</v>
      </c>
      <c r="AW30" s="91">
        <f t="shared" si="13"/>
        <v>15.960945246226737</v>
      </c>
      <c r="AX30" s="89"/>
      <c r="AY30" s="90">
        <f t="shared" si="10"/>
        <v>32115</v>
      </c>
      <c r="AZ30" s="91">
        <f t="shared" si="11"/>
        <v>16.628897212735495</v>
      </c>
      <c r="BB30" s="103">
        <f t="shared" si="14"/>
        <v>33142.68</v>
      </c>
      <c r="BC30" s="112">
        <v>16.93</v>
      </c>
      <c r="BE30" s="103">
        <f t="shared" si="15"/>
        <v>34136.960400000004</v>
      </c>
      <c r="BF30" s="105">
        <f t="shared" si="16"/>
        <v>17.437899999999999</v>
      </c>
    </row>
    <row r="31" spans="8:58" ht="15" thickBot="1" x14ac:dyDescent="0.35">
      <c r="U31" s="68" t="s">
        <v>90</v>
      </c>
      <c r="V31" s="60">
        <v>86040</v>
      </c>
      <c r="W31" s="69">
        <f t="shared" si="3"/>
        <v>6.1032863849765168E-2</v>
      </c>
      <c r="X31" s="62">
        <v>91632.599999999991</v>
      </c>
      <c r="Y31" s="41">
        <v>0.03</v>
      </c>
      <c r="Z31" s="42">
        <f t="shared" si="4"/>
        <v>94381.577999999994</v>
      </c>
      <c r="AP31" s="212"/>
      <c r="AQ31" s="88">
        <v>22</v>
      </c>
      <c r="AR31" s="89"/>
      <c r="AS31" s="90">
        <v>29439</v>
      </c>
      <c r="AT31" s="91">
        <f t="shared" si="9"/>
        <v>15.243285226396386</v>
      </c>
      <c r="AU31" s="89"/>
      <c r="AV31" s="90">
        <f t="shared" si="12"/>
        <v>31364</v>
      </c>
      <c r="AW31" s="91">
        <f t="shared" si="13"/>
        <v>16.240035253938537</v>
      </c>
      <c r="AX31" s="89"/>
      <c r="AY31" s="90">
        <f t="shared" si="10"/>
        <v>32654</v>
      </c>
      <c r="AZ31" s="91">
        <f t="shared" si="11"/>
        <v>16.907987220447296</v>
      </c>
      <c r="BB31" s="103">
        <f t="shared" si="14"/>
        <v>33698.928</v>
      </c>
      <c r="BC31" s="112">
        <v>17.23</v>
      </c>
      <c r="BE31" s="103">
        <f t="shared" si="15"/>
        <v>34709.895839999997</v>
      </c>
      <c r="BF31" s="105">
        <f t="shared" si="16"/>
        <v>17.7469</v>
      </c>
    </row>
    <row r="32" spans="8:58" ht="15" thickBot="1" x14ac:dyDescent="0.35">
      <c r="U32" s="68" t="s">
        <v>91</v>
      </c>
      <c r="V32" s="60">
        <v>88170</v>
      </c>
      <c r="W32" s="69">
        <f t="shared" si="3"/>
        <v>6.103286384976514E-2</v>
      </c>
      <c r="X32" s="62">
        <v>93901.049999999988</v>
      </c>
      <c r="Y32" s="41">
        <v>0.03</v>
      </c>
      <c r="Z32" s="42">
        <f t="shared" si="4"/>
        <v>96718.081499999986</v>
      </c>
      <c r="AP32" s="212"/>
      <c r="AQ32" s="88">
        <v>23</v>
      </c>
      <c r="AR32" s="89"/>
      <c r="AS32" s="90">
        <v>30151</v>
      </c>
      <c r="AT32" s="91">
        <f t="shared" si="9"/>
        <v>15.611953288531453</v>
      </c>
      <c r="AU32" s="89"/>
      <c r="AV32" s="90">
        <f t="shared" si="12"/>
        <v>32076</v>
      </c>
      <c r="AW32" s="91">
        <f t="shared" si="13"/>
        <v>16.608703316073601</v>
      </c>
      <c r="AX32" s="89"/>
      <c r="AY32" s="90">
        <f t="shared" si="10"/>
        <v>33366</v>
      </c>
      <c r="AZ32" s="91">
        <f t="shared" si="11"/>
        <v>17.276655282582361</v>
      </c>
      <c r="BB32" s="103">
        <f t="shared" si="14"/>
        <v>34433.712</v>
      </c>
      <c r="BC32" s="112">
        <v>17.62</v>
      </c>
      <c r="BE32" s="103">
        <f t="shared" si="15"/>
        <v>35466.723359999996</v>
      </c>
      <c r="BF32" s="105">
        <f t="shared" si="16"/>
        <v>18.148600000000002</v>
      </c>
    </row>
    <row r="33" spans="21:58" ht="15" thickBot="1" x14ac:dyDescent="0.35">
      <c r="U33" s="68" t="s">
        <v>92</v>
      </c>
      <c r="V33" s="60">
        <v>90365</v>
      </c>
      <c r="W33" s="69">
        <f t="shared" si="3"/>
        <v>6.1032863849765175E-2</v>
      </c>
      <c r="X33" s="62">
        <v>96238.724999999991</v>
      </c>
      <c r="Y33" s="41">
        <v>0.03</v>
      </c>
      <c r="Z33" s="42">
        <f t="shared" si="4"/>
        <v>99125.886749999991</v>
      </c>
      <c r="AP33" s="212"/>
      <c r="AQ33" s="88">
        <v>24</v>
      </c>
      <c r="AR33" s="89"/>
      <c r="AS33" s="90">
        <v>31099</v>
      </c>
      <c r="AT33" s="91">
        <f t="shared" si="9"/>
        <v>16.102820315082074</v>
      </c>
      <c r="AU33" s="89"/>
      <c r="AV33" s="90">
        <f t="shared" si="12"/>
        <v>33024</v>
      </c>
      <c r="AW33" s="91">
        <f t="shared" si="13"/>
        <v>17.099570342624226</v>
      </c>
      <c r="AX33" s="89"/>
      <c r="AY33" s="90">
        <f t="shared" si="10"/>
        <v>34314</v>
      </c>
      <c r="AZ33" s="91">
        <f t="shared" si="11"/>
        <v>17.767522309132985</v>
      </c>
      <c r="BB33" s="103">
        <f t="shared" si="14"/>
        <v>35412.048000000003</v>
      </c>
      <c r="BC33" s="112">
        <v>18.14</v>
      </c>
      <c r="BE33" s="103">
        <f t="shared" si="15"/>
        <v>36474.409440000003</v>
      </c>
      <c r="BF33" s="105">
        <f t="shared" si="16"/>
        <v>18.684200000000001</v>
      </c>
    </row>
    <row r="34" spans="21:58" ht="15" thickBot="1" x14ac:dyDescent="0.35">
      <c r="U34" s="68" t="s">
        <v>93</v>
      </c>
      <c r="V34" s="60">
        <v>92597</v>
      </c>
      <c r="W34" s="69">
        <f t="shared" si="3"/>
        <v>6.1032863849765188E-2</v>
      </c>
      <c r="X34" s="62">
        <v>98615.804999999993</v>
      </c>
      <c r="Y34" s="41">
        <v>0.03</v>
      </c>
      <c r="Z34" s="42">
        <f t="shared" si="4"/>
        <v>101574.27914999999</v>
      </c>
      <c r="AP34" s="212"/>
      <c r="AQ34" s="88">
        <v>25</v>
      </c>
      <c r="AR34" s="89"/>
      <c r="AS34" s="90">
        <v>32020</v>
      </c>
      <c r="AT34" s="91">
        <f t="shared" si="9"/>
        <v>16.579706951636002</v>
      </c>
      <c r="AU34" s="89"/>
      <c r="AV34" s="90">
        <f t="shared" si="12"/>
        <v>33945</v>
      </c>
      <c r="AW34" s="91">
        <f t="shared" si="13"/>
        <v>17.576456979178154</v>
      </c>
      <c r="AX34" s="89"/>
      <c r="AY34" s="90">
        <f t="shared" si="10"/>
        <v>35235</v>
      </c>
      <c r="AZ34" s="91">
        <f t="shared" si="11"/>
        <v>18.244408945686914</v>
      </c>
      <c r="BB34" s="103">
        <f t="shared" si="14"/>
        <v>36362.519999999997</v>
      </c>
      <c r="BC34" s="112">
        <v>18.649999999999999</v>
      </c>
      <c r="BE34" s="103">
        <f t="shared" si="15"/>
        <v>37453.395599999996</v>
      </c>
      <c r="BF34" s="105">
        <f t="shared" si="16"/>
        <v>19.209499999999998</v>
      </c>
    </row>
    <row r="35" spans="21:58" ht="15" thickBot="1" x14ac:dyDescent="0.35">
      <c r="U35" s="68" t="s">
        <v>94</v>
      </c>
      <c r="V35" s="60">
        <v>94898</v>
      </c>
      <c r="W35" s="69">
        <f t="shared" si="3"/>
        <v>6.1032863849765216E-2</v>
      </c>
      <c r="X35" s="62">
        <v>101066.37</v>
      </c>
      <c r="Y35" s="41">
        <v>0.03</v>
      </c>
      <c r="Z35" s="42">
        <f t="shared" si="4"/>
        <v>104098.36109999999</v>
      </c>
      <c r="AP35" s="213"/>
      <c r="AQ35" s="88">
        <v>26</v>
      </c>
      <c r="AR35" s="89"/>
      <c r="AS35" s="90">
        <v>32909</v>
      </c>
      <c r="AT35" s="91">
        <f t="shared" si="9"/>
        <v>17.040024237082736</v>
      </c>
      <c r="AU35" s="89"/>
      <c r="AV35" s="90">
        <f t="shared" si="12"/>
        <v>34834</v>
      </c>
      <c r="AW35" s="91">
        <f t="shared" si="13"/>
        <v>18.036774264624889</v>
      </c>
      <c r="AX35" s="89"/>
      <c r="AY35" s="90">
        <f t="shared" si="10"/>
        <v>36124</v>
      </c>
      <c r="AZ35" s="91">
        <f t="shared" si="11"/>
        <v>18.704726231133645</v>
      </c>
      <c r="BB35" s="103">
        <f t="shared" si="14"/>
        <v>37279.968000000001</v>
      </c>
      <c r="BC35" s="112">
        <v>19.14</v>
      </c>
      <c r="BE35" s="103">
        <f t="shared" si="15"/>
        <v>38398.367039999997</v>
      </c>
      <c r="BF35" s="105">
        <f t="shared" si="16"/>
        <v>19.714200000000002</v>
      </c>
    </row>
    <row r="36" spans="21:58" ht="15" thickBot="1" x14ac:dyDescent="0.35">
      <c r="U36" s="68" t="s">
        <v>95</v>
      </c>
      <c r="V36" s="60">
        <v>97256</v>
      </c>
      <c r="W36" s="69">
        <f t="shared" si="3"/>
        <v>6.1032863849765251E-2</v>
      </c>
      <c r="X36" s="62">
        <v>103577.64</v>
      </c>
      <c r="Y36" s="41">
        <v>0.03</v>
      </c>
      <c r="Z36" s="42">
        <f t="shared" si="4"/>
        <v>106684.96919999999</v>
      </c>
      <c r="AP36" s="214" t="s">
        <v>70</v>
      </c>
      <c r="AQ36" s="100">
        <v>27</v>
      </c>
      <c r="AR36" s="89"/>
      <c r="AS36" s="101">
        <v>33819</v>
      </c>
      <c r="AT36" s="102">
        <f t="shared" si="9"/>
        <v>17.511215159193565</v>
      </c>
      <c r="AU36" s="89"/>
      <c r="AV36" s="101">
        <f t="shared" si="12"/>
        <v>35744</v>
      </c>
      <c r="AW36" s="102">
        <f t="shared" si="13"/>
        <v>18.507965186735717</v>
      </c>
      <c r="AX36" s="89"/>
      <c r="AY36" s="90">
        <f t="shared" si="10"/>
        <v>37034</v>
      </c>
      <c r="AZ36" s="102">
        <f t="shared" si="11"/>
        <v>19.175917153244477</v>
      </c>
      <c r="BB36" s="103">
        <f t="shared" si="14"/>
        <v>38219.088000000003</v>
      </c>
      <c r="BC36" s="104">
        <v>19.64</v>
      </c>
      <c r="BE36" s="103">
        <f t="shared" si="15"/>
        <v>39365.660640000002</v>
      </c>
      <c r="BF36" s="105">
        <f t="shared" si="16"/>
        <v>20.229199999999999</v>
      </c>
    </row>
    <row r="37" spans="21:58" ht="15" thickBot="1" x14ac:dyDescent="0.35">
      <c r="U37" s="68" t="s">
        <v>96</v>
      </c>
      <c r="V37" s="60">
        <v>99660</v>
      </c>
      <c r="W37" s="69">
        <f t="shared" si="3"/>
        <v>6.1032863849765209E-2</v>
      </c>
      <c r="X37" s="62">
        <v>106137.9</v>
      </c>
      <c r="Y37" s="41">
        <v>0.03</v>
      </c>
      <c r="Z37" s="42">
        <f t="shared" si="4"/>
        <v>109322.037</v>
      </c>
      <c r="AP37" s="216"/>
      <c r="AQ37" s="100">
        <v>28</v>
      </c>
      <c r="AR37" s="89"/>
      <c r="AS37" s="101">
        <v>34723</v>
      </c>
      <c r="AT37" s="102">
        <f t="shared" si="9"/>
        <v>17.979299327971798</v>
      </c>
      <c r="AU37" s="89"/>
      <c r="AV37" s="101">
        <f t="shared" si="12"/>
        <v>36648</v>
      </c>
      <c r="AW37" s="102">
        <f t="shared" si="13"/>
        <v>18.976049355513947</v>
      </c>
      <c r="AX37" s="89"/>
      <c r="AY37" s="90">
        <f t="shared" si="10"/>
        <v>37938</v>
      </c>
      <c r="AZ37" s="102">
        <f t="shared" si="11"/>
        <v>19.644001322022707</v>
      </c>
      <c r="BB37" s="103">
        <f t="shared" si="14"/>
        <v>39152.016000000003</v>
      </c>
      <c r="BC37" s="104">
        <v>20.13</v>
      </c>
      <c r="BE37" s="103">
        <f t="shared" si="15"/>
        <v>40326.576480000003</v>
      </c>
      <c r="BF37" s="105">
        <f t="shared" si="16"/>
        <v>20.733899999999998</v>
      </c>
    </row>
    <row r="38" spans="21:58" ht="15" thickBot="1" x14ac:dyDescent="0.35">
      <c r="U38" s="68" t="s">
        <v>97</v>
      </c>
      <c r="V38" s="60">
        <v>102137</v>
      </c>
      <c r="W38" s="69">
        <f t="shared" si="3"/>
        <v>6.1032863849765251E-2</v>
      </c>
      <c r="X38" s="62">
        <v>108775.905</v>
      </c>
      <c r="Y38" s="41">
        <v>0.03</v>
      </c>
      <c r="Z38" s="42">
        <f t="shared" si="4"/>
        <v>112039.18214999999</v>
      </c>
      <c r="AP38" s="216"/>
      <c r="AQ38" s="100">
        <v>29</v>
      </c>
      <c r="AR38" s="89"/>
      <c r="AS38" s="101">
        <v>35411</v>
      </c>
      <c r="AT38" s="102">
        <f t="shared" si="9"/>
        <v>18.335540376776468</v>
      </c>
      <c r="AU38" s="89"/>
      <c r="AV38" s="101">
        <f t="shared" si="12"/>
        <v>37336</v>
      </c>
      <c r="AW38" s="102">
        <f t="shared" si="13"/>
        <v>19.33229040431862</v>
      </c>
      <c r="AX38" s="89"/>
      <c r="AY38" s="90">
        <f t="shared" si="10"/>
        <v>38626</v>
      </c>
      <c r="AZ38" s="102">
        <f t="shared" si="11"/>
        <v>20.00024237082738</v>
      </c>
      <c r="BB38" s="103">
        <f t="shared" si="14"/>
        <v>39862.031999999999</v>
      </c>
      <c r="BC38" s="104">
        <v>20.51</v>
      </c>
      <c r="BE38" s="103">
        <f t="shared" si="15"/>
        <v>41057.892959999997</v>
      </c>
      <c r="BF38" s="105">
        <f t="shared" si="16"/>
        <v>21.125300000000003</v>
      </c>
    </row>
    <row r="39" spans="21:58" ht="15" thickBot="1" x14ac:dyDescent="0.35">
      <c r="U39" s="68" t="s">
        <v>98</v>
      </c>
      <c r="V39" s="60">
        <v>104666</v>
      </c>
      <c r="W39" s="69">
        <f t="shared" si="3"/>
        <v>6.1032863849765202E-2</v>
      </c>
      <c r="X39" s="62">
        <v>111469.29</v>
      </c>
      <c r="Y39" s="41">
        <v>0.03</v>
      </c>
      <c r="Z39" s="42">
        <f t="shared" si="4"/>
        <v>114813.36869999999</v>
      </c>
      <c r="AP39" s="216"/>
      <c r="AQ39" s="100">
        <v>30</v>
      </c>
      <c r="AR39" s="89"/>
      <c r="AS39" s="101">
        <v>36298</v>
      </c>
      <c r="AT39" s="102">
        <f t="shared" si="9"/>
        <v>18.794822077779003</v>
      </c>
      <c r="AU39" s="89"/>
      <c r="AV39" s="101">
        <f t="shared" si="12"/>
        <v>38223</v>
      </c>
      <c r="AW39" s="102">
        <f t="shared" si="13"/>
        <v>19.791572105321155</v>
      </c>
      <c r="AX39" s="89"/>
      <c r="AY39" s="90">
        <f t="shared" si="10"/>
        <v>39513</v>
      </c>
      <c r="AZ39" s="102">
        <f t="shared" si="11"/>
        <v>20.459524071829911</v>
      </c>
      <c r="BB39" s="103">
        <f t="shared" si="14"/>
        <v>40777.415999999997</v>
      </c>
      <c r="BC39" s="104">
        <v>21</v>
      </c>
      <c r="BE39" s="103">
        <f t="shared" si="15"/>
        <v>42000.73848</v>
      </c>
      <c r="BF39" s="105">
        <f t="shared" si="16"/>
        <v>21.63</v>
      </c>
    </row>
    <row r="40" spans="21:58" ht="15" thickBot="1" x14ac:dyDescent="0.35">
      <c r="U40" s="68" t="s">
        <v>99</v>
      </c>
      <c r="V40" s="60">
        <v>107267</v>
      </c>
      <c r="W40" s="69">
        <f t="shared" si="3"/>
        <v>6.1032863849765223E-2</v>
      </c>
      <c r="X40" s="62">
        <v>114239.355</v>
      </c>
      <c r="Y40" s="41">
        <v>0.03</v>
      </c>
      <c r="Z40" s="42">
        <f t="shared" si="4"/>
        <v>117666.53564999999</v>
      </c>
      <c r="AP40" s="215"/>
      <c r="AQ40" s="100">
        <v>31</v>
      </c>
      <c r="AR40" s="89"/>
      <c r="AS40" s="101">
        <v>37261</v>
      </c>
      <c r="AT40" s="102">
        <f t="shared" si="9"/>
        <v>19.293455987661122</v>
      </c>
      <c r="AU40" s="89"/>
      <c r="AV40" s="101">
        <f t="shared" si="12"/>
        <v>39186</v>
      </c>
      <c r="AW40" s="102">
        <f t="shared" si="13"/>
        <v>20.290206015203275</v>
      </c>
      <c r="AX40" s="89"/>
      <c r="AY40" s="90">
        <f t="shared" si="10"/>
        <v>40476</v>
      </c>
      <c r="AZ40" s="102">
        <f t="shared" si="11"/>
        <v>20.958157981712031</v>
      </c>
      <c r="BB40" s="103">
        <f t="shared" si="14"/>
        <v>41771.232000000004</v>
      </c>
      <c r="BC40" s="104">
        <v>21.53</v>
      </c>
      <c r="BE40" s="103">
        <f t="shared" si="15"/>
        <v>43024.368960000007</v>
      </c>
      <c r="BF40" s="105">
        <f t="shared" si="16"/>
        <v>22.175900000000002</v>
      </c>
    </row>
    <row r="41" spans="21:58" ht="15" thickBot="1" x14ac:dyDescent="0.35">
      <c r="U41" s="68" t="s">
        <v>100</v>
      </c>
      <c r="V41" s="60">
        <v>109922</v>
      </c>
      <c r="W41" s="69">
        <f t="shared" si="3"/>
        <v>6.1032863849765202E-2</v>
      </c>
      <c r="X41" s="62">
        <v>117066.93</v>
      </c>
      <c r="Y41" s="41">
        <v>0.03</v>
      </c>
      <c r="Z41" s="42">
        <f t="shared" si="4"/>
        <v>120578.93789999999</v>
      </c>
      <c r="AP41" s="211" t="s">
        <v>73</v>
      </c>
      <c r="AQ41" s="88">
        <v>32</v>
      </c>
      <c r="AR41" s="89"/>
      <c r="AS41" s="90">
        <v>38296</v>
      </c>
      <c r="AT41" s="91">
        <f t="shared" si="9"/>
        <v>19.829370937534428</v>
      </c>
      <c r="AU41" s="89"/>
      <c r="AV41" s="90">
        <f t="shared" si="12"/>
        <v>40221</v>
      </c>
      <c r="AW41" s="91">
        <f t="shared" si="13"/>
        <v>20.82612096507658</v>
      </c>
      <c r="AX41" s="89"/>
      <c r="AY41" s="90">
        <f t="shared" si="10"/>
        <v>41511</v>
      </c>
      <c r="AZ41" s="91">
        <f t="shared" si="11"/>
        <v>21.49407293158534</v>
      </c>
      <c r="BB41" s="103">
        <f t="shared" si="14"/>
        <v>42839.351999999999</v>
      </c>
      <c r="BC41" s="112">
        <v>22.09</v>
      </c>
      <c r="BE41" s="103">
        <f t="shared" si="15"/>
        <v>44124.53256</v>
      </c>
      <c r="BF41" s="105">
        <f t="shared" si="16"/>
        <v>22.752700000000001</v>
      </c>
    </row>
    <row r="42" spans="21:58" ht="15" thickBot="1" x14ac:dyDescent="0.35">
      <c r="U42" s="68" t="s">
        <v>101</v>
      </c>
      <c r="V42" s="60">
        <v>112601</v>
      </c>
      <c r="W42" s="69">
        <f t="shared" si="3"/>
        <v>6.1032863849765161E-2</v>
      </c>
      <c r="X42" s="62">
        <v>119920.06499999999</v>
      </c>
      <c r="Y42" s="41">
        <v>0.03</v>
      </c>
      <c r="Z42" s="42">
        <f t="shared" si="4"/>
        <v>123517.66694999998</v>
      </c>
      <c r="AP42" s="212"/>
      <c r="AQ42" s="88">
        <v>33</v>
      </c>
      <c r="AR42" s="89"/>
      <c r="AS42" s="90">
        <v>39493</v>
      </c>
      <c r="AT42" s="91">
        <f t="shared" si="9"/>
        <v>20.449168227387904</v>
      </c>
      <c r="AU42" s="89"/>
      <c r="AV42" s="90">
        <f t="shared" si="12"/>
        <v>41418</v>
      </c>
      <c r="AW42" s="91">
        <f t="shared" si="13"/>
        <v>21.445918254930056</v>
      </c>
      <c r="AX42" s="89"/>
      <c r="AY42" s="90">
        <f t="shared" si="10"/>
        <v>42708</v>
      </c>
      <c r="AZ42" s="91">
        <f t="shared" si="11"/>
        <v>22.113870221438816</v>
      </c>
      <c r="BB42" s="103">
        <f t="shared" si="14"/>
        <v>44074.656000000003</v>
      </c>
      <c r="BC42" s="112">
        <v>22.75</v>
      </c>
      <c r="BE42" s="103">
        <f t="shared" si="15"/>
        <v>45396.895680000001</v>
      </c>
      <c r="BF42" s="105">
        <f t="shared" si="16"/>
        <v>23.432500000000001</v>
      </c>
    </row>
    <row r="43" spans="21:58" ht="15" thickBot="1" x14ac:dyDescent="0.35">
      <c r="U43" s="68" t="s">
        <v>102</v>
      </c>
      <c r="V43" s="60">
        <v>115410</v>
      </c>
      <c r="W43" s="69">
        <f t="shared" si="3"/>
        <v>6.1032863849765216E-2</v>
      </c>
      <c r="X43" s="62">
        <v>122911.65</v>
      </c>
      <c r="Y43" s="41">
        <v>0.03</v>
      </c>
      <c r="Z43" s="42">
        <f t="shared" si="4"/>
        <v>126598.99949999999</v>
      </c>
      <c r="AP43" s="212"/>
      <c r="AQ43" s="88">
        <v>34</v>
      </c>
      <c r="AR43" s="89"/>
      <c r="AS43" s="90">
        <v>40478</v>
      </c>
      <c r="AT43" s="91">
        <f t="shared" si="9"/>
        <v>20.95919356615622</v>
      </c>
      <c r="AU43" s="89"/>
      <c r="AV43" s="90">
        <f t="shared" si="12"/>
        <v>42403</v>
      </c>
      <c r="AW43" s="91">
        <f t="shared" si="13"/>
        <v>21.955943593698372</v>
      </c>
      <c r="AX43" s="89"/>
      <c r="AY43" s="90">
        <f t="shared" si="10"/>
        <v>43693</v>
      </c>
      <c r="AZ43" s="91">
        <f t="shared" si="11"/>
        <v>22.623895560207131</v>
      </c>
      <c r="BB43" s="103">
        <f t="shared" si="14"/>
        <v>45091.175999999999</v>
      </c>
      <c r="BC43" s="112">
        <v>23.29</v>
      </c>
      <c r="BE43" s="103">
        <f t="shared" si="15"/>
        <v>46443.91128</v>
      </c>
      <c r="BF43" s="105">
        <f t="shared" si="16"/>
        <v>23.988699999999998</v>
      </c>
    </row>
    <row r="44" spans="21:58" ht="15" thickBot="1" x14ac:dyDescent="0.35">
      <c r="U44" s="68" t="s">
        <v>103</v>
      </c>
      <c r="V44" s="60">
        <v>118293</v>
      </c>
      <c r="W44" s="69">
        <f t="shared" si="3"/>
        <v>6.1032863849765244E-2</v>
      </c>
      <c r="X44" s="62">
        <v>125982.045</v>
      </c>
      <c r="Y44" s="41">
        <v>0.03</v>
      </c>
      <c r="Z44" s="42">
        <f t="shared" si="4"/>
        <v>129761.50635</v>
      </c>
      <c r="AP44" s="212"/>
      <c r="AQ44" s="88">
        <v>35</v>
      </c>
      <c r="AR44" s="89"/>
      <c r="AS44" s="90">
        <v>41496</v>
      </c>
      <c r="AT44" s="91">
        <f t="shared" si="9"/>
        <v>21.486306048253827</v>
      </c>
      <c r="AU44" s="89"/>
      <c r="AV44" s="90">
        <f t="shared" si="12"/>
        <v>43421</v>
      </c>
      <c r="AW44" s="91">
        <f t="shared" si="13"/>
        <v>22.483056075795982</v>
      </c>
      <c r="AX44" s="89"/>
      <c r="AY44" s="90">
        <f t="shared" si="10"/>
        <v>44711</v>
      </c>
      <c r="AZ44" s="91">
        <f t="shared" si="11"/>
        <v>23.151008042304742</v>
      </c>
      <c r="BB44" s="103">
        <f t="shared" si="14"/>
        <v>46141.752</v>
      </c>
      <c r="BC44" s="112">
        <v>23.85</v>
      </c>
      <c r="BE44" s="103">
        <f t="shared" si="15"/>
        <v>47526.004560000001</v>
      </c>
      <c r="BF44" s="105">
        <f t="shared" si="16"/>
        <v>24.5655</v>
      </c>
    </row>
    <row r="45" spans="21:58" ht="15" thickBot="1" x14ac:dyDescent="0.35">
      <c r="U45" s="68" t="s">
        <v>104</v>
      </c>
      <c r="V45" s="60">
        <v>121258</v>
      </c>
      <c r="W45" s="69">
        <f t="shared" si="3"/>
        <v>6.1032863849765182E-2</v>
      </c>
      <c r="X45" s="62">
        <v>129139.76999999999</v>
      </c>
      <c r="Y45" s="41">
        <v>0.03</v>
      </c>
      <c r="Z45" s="42">
        <f t="shared" si="4"/>
        <v>133013.96309999999</v>
      </c>
      <c r="AP45" s="213"/>
      <c r="AQ45" s="88">
        <v>36</v>
      </c>
      <c r="AR45" s="89"/>
      <c r="AS45" s="90">
        <v>42503</v>
      </c>
      <c r="AT45" s="91">
        <f t="shared" si="9"/>
        <v>22.007722815908341</v>
      </c>
      <c r="AU45" s="89"/>
      <c r="AV45" s="90">
        <f t="shared" si="12"/>
        <v>44428</v>
      </c>
      <c r="AW45" s="91">
        <f t="shared" si="13"/>
        <v>23.004472843450493</v>
      </c>
      <c r="AX45" s="89"/>
      <c r="AY45" s="90">
        <f t="shared" si="10"/>
        <v>45718</v>
      </c>
      <c r="AZ45" s="91">
        <f t="shared" si="11"/>
        <v>23.672424809959253</v>
      </c>
      <c r="BB45" s="103">
        <f t="shared" si="14"/>
        <v>47180.976000000002</v>
      </c>
      <c r="BC45" s="112">
        <v>24.41</v>
      </c>
      <c r="BE45" s="103">
        <f t="shared" si="15"/>
        <v>48596.405279999999</v>
      </c>
      <c r="BF45" s="105">
        <f t="shared" si="16"/>
        <v>25.142299999999999</v>
      </c>
    </row>
    <row r="46" spans="21:58" ht="15" thickBot="1" x14ac:dyDescent="0.35">
      <c r="U46" s="130" t="s">
        <v>105</v>
      </c>
      <c r="V46" s="124">
        <v>123057</v>
      </c>
      <c r="W46" s="131">
        <f t="shared" si="3"/>
        <v>6.1032863849765168E-2</v>
      </c>
      <c r="X46" s="126">
        <v>131055.70499999999</v>
      </c>
      <c r="Y46" s="108">
        <v>0.03</v>
      </c>
      <c r="Z46" s="109">
        <f t="shared" si="4"/>
        <v>134987.37615</v>
      </c>
      <c r="AP46" s="214" t="s">
        <v>76</v>
      </c>
      <c r="AQ46" s="100">
        <v>37</v>
      </c>
      <c r="AR46" s="89"/>
      <c r="AS46" s="101">
        <v>43516</v>
      </c>
      <c r="AT46" s="102">
        <f t="shared" si="9"/>
        <v>22.532246336895451</v>
      </c>
      <c r="AU46" s="89"/>
      <c r="AV46" s="101">
        <f t="shared" si="12"/>
        <v>45441</v>
      </c>
      <c r="AW46" s="102">
        <f t="shared" si="13"/>
        <v>23.528996364437603</v>
      </c>
      <c r="AX46" s="89"/>
      <c r="AY46" s="90">
        <f t="shared" si="10"/>
        <v>46731</v>
      </c>
      <c r="AZ46" s="102">
        <f t="shared" si="11"/>
        <v>24.196948330946363</v>
      </c>
      <c r="BB46" s="103">
        <f t="shared" si="14"/>
        <v>48226.392</v>
      </c>
      <c r="BC46" s="104">
        <v>24.96</v>
      </c>
      <c r="BE46" s="103">
        <f t="shared" si="15"/>
        <v>49673.18376</v>
      </c>
      <c r="BF46" s="105">
        <f t="shared" si="16"/>
        <v>25.7088</v>
      </c>
    </row>
    <row r="47" spans="21:58" ht="15" thickBot="1" x14ac:dyDescent="0.35">
      <c r="AP47" s="216"/>
      <c r="AQ47" s="100">
        <v>38</v>
      </c>
      <c r="AR47" s="89"/>
      <c r="AS47" s="101">
        <v>44539</v>
      </c>
      <c r="AT47" s="102">
        <f t="shared" si="9"/>
        <v>23.061947780103559</v>
      </c>
      <c r="AU47" s="89"/>
      <c r="AV47" s="101">
        <f t="shared" si="12"/>
        <v>46464</v>
      </c>
      <c r="AW47" s="102">
        <f t="shared" si="13"/>
        <v>24.058697807645714</v>
      </c>
      <c r="AX47" s="89"/>
      <c r="AY47" s="90">
        <f t="shared" si="10"/>
        <v>47754</v>
      </c>
      <c r="AZ47" s="102">
        <f t="shared" si="11"/>
        <v>24.72664977415447</v>
      </c>
      <c r="BB47" s="103">
        <f t="shared" si="14"/>
        <v>49282.127999999997</v>
      </c>
      <c r="BC47" s="104">
        <v>25.52</v>
      </c>
      <c r="BE47" s="103">
        <f t="shared" si="15"/>
        <v>50760.591839999994</v>
      </c>
      <c r="BF47" s="105">
        <f t="shared" si="16"/>
        <v>26.285599999999999</v>
      </c>
    </row>
    <row r="48" spans="21:58" ht="15" thickBot="1" x14ac:dyDescent="0.35">
      <c r="AP48" s="216"/>
      <c r="AQ48" s="100">
        <v>39</v>
      </c>
      <c r="AR48" s="89"/>
      <c r="AS48" s="101">
        <v>45495</v>
      </c>
      <c r="AT48" s="102">
        <f t="shared" si="9"/>
        <v>23.556957144430978</v>
      </c>
      <c r="AU48" s="89"/>
      <c r="AV48" s="101">
        <f t="shared" si="12"/>
        <v>47420</v>
      </c>
      <c r="AW48" s="102">
        <f t="shared" si="13"/>
        <v>24.553707171973134</v>
      </c>
      <c r="AX48" s="89"/>
      <c r="AY48" s="90">
        <f t="shared" si="10"/>
        <v>48710</v>
      </c>
      <c r="AZ48" s="102">
        <f t="shared" si="11"/>
        <v>25.221659138481893</v>
      </c>
      <c r="BB48" s="103">
        <f t="shared" si="14"/>
        <v>50268.72</v>
      </c>
      <c r="BC48" s="104">
        <v>26.05</v>
      </c>
      <c r="BE48" s="103">
        <f t="shared" si="15"/>
        <v>51776.781600000002</v>
      </c>
      <c r="BF48" s="105">
        <f t="shared" si="16"/>
        <v>26.831500000000002</v>
      </c>
    </row>
    <row r="49" spans="42:58" ht="15" thickBot="1" x14ac:dyDescent="0.35">
      <c r="AP49" s="216"/>
      <c r="AQ49" s="100">
        <v>40</v>
      </c>
      <c r="AR49" s="89"/>
      <c r="AS49" s="101">
        <v>46549</v>
      </c>
      <c r="AT49" s="102">
        <f t="shared" si="9"/>
        <v>24.102710146524181</v>
      </c>
      <c r="AU49" s="89"/>
      <c r="AV49" s="101">
        <f t="shared" si="12"/>
        <v>48474</v>
      </c>
      <c r="AW49" s="102">
        <f t="shared" si="13"/>
        <v>25.099460174066337</v>
      </c>
      <c r="AX49" s="89"/>
      <c r="AY49" s="90">
        <f t="shared" si="10"/>
        <v>49764</v>
      </c>
      <c r="AZ49" s="102">
        <f t="shared" si="11"/>
        <v>25.767412140575097</v>
      </c>
      <c r="BB49" s="103">
        <f t="shared" si="14"/>
        <v>51356.447999999997</v>
      </c>
      <c r="BC49" s="104">
        <v>26.63</v>
      </c>
      <c r="BE49" s="103">
        <f t="shared" si="15"/>
        <v>52897.141439999999</v>
      </c>
      <c r="BF49" s="105">
        <f t="shared" si="16"/>
        <v>27.428899999999999</v>
      </c>
    </row>
    <row r="50" spans="42:58" ht="15" thickBot="1" x14ac:dyDescent="0.35">
      <c r="AP50" s="215"/>
      <c r="AQ50" s="100">
        <v>41</v>
      </c>
      <c r="AR50" s="89"/>
      <c r="AS50" s="101">
        <v>47573</v>
      </c>
      <c r="AT50" s="102">
        <f t="shared" si="9"/>
        <v>24.632929381954391</v>
      </c>
      <c r="AU50" s="89"/>
      <c r="AV50" s="101">
        <f t="shared" si="12"/>
        <v>49498</v>
      </c>
      <c r="AW50" s="102">
        <f t="shared" si="13"/>
        <v>25.629679409496546</v>
      </c>
      <c r="AX50" s="89"/>
      <c r="AY50" s="90">
        <f t="shared" si="10"/>
        <v>50788</v>
      </c>
      <c r="AZ50" s="102">
        <f t="shared" si="11"/>
        <v>26.297631376005306</v>
      </c>
      <c r="BB50" s="103">
        <f t="shared" si="14"/>
        <v>52413.216</v>
      </c>
      <c r="BC50" s="104">
        <v>27.19</v>
      </c>
      <c r="BE50" s="103">
        <f t="shared" si="15"/>
        <v>53985.612480000003</v>
      </c>
      <c r="BF50" s="105">
        <f t="shared" si="16"/>
        <v>28.005700000000001</v>
      </c>
    </row>
    <row r="51" spans="42:58" ht="15" thickBot="1" x14ac:dyDescent="0.35">
      <c r="AP51" s="211" t="s">
        <v>79</v>
      </c>
      <c r="AQ51" s="88">
        <v>42</v>
      </c>
      <c r="AR51" s="89"/>
      <c r="AS51" s="90">
        <v>48587</v>
      </c>
      <c r="AT51" s="91">
        <f t="shared" si="9"/>
        <v>25.157970695163598</v>
      </c>
      <c r="AU51" s="89"/>
      <c r="AV51" s="90">
        <f t="shared" si="12"/>
        <v>50512</v>
      </c>
      <c r="AW51" s="91">
        <f t="shared" si="13"/>
        <v>26.154720722705758</v>
      </c>
      <c r="AX51" s="89"/>
      <c r="AY51" s="90">
        <f t="shared" si="10"/>
        <v>51802</v>
      </c>
      <c r="AZ51" s="91">
        <f t="shared" si="11"/>
        <v>26.822672689214514</v>
      </c>
      <c r="BB51" s="103">
        <f t="shared" si="14"/>
        <v>53459.663999999997</v>
      </c>
      <c r="BC51" s="112">
        <v>27.75</v>
      </c>
      <c r="BE51" s="103">
        <f t="shared" si="15"/>
        <v>55063.45392</v>
      </c>
      <c r="BF51" s="105">
        <f t="shared" si="16"/>
        <v>28.5825</v>
      </c>
    </row>
    <row r="52" spans="42:58" ht="15" thickBot="1" x14ac:dyDescent="0.35">
      <c r="AP52" s="212"/>
      <c r="AQ52" s="88">
        <v>43</v>
      </c>
      <c r="AR52" s="89"/>
      <c r="AS52" s="90">
        <v>49590</v>
      </c>
      <c r="AT52" s="91">
        <f t="shared" si="9"/>
        <v>25.677316293929714</v>
      </c>
      <c r="AU52" s="89"/>
      <c r="AV52" s="90">
        <f t="shared" si="12"/>
        <v>51515</v>
      </c>
      <c r="AW52" s="91">
        <f t="shared" si="13"/>
        <v>26.674066321471869</v>
      </c>
      <c r="AX52" s="89"/>
      <c r="AY52" s="90">
        <f t="shared" si="10"/>
        <v>52805</v>
      </c>
      <c r="AZ52" s="91">
        <f t="shared" si="11"/>
        <v>27.342018287980626</v>
      </c>
      <c r="BB52" s="103">
        <f t="shared" si="14"/>
        <v>54494.76</v>
      </c>
      <c r="BC52" s="112">
        <v>28.3</v>
      </c>
      <c r="BE52" s="103">
        <f t="shared" si="15"/>
        <v>56129.602800000001</v>
      </c>
      <c r="BF52" s="105">
        <f t="shared" si="16"/>
        <v>29.149000000000001</v>
      </c>
    </row>
    <row r="53" spans="42:58" ht="15" thickBot="1" x14ac:dyDescent="0.35">
      <c r="AP53" s="212"/>
      <c r="AQ53" s="88">
        <v>44</v>
      </c>
      <c r="AR53" s="89"/>
      <c r="AS53" s="90">
        <v>50609</v>
      </c>
      <c r="AT53" s="91">
        <f t="shared" si="9"/>
        <v>26.204946568249422</v>
      </c>
      <c r="AU53" s="89"/>
      <c r="AV53" s="90">
        <f t="shared" si="12"/>
        <v>52534</v>
      </c>
      <c r="AW53" s="91">
        <f t="shared" si="13"/>
        <v>27.201696595791578</v>
      </c>
      <c r="AX53" s="89"/>
      <c r="AY53" s="90">
        <f t="shared" si="10"/>
        <v>53824</v>
      </c>
      <c r="AZ53" s="91">
        <f t="shared" si="11"/>
        <v>27.869648562300338</v>
      </c>
      <c r="BB53" s="103">
        <f t="shared" si="14"/>
        <v>55546.368000000002</v>
      </c>
      <c r="BC53" s="112">
        <v>28.86</v>
      </c>
      <c r="BE53" s="103">
        <f t="shared" si="15"/>
        <v>57212.759040000004</v>
      </c>
      <c r="BF53" s="105">
        <f t="shared" si="16"/>
        <v>29.7258</v>
      </c>
    </row>
    <row r="54" spans="42:58" ht="15" thickBot="1" x14ac:dyDescent="0.35">
      <c r="AP54" s="212"/>
      <c r="AQ54" s="88">
        <v>45</v>
      </c>
      <c r="AR54" s="89"/>
      <c r="AS54" s="90">
        <v>51630</v>
      </c>
      <c r="AT54" s="91">
        <f t="shared" si="9"/>
        <v>26.73361242701333</v>
      </c>
      <c r="AU54" s="89"/>
      <c r="AV54" s="90">
        <f t="shared" si="12"/>
        <v>53555</v>
      </c>
      <c r="AW54" s="91">
        <f t="shared" si="13"/>
        <v>27.730362454555486</v>
      </c>
      <c r="AX54" s="89"/>
      <c r="AY54" s="90">
        <f t="shared" si="10"/>
        <v>54845</v>
      </c>
      <c r="AZ54" s="91">
        <f t="shared" si="11"/>
        <v>28.398314421064246</v>
      </c>
      <c r="BB54" s="103">
        <f t="shared" si="14"/>
        <v>56600.04</v>
      </c>
      <c r="BC54" s="112">
        <v>29.42</v>
      </c>
      <c r="BE54" s="103">
        <f t="shared" si="15"/>
        <v>58298.0412</v>
      </c>
      <c r="BF54" s="105">
        <f t="shared" si="16"/>
        <v>30.302600000000002</v>
      </c>
    </row>
    <row r="55" spans="42:58" ht="15" thickBot="1" x14ac:dyDescent="0.35">
      <c r="AP55" s="212"/>
      <c r="AQ55" s="88">
        <v>46</v>
      </c>
      <c r="AR55" s="89"/>
      <c r="AS55" s="90">
        <v>52664</v>
      </c>
      <c r="AT55" s="91">
        <f t="shared" si="9"/>
        <v>27.269009584664538</v>
      </c>
      <c r="AU55" s="89"/>
      <c r="AV55" s="90">
        <f t="shared" si="12"/>
        <v>54589</v>
      </c>
      <c r="AW55" s="91">
        <f t="shared" si="13"/>
        <v>28.265759612206693</v>
      </c>
      <c r="AX55" s="89"/>
      <c r="AY55" s="90">
        <f t="shared" si="10"/>
        <v>55879</v>
      </c>
      <c r="AZ55" s="91">
        <f t="shared" si="11"/>
        <v>28.933711578715453</v>
      </c>
      <c r="BB55" s="103">
        <f t="shared" si="14"/>
        <v>57667.127999999997</v>
      </c>
      <c r="BC55" s="112">
        <v>29.99</v>
      </c>
      <c r="BE55" s="103">
        <f t="shared" si="15"/>
        <v>59397.141839999997</v>
      </c>
      <c r="BF55" s="105">
        <f t="shared" si="16"/>
        <v>30.889699999999998</v>
      </c>
    </row>
    <row r="56" spans="42:58" ht="15" thickBot="1" x14ac:dyDescent="0.35">
      <c r="AP56" s="212"/>
      <c r="AQ56" s="88">
        <v>47</v>
      </c>
      <c r="AR56" s="89"/>
      <c r="AS56" s="90">
        <v>53722</v>
      </c>
      <c r="AT56" s="91">
        <f t="shared" si="9"/>
        <v>27.816833755646137</v>
      </c>
      <c r="AU56" s="89"/>
      <c r="AV56" s="90">
        <f t="shared" si="12"/>
        <v>55647</v>
      </c>
      <c r="AW56" s="91">
        <f t="shared" si="13"/>
        <v>28.813583783188296</v>
      </c>
      <c r="AX56" s="89"/>
      <c r="AY56" s="90">
        <f t="shared" si="10"/>
        <v>56937</v>
      </c>
      <c r="AZ56" s="91">
        <f t="shared" si="11"/>
        <v>29.481535749697056</v>
      </c>
      <c r="BB56" s="103">
        <f t="shared" si="14"/>
        <v>58758.983999999997</v>
      </c>
      <c r="BC56" s="112">
        <v>30.57</v>
      </c>
      <c r="BE56" s="103">
        <f>SUM(BB56*$BE$2)+BB56</f>
        <v>60521.753519999998</v>
      </c>
      <c r="BF56" s="105">
        <f t="shared" si="16"/>
        <v>31.487100000000002</v>
      </c>
    </row>
    <row r="57" spans="42:58" ht="15" thickBot="1" x14ac:dyDescent="0.35">
      <c r="AP57" s="212"/>
      <c r="AQ57" s="88">
        <v>48</v>
      </c>
      <c r="AR57" s="89"/>
      <c r="AS57" s="90">
        <v>54792</v>
      </c>
      <c r="AT57" s="91">
        <f t="shared" si="9"/>
        <v>28.370871433292937</v>
      </c>
      <c r="AU57" s="89"/>
      <c r="AV57" s="90">
        <f t="shared" si="12"/>
        <v>56717</v>
      </c>
      <c r="AW57" s="91">
        <f t="shared" si="13"/>
        <v>29.367621460835096</v>
      </c>
      <c r="AX57" s="89"/>
      <c r="AY57" s="90">
        <f t="shared" si="10"/>
        <v>58007</v>
      </c>
      <c r="AZ57" s="91">
        <f t="shared" si="11"/>
        <v>30.035573427343856</v>
      </c>
      <c r="BB57" s="103">
        <f t="shared" si="14"/>
        <v>59863.224000000002</v>
      </c>
      <c r="BC57" s="112">
        <v>31.16</v>
      </c>
      <c r="BE57" s="103">
        <f t="shared" si="15"/>
        <v>61659.120719999999</v>
      </c>
      <c r="BF57" s="105">
        <f t="shared" si="16"/>
        <v>32.094799999999999</v>
      </c>
    </row>
    <row r="58" spans="42:58" ht="15" thickBot="1" x14ac:dyDescent="0.35">
      <c r="AP58" s="213"/>
      <c r="AQ58" s="88">
        <v>49</v>
      </c>
      <c r="AR58" s="89"/>
      <c r="AS58" s="90">
        <v>55895</v>
      </c>
      <c r="AT58" s="91">
        <f t="shared" si="9"/>
        <v>28.941996254269032</v>
      </c>
      <c r="AU58" s="89"/>
      <c r="AV58" s="90">
        <f t="shared" si="12"/>
        <v>57820</v>
      </c>
      <c r="AW58" s="91">
        <f t="shared" si="13"/>
        <v>29.938746281811191</v>
      </c>
      <c r="AX58" s="89"/>
      <c r="AY58" s="90">
        <f t="shared" si="10"/>
        <v>59110</v>
      </c>
      <c r="AZ58" s="91">
        <f t="shared" si="11"/>
        <v>30.606698248319947</v>
      </c>
      <c r="BB58" s="103">
        <f t="shared" si="14"/>
        <v>61001.52</v>
      </c>
      <c r="BC58" s="112">
        <v>31.76</v>
      </c>
      <c r="BE58" s="103">
        <f>SUM(BB58*$BE$2)+BB58</f>
        <v>62831.565599999994</v>
      </c>
      <c r="BF58" s="105">
        <f t="shared" si="16"/>
        <v>32.712800000000001</v>
      </c>
    </row>
  </sheetData>
  <mergeCells count="36">
    <mergeCell ref="AP51:AP58"/>
    <mergeCell ref="AP7:AP8"/>
    <mergeCell ref="AP9:AP10"/>
    <mergeCell ref="AP11:AP12"/>
    <mergeCell ref="AP13:AP14"/>
    <mergeCell ref="AP15:AP16"/>
    <mergeCell ref="AP17:AP22"/>
    <mergeCell ref="AP23:AP29"/>
    <mergeCell ref="AP30:AP35"/>
    <mergeCell ref="AP36:AP40"/>
    <mergeCell ref="AP41:AP45"/>
    <mergeCell ref="AP46:AP50"/>
    <mergeCell ref="BE3:BF3"/>
    <mergeCell ref="AS4:AT4"/>
    <mergeCell ref="AV4:AW4"/>
    <mergeCell ref="AY4:AZ4"/>
    <mergeCell ref="BB4:BC4"/>
    <mergeCell ref="BE4:BF4"/>
    <mergeCell ref="BB3:BC3"/>
    <mergeCell ref="AD2:AE2"/>
    <mergeCell ref="AF2:AG2"/>
    <mergeCell ref="AS3:AT3"/>
    <mergeCell ref="AV3:AW3"/>
    <mergeCell ref="AY3:AZ3"/>
    <mergeCell ref="AB2:AB3"/>
    <mergeCell ref="A2:A3"/>
    <mergeCell ref="C2:D2"/>
    <mergeCell ref="E2:F2"/>
    <mergeCell ref="H2:H3"/>
    <mergeCell ref="J2:K2"/>
    <mergeCell ref="L2:M2"/>
    <mergeCell ref="O2:O3"/>
    <mergeCell ref="P2:R2"/>
    <mergeCell ref="U2:U3"/>
    <mergeCell ref="W2:X2"/>
    <mergeCell ref="Y2:Z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675-F0E8-42EC-A8CE-2283F06470AC}">
  <dimension ref="A1:BA60"/>
  <sheetViews>
    <sheetView tabSelected="1" workbookViewId="0">
      <selection activeCell="X21" sqref="X21"/>
    </sheetView>
  </sheetViews>
  <sheetFormatPr defaultColWidth="9.33203125" defaultRowHeight="14.4" x14ac:dyDescent="0.3"/>
  <cols>
    <col min="1" max="2" width="11.6640625" style="2" customWidth="1"/>
    <col min="3" max="3" width="9.6640625" style="2" hidden="1" customWidth="1"/>
    <col min="4" max="4" width="11.6640625" style="2" hidden="1" customWidth="1"/>
    <col min="5" max="5" width="9.6640625" style="2" customWidth="1"/>
    <col min="6" max="8" width="11.6640625" style="2" customWidth="1"/>
    <col min="9" max="10" width="1.6640625" style="2" customWidth="1"/>
    <col min="11" max="11" width="11.6640625" style="132" customWidth="1"/>
    <col min="12" max="12" width="11.6640625" style="2" hidden="1" customWidth="1"/>
    <col min="13" max="13" width="0" style="2" hidden="1" customWidth="1"/>
    <col min="14" max="14" width="11.6640625" style="2" hidden="1" customWidth="1"/>
    <col min="15" max="15" width="9.33203125" style="2"/>
    <col min="16" max="18" width="11.6640625" style="2" customWidth="1"/>
    <col min="19" max="20" width="1.6640625" style="2" customWidth="1"/>
    <col min="21" max="21" width="9.33203125" style="2"/>
    <col min="22" max="26" width="10.6640625" style="2" customWidth="1"/>
    <col min="27" max="27" width="1.6640625" style="2" hidden="1" customWidth="1"/>
    <col min="28" max="29" width="0" style="13" hidden="1" customWidth="1"/>
    <col min="30" max="30" width="1.6640625" hidden="1" customWidth="1"/>
    <col min="31" max="31" width="12.33203125" style="133" hidden="1" customWidth="1"/>
    <col min="32" max="32" width="12.33203125" hidden="1" customWidth="1"/>
    <col min="33" max="33" width="1.6640625" hidden="1" customWidth="1"/>
    <col min="34" max="34" width="12.33203125" style="133" hidden="1" customWidth="1"/>
    <col min="35" max="35" width="12.33203125" hidden="1" customWidth="1"/>
    <col min="36" max="36" width="1.6640625" hidden="1" customWidth="1"/>
    <col min="37" max="37" width="10.5546875" style="133" hidden="1" customWidth="1"/>
    <col min="38" max="42" width="12.33203125" style="133" hidden="1" customWidth="1"/>
    <col min="43" max="45" width="8.6640625" hidden="1" customWidth="1"/>
    <col min="46" max="46" width="10.5546875" hidden="1" customWidth="1"/>
    <col min="47" max="48" width="8.6640625" hidden="1" customWidth="1"/>
    <col min="49" max="49" width="12.33203125" style="133" hidden="1" customWidth="1"/>
    <col min="50" max="50" width="12.33203125" hidden="1" customWidth="1"/>
    <col min="51" max="51" width="1.6640625" customWidth="1"/>
    <col min="52" max="53" width="8.6640625" customWidth="1"/>
    <col min="54" max="16384" width="9.33203125" style="2"/>
  </cols>
  <sheetData>
    <row r="1" spans="1:53" ht="18.600000000000001" thickBot="1" x14ac:dyDescent="0.4">
      <c r="A1" s="1" t="s">
        <v>0</v>
      </c>
      <c r="K1" s="4" t="s">
        <v>3</v>
      </c>
      <c r="M1" s="1"/>
      <c r="N1" s="1"/>
      <c r="O1" s="1"/>
      <c r="U1" s="134"/>
      <c r="V1" s="135"/>
      <c r="W1" s="135"/>
      <c r="X1" s="135"/>
      <c r="Y1" s="217"/>
      <c r="Z1" s="217"/>
      <c r="AB1" s="5" t="s">
        <v>5</v>
      </c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spans="1:53" ht="18.75" customHeight="1" thickBot="1" x14ac:dyDescent="0.35">
      <c r="A2" s="180" t="s">
        <v>6</v>
      </c>
      <c r="B2" s="8">
        <v>44805</v>
      </c>
      <c r="C2" s="182">
        <v>45170</v>
      </c>
      <c r="D2" s="183"/>
      <c r="E2" s="184">
        <v>45536</v>
      </c>
      <c r="F2" s="185"/>
      <c r="G2" s="184">
        <v>45901</v>
      </c>
      <c r="H2" s="185"/>
      <c r="K2" s="178" t="s">
        <v>10</v>
      </c>
      <c r="L2" s="10">
        <v>44805</v>
      </c>
      <c r="M2" s="195">
        <v>45170</v>
      </c>
      <c r="N2" s="196"/>
      <c r="O2" s="190">
        <v>45536</v>
      </c>
      <c r="P2" s="191"/>
      <c r="Q2" s="218">
        <v>45901</v>
      </c>
      <c r="R2" s="219"/>
      <c r="U2" s="134"/>
      <c r="V2" s="136"/>
      <c r="W2" s="136"/>
      <c r="X2" s="136"/>
      <c r="Y2" s="220"/>
      <c r="Z2" s="220"/>
      <c r="AB2" s="12"/>
      <c r="AE2" s="14">
        <v>1925</v>
      </c>
      <c r="AF2" s="15">
        <v>5.1779222209981271E-4</v>
      </c>
      <c r="AH2" s="16">
        <v>1925</v>
      </c>
      <c r="AI2" s="15">
        <v>5.1779222209981303E-4</v>
      </c>
      <c r="AK2" s="137" t="s">
        <v>106</v>
      </c>
      <c r="AL2" s="138" t="s">
        <v>107</v>
      </c>
      <c r="AM2" s="138" t="s">
        <v>108</v>
      </c>
      <c r="AN2" s="138"/>
      <c r="AO2" s="138" t="s">
        <v>109</v>
      </c>
      <c r="AP2" s="139"/>
      <c r="AW2" s="140">
        <v>0.03</v>
      </c>
      <c r="AX2" s="15">
        <v>5.1779222209981303E-4</v>
      </c>
    </row>
    <row r="3" spans="1:53" ht="29.4" thickBot="1" x14ac:dyDescent="0.35">
      <c r="A3" s="181"/>
      <c r="B3" s="21" t="s">
        <v>12</v>
      </c>
      <c r="C3" s="22" t="s">
        <v>13</v>
      </c>
      <c r="D3" s="21" t="s">
        <v>12</v>
      </c>
      <c r="E3" s="22" t="s">
        <v>13</v>
      </c>
      <c r="F3" s="21" t="s">
        <v>12</v>
      </c>
      <c r="G3" s="141" t="s">
        <v>13</v>
      </c>
      <c r="H3" s="21" t="s">
        <v>12</v>
      </c>
      <c r="K3" s="179"/>
      <c r="L3" s="23" t="s">
        <v>12</v>
      </c>
      <c r="M3" s="24" t="s">
        <v>13</v>
      </c>
      <c r="N3" s="21" t="s">
        <v>12</v>
      </c>
      <c r="O3" s="24" t="s">
        <v>13</v>
      </c>
      <c r="P3" s="21" t="s">
        <v>12</v>
      </c>
      <c r="Q3" s="142" t="s">
        <v>13</v>
      </c>
      <c r="R3" s="143" t="s">
        <v>12</v>
      </c>
      <c r="U3" s="27"/>
      <c r="V3" s="28"/>
      <c r="W3" s="28"/>
      <c r="X3" s="28"/>
      <c r="Y3" s="28"/>
      <c r="Z3" s="29"/>
      <c r="AB3" s="30"/>
      <c r="AC3" s="31"/>
      <c r="AD3" s="32"/>
      <c r="AE3" s="197" t="s">
        <v>16</v>
      </c>
      <c r="AF3" s="198"/>
      <c r="AG3" s="32"/>
      <c r="AH3" s="197" t="s">
        <v>17</v>
      </c>
      <c r="AI3" s="198"/>
      <c r="AJ3" s="32"/>
      <c r="AK3" s="144" t="s">
        <v>110</v>
      </c>
      <c r="AL3" s="145" t="s">
        <v>110</v>
      </c>
      <c r="AM3" s="145" t="s">
        <v>110</v>
      </c>
      <c r="AN3" s="146"/>
      <c r="AO3" s="147" t="s">
        <v>111</v>
      </c>
      <c r="AP3" s="148"/>
      <c r="AQ3" s="32"/>
      <c r="AR3" s="32"/>
      <c r="AS3" s="32"/>
      <c r="AT3" s="32"/>
      <c r="AU3" s="32"/>
      <c r="AV3" s="32"/>
      <c r="AW3" s="197" t="s">
        <v>18</v>
      </c>
      <c r="AX3" s="198"/>
    </row>
    <row r="4" spans="1:53" ht="16.2" thickBot="1" x14ac:dyDescent="0.35">
      <c r="A4" s="33" t="s">
        <v>21</v>
      </c>
      <c r="B4" s="34">
        <v>28000</v>
      </c>
      <c r="C4" s="35">
        <v>7.1428571428571425E-2</v>
      </c>
      <c r="D4" s="34">
        <v>30000</v>
      </c>
      <c r="E4" s="149">
        <v>5.5E-2</v>
      </c>
      <c r="F4" s="34">
        <f t="shared" ref="F4:F12" si="0">SUM(D4*E4)+D4</f>
        <v>31650</v>
      </c>
      <c r="G4" s="149">
        <v>0.04</v>
      </c>
      <c r="H4" s="34">
        <f>SUM(F4*G4)+F4</f>
        <v>32916</v>
      </c>
      <c r="K4" s="46" t="s">
        <v>22</v>
      </c>
      <c r="L4" s="38">
        <v>44305</v>
      </c>
      <c r="M4" s="47">
        <f>SUM(N4-L4)/N4</f>
        <v>6.1032863849765202E-2</v>
      </c>
      <c r="N4" s="40">
        <v>47184.824999999997</v>
      </c>
      <c r="O4" s="44">
        <v>5.5E-2</v>
      </c>
      <c r="P4" s="42">
        <f>N4*O4+N4</f>
        <v>49779.990374999994</v>
      </c>
      <c r="Q4" s="150">
        <v>0.04</v>
      </c>
      <c r="R4" s="40">
        <f>SUM($P4*Q4)+$P4</f>
        <v>51771.189989999992</v>
      </c>
      <c r="U4" s="52"/>
      <c r="V4" s="53"/>
      <c r="W4" s="53"/>
      <c r="X4" s="53"/>
      <c r="Y4" s="53"/>
      <c r="Z4" s="54"/>
      <c r="AB4" s="30"/>
      <c r="AC4" s="31"/>
      <c r="AD4" s="32"/>
      <c r="AE4" s="197" t="s">
        <v>23</v>
      </c>
      <c r="AF4" s="198"/>
      <c r="AG4" s="32"/>
      <c r="AH4" s="204">
        <v>45017</v>
      </c>
      <c r="AI4" s="198"/>
      <c r="AJ4" s="32"/>
      <c r="AK4" s="151">
        <v>18517</v>
      </c>
      <c r="AL4" s="152">
        <v>18517</v>
      </c>
      <c r="AM4" s="152">
        <v>18517</v>
      </c>
      <c r="AN4" s="153">
        <f>AE6-AK4</f>
        <v>1562</v>
      </c>
      <c r="AO4" s="152">
        <v>18837</v>
      </c>
      <c r="AP4" s="154">
        <f>AE6-AO4</f>
        <v>1242</v>
      </c>
      <c r="AQ4" s="32"/>
      <c r="AR4" s="32"/>
      <c r="AS4" s="32"/>
      <c r="AT4" s="32"/>
      <c r="AU4" s="32"/>
      <c r="AV4" s="32"/>
      <c r="AW4" s="204">
        <v>45383</v>
      </c>
      <c r="AX4" s="198"/>
      <c r="AZ4" s="32"/>
      <c r="BA4" s="32"/>
    </row>
    <row r="5" spans="1:53" ht="28.2" thickBot="1" x14ac:dyDescent="0.35">
      <c r="A5" s="55" t="s">
        <v>24</v>
      </c>
      <c r="B5" s="56">
        <v>29800</v>
      </c>
      <c r="C5" s="57">
        <v>6.5000000000000002E-2</v>
      </c>
      <c r="D5" s="56">
        <v>31737</v>
      </c>
      <c r="E5" s="155">
        <v>5.5E-2</v>
      </c>
      <c r="F5" s="56">
        <f t="shared" si="0"/>
        <v>33482.535000000003</v>
      </c>
      <c r="G5" s="149">
        <v>0.04</v>
      </c>
      <c r="H5" s="56">
        <f t="shared" ref="H5:H11" si="1">SUM(F5*G5)+F5</f>
        <v>34821.8364</v>
      </c>
      <c r="K5" s="68" t="s">
        <v>25</v>
      </c>
      <c r="L5" s="60">
        <v>45414</v>
      </c>
      <c r="M5" s="69">
        <f t="shared" ref="M5:M46" si="2">SUM(N5-L5)/N5</f>
        <v>6.1032863849765182E-2</v>
      </c>
      <c r="N5" s="62">
        <v>48365.909999999996</v>
      </c>
      <c r="O5" s="44">
        <v>5.5E-2</v>
      </c>
      <c r="P5" s="42">
        <f t="shared" ref="P5:P46" si="3">N5*O5+N5</f>
        <v>51026.035049999999</v>
      </c>
      <c r="Q5" s="150">
        <v>0.04</v>
      </c>
      <c r="R5" s="40">
        <f t="shared" ref="R5:R46" si="4">SUM($P5*Q5)+$P5</f>
        <v>53067.076452000001</v>
      </c>
      <c r="U5" s="71"/>
      <c r="V5" s="72"/>
      <c r="W5" s="72"/>
      <c r="X5" s="72"/>
      <c r="Y5" s="72"/>
      <c r="Z5" s="73"/>
      <c r="AB5" s="74" t="s">
        <v>26</v>
      </c>
      <c r="AC5" s="75" t="s">
        <v>27</v>
      </c>
      <c r="AD5" s="156"/>
      <c r="AE5" s="77" t="s">
        <v>28</v>
      </c>
      <c r="AF5" s="78" t="s">
        <v>29</v>
      </c>
      <c r="AG5" s="156"/>
      <c r="AH5" s="77" t="s">
        <v>28</v>
      </c>
      <c r="AI5" s="78" t="s">
        <v>29</v>
      </c>
      <c r="AJ5" s="156"/>
      <c r="AM5" s="157">
        <v>0.06</v>
      </c>
      <c r="AW5" s="77" t="s">
        <v>28</v>
      </c>
      <c r="AX5" s="78" t="s">
        <v>29</v>
      </c>
      <c r="AZ5" s="32"/>
      <c r="BA5" s="32"/>
    </row>
    <row r="6" spans="1:53" ht="15" thickBot="1" x14ac:dyDescent="0.35">
      <c r="A6" s="55" t="s">
        <v>30</v>
      </c>
      <c r="B6" s="56">
        <v>31750</v>
      </c>
      <c r="C6" s="57">
        <v>6.5007874015748035E-2</v>
      </c>
      <c r="D6" s="56">
        <v>33814</v>
      </c>
      <c r="E6" s="155">
        <v>5.5E-2</v>
      </c>
      <c r="F6" s="56">
        <f t="shared" si="0"/>
        <v>35673.769999999997</v>
      </c>
      <c r="G6" s="149">
        <v>0.04</v>
      </c>
      <c r="H6" s="56">
        <f t="shared" si="1"/>
        <v>37100.720799999996</v>
      </c>
      <c r="K6" s="68" t="s">
        <v>31</v>
      </c>
      <c r="L6" s="60">
        <v>46548</v>
      </c>
      <c r="M6" s="69">
        <f t="shared" si="2"/>
        <v>6.1032863849765168E-2</v>
      </c>
      <c r="N6" s="62">
        <v>49573.619999999995</v>
      </c>
      <c r="O6" s="44">
        <v>5.5E-2</v>
      </c>
      <c r="P6" s="42">
        <f t="shared" si="3"/>
        <v>52300.169099999992</v>
      </c>
      <c r="Q6" s="150">
        <v>0.04</v>
      </c>
      <c r="R6" s="40">
        <f>SUM($P6*Q6)+$P6</f>
        <v>54392.17586399999</v>
      </c>
      <c r="U6" s="84"/>
      <c r="V6" s="85"/>
      <c r="W6" s="85"/>
      <c r="X6" s="85"/>
      <c r="Y6" s="85"/>
      <c r="Z6" s="86"/>
      <c r="AB6" s="87" t="s">
        <v>32</v>
      </c>
      <c r="AC6" s="88">
        <v>1</v>
      </c>
      <c r="AD6" s="89"/>
      <c r="AE6" s="90">
        <v>20079</v>
      </c>
      <c r="AF6" s="91">
        <f>AE6*$AF$2</f>
        <v>10.39675002754214</v>
      </c>
      <c r="AG6" s="89"/>
      <c r="AH6" s="90">
        <f t="shared" ref="AH6:AH7" si="5">AE6+$AH$2</f>
        <v>22004</v>
      </c>
      <c r="AI6" s="91">
        <f t="shared" ref="AI6:AI7" si="6">AH6*$AI$2</f>
        <v>11.393500055084287</v>
      </c>
      <c r="AJ6" s="89"/>
      <c r="AK6" s="158">
        <v>0.10603723697256803</v>
      </c>
      <c r="AM6" s="133">
        <v>19243.240000000002</v>
      </c>
      <c r="AN6" s="133">
        <v>1014.7599999999984</v>
      </c>
      <c r="AW6" s="90">
        <f>SUM(AH6*$AW$2)+AH6</f>
        <v>22664.12</v>
      </c>
      <c r="AX6" s="91">
        <f>AW6*$AX$2</f>
        <v>11.735305056736815</v>
      </c>
    </row>
    <row r="7" spans="1:53" ht="15" thickBot="1" x14ac:dyDescent="0.35">
      <c r="A7" s="55" t="s">
        <v>34</v>
      </c>
      <c r="B7" s="56">
        <v>33850</v>
      </c>
      <c r="C7" s="57">
        <v>6.5022156573116691E-2</v>
      </c>
      <c r="D7" s="56">
        <v>36051</v>
      </c>
      <c r="E7" s="155">
        <v>5.5E-2</v>
      </c>
      <c r="F7" s="56">
        <f t="shared" si="0"/>
        <v>38033.805</v>
      </c>
      <c r="G7" s="149">
        <v>0.04</v>
      </c>
      <c r="H7" s="56">
        <f t="shared" si="1"/>
        <v>39555.157200000001</v>
      </c>
      <c r="K7" s="68" t="s">
        <v>36</v>
      </c>
      <c r="L7" s="60">
        <v>47706</v>
      </c>
      <c r="M7" s="69">
        <f t="shared" si="2"/>
        <v>6.1032863849765251E-2</v>
      </c>
      <c r="N7" s="62">
        <v>50806.89</v>
      </c>
      <c r="O7" s="44">
        <v>5.5E-2</v>
      </c>
      <c r="P7" s="42">
        <f t="shared" si="3"/>
        <v>53601.268949999998</v>
      </c>
      <c r="Q7" s="150">
        <v>0.04</v>
      </c>
      <c r="R7" s="40">
        <f t="shared" si="4"/>
        <v>55745.319707999995</v>
      </c>
      <c r="AB7" s="214" t="s">
        <v>37</v>
      </c>
      <c r="AC7" s="100">
        <v>1</v>
      </c>
      <c r="AD7" s="89"/>
      <c r="AE7" s="101">
        <v>20079</v>
      </c>
      <c r="AF7" s="102">
        <f t="shared" ref="AF7:AF58" si="7">AE7*$AF$2</f>
        <v>10.39675002754214</v>
      </c>
      <c r="AG7" s="89"/>
      <c r="AH7" s="101">
        <f t="shared" si="5"/>
        <v>22004</v>
      </c>
      <c r="AI7" s="102">
        <f t="shared" si="6"/>
        <v>11.393500055084287</v>
      </c>
      <c r="AJ7" s="89"/>
      <c r="AK7" s="158">
        <v>0.10603723697256803</v>
      </c>
      <c r="AM7" s="133">
        <v>19243.240000000002</v>
      </c>
      <c r="AN7" s="133">
        <v>1014.7599999999984</v>
      </c>
      <c r="AW7" s="101">
        <f t="shared" ref="AW7:AW58" si="8">SUM(AH7*$AW$2)+AH7</f>
        <v>22664.12</v>
      </c>
      <c r="AX7" s="102">
        <f t="shared" ref="AX7:AX58" si="9">AW7*$AX$2</f>
        <v>11.735305056736815</v>
      </c>
    </row>
    <row r="8" spans="1:53" ht="15" thickBot="1" x14ac:dyDescent="0.35">
      <c r="A8" s="55" t="s">
        <v>39</v>
      </c>
      <c r="B8" s="56">
        <v>35990</v>
      </c>
      <c r="C8" s="58">
        <v>6.5018060572381214E-2</v>
      </c>
      <c r="D8" s="56">
        <v>38330</v>
      </c>
      <c r="E8" s="155">
        <v>5.5E-2</v>
      </c>
      <c r="F8" s="56">
        <f t="shared" si="0"/>
        <v>40438.15</v>
      </c>
      <c r="G8" s="149">
        <v>0.04</v>
      </c>
      <c r="H8" s="56">
        <f t="shared" si="1"/>
        <v>42055.675999999999</v>
      </c>
      <c r="K8" s="68" t="s">
        <v>40</v>
      </c>
      <c r="L8" s="60">
        <v>48895</v>
      </c>
      <c r="M8" s="69">
        <f t="shared" si="2"/>
        <v>6.1032863849765182E-2</v>
      </c>
      <c r="N8" s="62">
        <v>52073.174999999996</v>
      </c>
      <c r="O8" s="44">
        <v>5.5E-2</v>
      </c>
      <c r="P8" s="42">
        <f t="shared" si="3"/>
        <v>54937.199624999994</v>
      </c>
      <c r="Q8" s="150">
        <v>0.04</v>
      </c>
      <c r="R8" s="40">
        <f t="shared" si="4"/>
        <v>57134.687609999994</v>
      </c>
      <c r="U8" s="159"/>
      <c r="AB8" s="215"/>
      <c r="AC8" s="100">
        <v>2</v>
      </c>
      <c r="AD8" s="89"/>
      <c r="AE8" s="101">
        <v>20441</v>
      </c>
      <c r="AF8" s="102">
        <f t="shared" si="7"/>
        <v>10.584190811942271</v>
      </c>
      <c r="AG8" s="89"/>
      <c r="AH8" s="101">
        <f>AE8+$AH$2</f>
        <v>22366</v>
      </c>
      <c r="AI8" s="102">
        <f>AH8*$AI$2</f>
        <v>11.580940839484418</v>
      </c>
      <c r="AJ8" s="89"/>
      <c r="AK8" s="158" t="e">
        <f>$I$3/#REF!</f>
        <v>#REF!</v>
      </c>
      <c r="AM8" s="133" t="e">
        <f>(#REF!*#REF!)+#REF!</f>
        <v>#REF!</v>
      </c>
      <c r="AN8" s="133" t="e">
        <f t="shared" ref="AN8:AN57" si="10">AE8-AM8</f>
        <v>#REF!</v>
      </c>
      <c r="AW8" s="101">
        <f t="shared" si="8"/>
        <v>23036.98</v>
      </c>
      <c r="AX8" s="102">
        <f t="shared" si="9"/>
        <v>11.928369064668951</v>
      </c>
    </row>
    <row r="9" spans="1:53" ht="15" thickBot="1" x14ac:dyDescent="0.35">
      <c r="A9" s="55" t="s">
        <v>41</v>
      </c>
      <c r="B9" s="56">
        <v>38810</v>
      </c>
      <c r="C9" s="58">
        <v>6.5009018294254053E-2</v>
      </c>
      <c r="D9" s="56">
        <v>41333</v>
      </c>
      <c r="E9" s="155">
        <v>5.5E-2</v>
      </c>
      <c r="F9" s="56">
        <f t="shared" si="0"/>
        <v>43606.315000000002</v>
      </c>
      <c r="G9" s="149">
        <v>0.04</v>
      </c>
      <c r="H9" s="56">
        <f t="shared" si="1"/>
        <v>45350.567600000002</v>
      </c>
      <c r="K9" s="68" t="s">
        <v>42</v>
      </c>
      <c r="L9" s="60">
        <v>50122</v>
      </c>
      <c r="M9" s="69">
        <f t="shared" si="2"/>
        <v>6.1032863849765265E-2</v>
      </c>
      <c r="N9" s="62">
        <v>53379.93</v>
      </c>
      <c r="O9" s="44">
        <v>5.5E-2</v>
      </c>
      <c r="P9" s="42">
        <f t="shared" si="3"/>
        <v>56315.826150000001</v>
      </c>
      <c r="Q9" s="150">
        <v>0.04</v>
      </c>
      <c r="R9" s="40">
        <f t="shared" si="4"/>
        <v>58568.459196000003</v>
      </c>
      <c r="AB9" s="211" t="s">
        <v>44</v>
      </c>
      <c r="AC9" s="88">
        <v>2</v>
      </c>
      <c r="AD9" s="89"/>
      <c r="AE9" s="90">
        <v>20441</v>
      </c>
      <c r="AF9" s="91">
        <f t="shared" si="7"/>
        <v>10.584190811942271</v>
      </c>
      <c r="AG9" s="89"/>
      <c r="AH9" s="90">
        <f t="shared" ref="AH9:AH58" si="11">AE9+$AH$2</f>
        <v>22366</v>
      </c>
      <c r="AI9" s="91">
        <f t="shared" ref="AI9:AI58" si="12">AH9*$AI$2</f>
        <v>11.580940839484418</v>
      </c>
      <c r="AJ9" s="89"/>
      <c r="AK9" s="158" t="e">
        <f>$I$3/#REF!</f>
        <v>#REF!</v>
      </c>
      <c r="AM9" s="133" t="e">
        <f>(#REF!*#REF!)+#REF!</f>
        <v>#REF!</v>
      </c>
      <c r="AN9" s="133" t="e">
        <f t="shared" si="10"/>
        <v>#REF!</v>
      </c>
      <c r="AT9" s="133">
        <f>88020-179238</f>
        <v>-91218</v>
      </c>
      <c r="AW9" s="90">
        <f t="shared" si="8"/>
        <v>23036.98</v>
      </c>
      <c r="AX9" s="91">
        <f t="shared" si="9"/>
        <v>11.928369064668951</v>
      </c>
    </row>
    <row r="10" spans="1:53" ht="18.600000000000001" thickBot="1" x14ac:dyDescent="0.35">
      <c r="A10" s="113" t="s">
        <v>45</v>
      </c>
      <c r="B10" s="114">
        <v>40625</v>
      </c>
      <c r="C10" s="58">
        <v>6.5009230769230764E-2</v>
      </c>
      <c r="D10" s="114">
        <v>43266</v>
      </c>
      <c r="E10" s="155">
        <v>5.5E-2</v>
      </c>
      <c r="F10" s="114">
        <f t="shared" si="0"/>
        <v>45645.63</v>
      </c>
      <c r="G10" s="149">
        <v>0.04</v>
      </c>
      <c r="H10" s="114">
        <f t="shared" si="1"/>
        <v>47471.455199999997</v>
      </c>
      <c r="K10" s="68" t="s">
        <v>46</v>
      </c>
      <c r="L10" s="60">
        <v>51470</v>
      </c>
      <c r="M10" s="69">
        <f t="shared" si="2"/>
        <v>6.1032863849765182E-2</v>
      </c>
      <c r="N10" s="62">
        <v>54815.549999999996</v>
      </c>
      <c r="O10" s="44">
        <v>5.5E-2</v>
      </c>
      <c r="P10" s="42">
        <f t="shared" si="3"/>
        <v>57830.405249999996</v>
      </c>
      <c r="Q10" s="150">
        <v>0.04</v>
      </c>
      <c r="R10" s="40">
        <f t="shared" si="4"/>
        <v>60143.621459999995</v>
      </c>
      <c r="U10" s="1" t="s">
        <v>2</v>
      </c>
      <c r="AB10" s="213"/>
      <c r="AC10" s="88">
        <v>3</v>
      </c>
      <c r="AD10" s="89"/>
      <c r="AE10" s="90">
        <v>20812</v>
      </c>
      <c r="AF10" s="91">
        <f t="shared" si="7"/>
        <v>10.776291726341302</v>
      </c>
      <c r="AG10" s="89"/>
      <c r="AH10" s="90">
        <f t="shared" si="11"/>
        <v>22737</v>
      </c>
      <c r="AI10" s="91">
        <f t="shared" si="12"/>
        <v>11.773041753883449</v>
      </c>
      <c r="AJ10" s="89"/>
      <c r="AK10" s="158" t="e">
        <f>$I$3/#REF!</f>
        <v>#REF!</v>
      </c>
      <c r="AM10" s="133" t="e">
        <f>(#REF!*#REF!)+#REF!</f>
        <v>#REF!</v>
      </c>
      <c r="AN10" s="133" t="e">
        <f t="shared" si="10"/>
        <v>#REF!</v>
      </c>
      <c r="AW10" s="90">
        <f t="shared" si="8"/>
        <v>23419.11</v>
      </c>
      <c r="AX10" s="91">
        <f t="shared" si="9"/>
        <v>12.126233006499954</v>
      </c>
    </row>
    <row r="11" spans="1:53" ht="18.600000000000001" thickBot="1" x14ac:dyDescent="0.35">
      <c r="A11" s="113" t="s">
        <v>47</v>
      </c>
      <c r="B11" s="114">
        <v>42131</v>
      </c>
      <c r="C11" s="58">
        <v>6.5011511713465142E-2</v>
      </c>
      <c r="D11" s="114">
        <v>44870</v>
      </c>
      <c r="E11" s="155">
        <v>5.5E-2</v>
      </c>
      <c r="F11" s="114">
        <f t="shared" si="0"/>
        <v>47337.85</v>
      </c>
      <c r="G11" s="149">
        <v>0.04</v>
      </c>
      <c r="H11" s="114">
        <f t="shared" si="1"/>
        <v>49231.364000000001</v>
      </c>
      <c r="K11" s="68" t="s">
        <v>48</v>
      </c>
      <c r="L11" s="60">
        <v>52659</v>
      </c>
      <c r="M11" s="69">
        <f t="shared" si="2"/>
        <v>6.1032863849765244E-2</v>
      </c>
      <c r="N11" s="62">
        <v>56081.834999999999</v>
      </c>
      <c r="O11" s="44">
        <v>5.5E-2</v>
      </c>
      <c r="P11" s="42">
        <f t="shared" si="3"/>
        <v>59166.335924999999</v>
      </c>
      <c r="Q11" s="150">
        <v>0.04</v>
      </c>
      <c r="R11" s="40">
        <f t="shared" si="4"/>
        <v>61532.989362</v>
      </c>
      <c r="U11" s="186" t="s">
        <v>9</v>
      </c>
      <c r="V11" s="192">
        <v>45901</v>
      </c>
      <c r="W11" s="193"/>
      <c r="X11" s="194"/>
      <c r="AB11" s="214" t="s">
        <v>50</v>
      </c>
      <c r="AC11" s="100">
        <v>3</v>
      </c>
      <c r="AD11" s="89"/>
      <c r="AE11" s="101">
        <v>20812</v>
      </c>
      <c r="AF11" s="102">
        <f t="shared" si="7"/>
        <v>10.776291726341302</v>
      </c>
      <c r="AG11" s="89"/>
      <c r="AH11" s="101">
        <f t="shared" si="11"/>
        <v>22737</v>
      </c>
      <c r="AI11" s="102">
        <f t="shared" si="12"/>
        <v>11.773041753883449</v>
      </c>
      <c r="AJ11" s="89"/>
      <c r="AK11" s="158" t="e">
        <f>$I$3/#REF!</f>
        <v>#REF!</v>
      </c>
      <c r="AM11" s="133" t="e">
        <f>(#REF!*#REF!)+#REF!</f>
        <v>#REF!</v>
      </c>
      <c r="AN11" s="133" t="e">
        <f t="shared" si="10"/>
        <v>#REF!</v>
      </c>
      <c r="AW11" s="101">
        <f t="shared" si="8"/>
        <v>23419.11</v>
      </c>
      <c r="AX11" s="102">
        <f t="shared" si="9"/>
        <v>12.126233006499954</v>
      </c>
    </row>
    <row r="12" spans="1:53" ht="29.4" thickBot="1" x14ac:dyDescent="0.35">
      <c r="A12" s="119" t="s">
        <v>51</v>
      </c>
      <c r="B12" s="120">
        <v>43685</v>
      </c>
      <c r="C12" s="121">
        <v>6.5010873297470531E-2</v>
      </c>
      <c r="D12" s="120">
        <v>46525</v>
      </c>
      <c r="E12" s="160">
        <v>5.5E-2</v>
      </c>
      <c r="F12" s="120">
        <f t="shared" si="0"/>
        <v>49083.875</v>
      </c>
      <c r="G12" s="149">
        <v>0.04</v>
      </c>
      <c r="H12" s="120">
        <f>SUM(F12*G12)+F12</f>
        <v>51047.23</v>
      </c>
      <c r="K12" s="68" t="s">
        <v>52</v>
      </c>
      <c r="L12" s="60">
        <v>53973</v>
      </c>
      <c r="M12" s="69">
        <f t="shared" si="2"/>
        <v>6.1032863849765182E-2</v>
      </c>
      <c r="N12" s="62">
        <v>57481.244999999995</v>
      </c>
      <c r="O12" s="44">
        <v>5.5E-2</v>
      </c>
      <c r="P12" s="42">
        <f t="shared" si="3"/>
        <v>60642.713474999997</v>
      </c>
      <c r="Q12" s="150">
        <v>0.04</v>
      </c>
      <c r="R12" s="40">
        <f t="shared" si="4"/>
        <v>63068.422013999996</v>
      </c>
      <c r="U12" s="187"/>
      <c r="V12" s="24" t="s">
        <v>13</v>
      </c>
      <c r="W12" s="25" t="s">
        <v>14</v>
      </c>
      <c r="X12" s="26" t="s">
        <v>15</v>
      </c>
      <c r="AB12" s="215"/>
      <c r="AC12" s="100">
        <v>4</v>
      </c>
      <c r="AD12" s="89"/>
      <c r="AE12" s="101">
        <v>21189</v>
      </c>
      <c r="AF12" s="102">
        <f t="shared" si="7"/>
        <v>10.971499394072932</v>
      </c>
      <c r="AG12" s="89"/>
      <c r="AH12" s="101">
        <f t="shared" si="11"/>
        <v>23114</v>
      </c>
      <c r="AI12" s="102">
        <f t="shared" si="12"/>
        <v>11.968249421615079</v>
      </c>
      <c r="AJ12" s="89"/>
      <c r="AK12" s="158" t="e">
        <f>$I$3/#REF!</f>
        <v>#REF!</v>
      </c>
      <c r="AM12" s="133" t="e">
        <f>(#REF!*#REF!)+#REF!</f>
        <v>#REF!</v>
      </c>
      <c r="AN12" s="133" t="e">
        <f t="shared" si="10"/>
        <v>#REF!</v>
      </c>
      <c r="AW12" s="101">
        <f t="shared" si="8"/>
        <v>23807.42</v>
      </c>
      <c r="AX12" s="102">
        <f t="shared" si="9"/>
        <v>12.32729690426353</v>
      </c>
    </row>
    <row r="13" spans="1:53" ht="15" thickBot="1" x14ac:dyDescent="0.35">
      <c r="K13" s="68" t="s">
        <v>54</v>
      </c>
      <c r="L13" s="60">
        <v>55360</v>
      </c>
      <c r="M13" s="69">
        <f t="shared" si="2"/>
        <v>6.1032863849765168E-2</v>
      </c>
      <c r="N13" s="62">
        <v>58958.399999999994</v>
      </c>
      <c r="O13" s="44">
        <v>5.5E-2</v>
      </c>
      <c r="P13" s="42">
        <f t="shared" si="3"/>
        <v>62201.111999999994</v>
      </c>
      <c r="Q13" s="150">
        <v>0.04</v>
      </c>
      <c r="R13" s="40">
        <f t="shared" si="4"/>
        <v>64689.156479999991</v>
      </c>
      <c r="U13" s="43">
        <v>1</v>
      </c>
      <c r="V13" s="161">
        <v>0.04</v>
      </c>
      <c r="W13" s="162">
        <f>SUM(694*V13)+694</f>
        <v>721.76</v>
      </c>
      <c r="X13" s="163">
        <f>SUM(3445*V13)+3445</f>
        <v>3582.8</v>
      </c>
      <c r="AB13" s="211" t="s">
        <v>55</v>
      </c>
      <c r="AC13" s="88">
        <v>4</v>
      </c>
      <c r="AD13" s="89"/>
      <c r="AE13" s="90">
        <v>21189</v>
      </c>
      <c r="AF13" s="91">
        <f t="shared" si="7"/>
        <v>10.971499394072932</v>
      </c>
      <c r="AG13" s="89"/>
      <c r="AH13" s="90">
        <f t="shared" si="11"/>
        <v>23114</v>
      </c>
      <c r="AI13" s="91">
        <f t="shared" si="12"/>
        <v>11.968249421615079</v>
      </c>
      <c r="AJ13" s="89"/>
      <c r="AK13" s="158" t="e">
        <f>$I$3/#REF!</f>
        <v>#REF!</v>
      </c>
      <c r="AM13" s="133" t="e">
        <f>(#REF!*#REF!)+#REF!</f>
        <v>#REF!</v>
      </c>
      <c r="AN13" s="133" t="e">
        <f t="shared" si="10"/>
        <v>#REF!</v>
      </c>
      <c r="AW13" s="90">
        <f t="shared" si="8"/>
        <v>23807.42</v>
      </c>
      <c r="AX13" s="91">
        <f t="shared" si="9"/>
        <v>12.32729690426353</v>
      </c>
    </row>
    <row r="14" spans="1:53" ht="18.600000000000001" thickBot="1" x14ac:dyDescent="0.35">
      <c r="A14" s="1" t="s">
        <v>1</v>
      </c>
      <c r="C14" s="3"/>
      <c r="D14" s="3"/>
      <c r="E14" s="3"/>
      <c r="F14" s="3"/>
      <c r="G14" s="164"/>
      <c r="H14" s="164"/>
      <c r="K14" s="68" t="s">
        <v>57</v>
      </c>
      <c r="L14" s="60">
        <v>56796</v>
      </c>
      <c r="M14" s="69">
        <f t="shared" si="2"/>
        <v>6.1032863849765223E-2</v>
      </c>
      <c r="N14" s="62">
        <v>60487.74</v>
      </c>
      <c r="O14" s="44">
        <v>5.5E-2</v>
      </c>
      <c r="P14" s="42">
        <f t="shared" si="3"/>
        <v>63814.565699999999</v>
      </c>
      <c r="Q14" s="150">
        <v>0.04</v>
      </c>
      <c r="R14" s="40">
        <f t="shared" si="4"/>
        <v>66367.148327999996</v>
      </c>
      <c r="U14" s="65">
        <v>2</v>
      </c>
      <c r="V14" s="161">
        <v>0.04</v>
      </c>
      <c r="W14" s="165">
        <f>SUM(3492*V14)+3492</f>
        <v>3631.68</v>
      </c>
      <c r="X14" s="166">
        <f>SUM(8527*V14)+8527</f>
        <v>8868.08</v>
      </c>
      <c r="AB14" s="213"/>
      <c r="AC14" s="88">
        <v>5</v>
      </c>
      <c r="AD14" s="89"/>
      <c r="AE14" s="90">
        <v>21575</v>
      </c>
      <c r="AF14" s="91">
        <f t="shared" si="7"/>
        <v>11.171367191803458</v>
      </c>
      <c r="AG14" s="89"/>
      <c r="AH14" s="90">
        <f t="shared" si="11"/>
        <v>23500</v>
      </c>
      <c r="AI14" s="91">
        <f t="shared" si="12"/>
        <v>12.168117219345607</v>
      </c>
      <c r="AJ14" s="89"/>
      <c r="AK14" s="158" t="e">
        <f>$I$3/#REF!</f>
        <v>#REF!</v>
      </c>
      <c r="AM14" s="133" t="e">
        <f>(#REF!*#REF!)+#REF!</f>
        <v>#REF!</v>
      </c>
      <c r="AN14" s="133" t="e">
        <f t="shared" si="10"/>
        <v>#REF!</v>
      </c>
      <c r="AW14" s="90">
        <f t="shared" si="8"/>
        <v>24205</v>
      </c>
      <c r="AX14" s="91">
        <f t="shared" si="9"/>
        <v>12.533160735925975</v>
      </c>
    </row>
    <row r="15" spans="1:53" ht="18.600000000000001" thickBot="1" x14ac:dyDescent="0.35">
      <c r="A15" s="186" t="s">
        <v>7</v>
      </c>
      <c r="B15" s="9" t="s">
        <v>8</v>
      </c>
      <c r="C15" s="188">
        <v>45170</v>
      </c>
      <c r="D15" s="189"/>
      <c r="E15" s="190">
        <v>45536</v>
      </c>
      <c r="F15" s="191"/>
      <c r="G15" s="218">
        <v>45901</v>
      </c>
      <c r="H15" s="219"/>
      <c r="K15" s="68" t="s">
        <v>60</v>
      </c>
      <c r="L15" s="60">
        <v>58105</v>
      </c>
      <c r="M15" s="69">
        <f t="shared" si="2"/>
        <v>6.1032863849765216E-2</v>
      </c>
      <c r="N15" s="62">
        <v>61881.824999999997</v>
      </c>
      <c r="O15" s="44">
        <v>5.5E-2</v>
      </c>
      <c r="P15" s="42">
        <f t="shared" si="3"/>
        <v>65285.325375</v>
      </c>
      <c r="Q15" s="150">
        <v>0.04</v>
      </c>
      <c r="R15" s="40">
        <f t="shared" si="4"/>
        <v>67896.738389999999</v>
      </c>
      <c r="U15" s="65">
        <v>3</v>
      </c>
      <c r="V15" s="161">
        <v>0.04</v>
      </c>
      <c r="W15" s="165">
        <f>SUM(10075*V15)+10075</f>
        <v>10478</v>
      </c>
      <c r="X15" s="166">
        <f>SUM(17050*V15)+17050</f>
        <v>17732</v>
      </c>
      <c r="AB15" s="214" t="s">
        <v>58</v>
      </c>
      <c r="AC15" s="100">
        <v>6</v>
      </c>
      <c r="AD15" s="89"/>
      <c r="AE15" s="101">
        <v>21968</v>
      </c>
      <c r="AF15" s="102">
        <f t="shared" si="7"/>
        <v>11.374859535088685</v>
      </c>
      <c r="AG15" s="89"/>
      <c r="AH15" s="101">
        <f t="shared" si="11"/>
        <v>23893</v>
      </c>
      <c r="AI15" s="102">
        <f t="shared" si="12"/>
        <v>12.371609562630832</v>
      </c>
      <c r="AJ15" s="89"/>
      <c r="AK15" s="158" t="e">
        <f>$I$3/#REF!</f>
        <v>#REF!</v>
      </c>
      <c r="AM15" s="133" t="e">
        <f>(#REF!*#REF!)+#REF!</f>
        <v>#REF!</v>
      </c>
      <c r="AN15" s="133" t="e">
        <f t="shared" si="10"/>
        <v>#REF!</v>
      </c>
      <c r="AW15" s="101">
        <f t="shared" si="8"/>
        <v>24609.79</v>
      </c>
      <c r="AX15" s="102">
        <f t="shared" si="9"/>
        <v>12.742757849509758</v>
      </c>
    </row>
    <row r="16" spans="1:53" ht="29.4" thickBot="1" x14ac:dyDescent="0.35">
      <c r="A16" s="187"/>
      <c r="B16" s="23" t="s">
        <v>12</v>
      </c>
      <c r="C16" s="24" t="s">
        <v>13</v>
      </c>
      <c r="D16" s="21" t="s">
        <v>12</v>
      </c>
      <c r="E16" s="24" t="s">
        <v>13</v>
      </c>
      <c r="F16" s="21" t="s">
        <v>12</v>
      </c>
      <c r="G16" s="142" t="s">
        <v>13</v>
      </c>
      <c r="H16" s="143" t="s">
        <v>12</v>
      </c>
      <c r="K16" s="68" t="s">
        <v>63</v>
      </c>
      <c r="L16" s="60">
        <v>59558</v>
      </c>
      <c r="M16" s="69">
        <f t="shared" si="2"/>
        <v>6.1032863849765209E-2</v>
      </c>
      <c r="N16" s="62">
        <v>63429.27</v>
      </c>
      <c r="O16" s="44">
        <v>5.5E-2</v>
      </c>
      <c r="P16" s="42">
        <f t="shared" si="3"/>
        <v>66917.879849999998</v>
      </c>
      <c r="Q16" s="150">
        <v>0.04</v>
      </c>
      <c r="R16" s="40">
        <f t="shared" si="4"/>
        <v>69594.595044000002</v>
      </c>
      <c r="U16" s="96" t="s">
        <v>35</v>
      </c>
      <c r="V16" s="167">
        <v>0.04</v>
      </c>
      <c r="W16" s="168">
        <f>SUM(2759*V16)+2759</f>
        <v>2869.36</v>
      </c>
      <c r="X16" s="169">
        <f>SUM(5443*V16)+5443</f>
        <v>5660.72</v>
      </c>
      <c r="AB16" s="215"/>
      <c r="AC16" s="100">
        <v>7</v>
      </c>
      <c r="AD16" s="89"/>
      <c r="AE16" s="101">
        <v>22369</v>
      </c>
      <c r="AF16" s="102">
        <f t="shared" si="7"/>
        <v>11.58249421615071</v>
      </c>
      <c r="AG16" s="89"/>
      <c r="AH16" s="101">
        <f t="shared" si="11"/>
        <v>24294</v>
      </c>
      <c r="AI16" s="102">
        <f t="shared" si="12"/>
        <v>12.579244243692857</v>
      </c>
      <c r="AJ16" s="89"/>
      <c r="AK16" s="158" t="e">
        <f>$I$3/#REF!</f>
        <v>#REF!</v>
      </c>
      <c r="AM16" s="133" t="e">
        <f>(#REF!*#REF!)+#REF!</f>
        <v>#REF!</v>
      </c>
      <c r="AN16" s="133" t="e">
        <f t="shared" si="10"/>
        <v>#REF!</v>
      </c>
      <c r="AW16" s="101">
        <f t="shared" si="8"/>
        <v>25022.82</v>
      </c>
      <c r="AX16" s="102">
        <f t="shared" si="9"/>
        <v>12.956621571003643</v>
      </c>
    </row>
    <row r="17" spans="1:50" ht="15" thickBot="1" x14ac:dyDescent="0.35">
      <c r="A17" s="37">
        <v>1</v>
      </c>
      <c r="B17" s="38">
        <v>44523</v>
      </c>
      <c r="C17" s="39">
        <f t="shared" ref="C17:C32" si="13">SUM(D17-B17)/B17</f>
        <v>6.4999999999999891E-2</v>
      </c>
      <c r="D17" s="40">
        <v>47416.994999999995</v>
      </c>
      <c r="E17" s="44">
        <v>5.5E-2</v>
      </c>
      <c r="F17" s="42">
        <f>D17*E17+D17</f>
        <v>50024.929724999995</v>
      </c>
      <c r="G17" s="50">
        <v>0.04</v>
      </c>
      <c r="H17" s="40">
        <f>F17*G17+F17</f>
        <v>52025.926913999996</v>
      </c>
      <c r="K17" s="68" t="s">
        <v>66</v>
      </c>
      <c r="L17" s="60">
        <v>61042</v>
      </c>
      <c r="M17" s="69">
        <f t="shared" si="2"/>
        <v>6.1032863849765202E-2</v>
      </c>
      <c r="N17" s="62">
        <v>65009.729999999996</v>
      </c>
      <c r="O17" s="44">
        <v>5.5E-2</v>
      </c>
      <c r="P17" s="42">
        <f t="shared" si="3"/>
        <v>68585.265149999992</v>
      </c>
      <c r="Q17" s="150">
        <v>0.04</v>
      </c>
      <c r="R17" s="40">
        <f t="shared" si="4"/>
        <v>71328.675755999997</v>
      </c>
      <c r="AB17" s="211" t="s">
        <v>61</v>
      </c>
      <c r="AC17" s="88">
        <v>8</v>
      </c>
      <c r="AD17" s="89"/>
      <c r="AE17" s="90">
        <v>22777</v>
      </c>
      <c r="AF17" s="91">
        <f t="shared" si="7"/>
        <v>11.793753442767434</v>
      </c>
      <c r="AG17" s="89"/>
      <c r="AH17" s="90">
        <f t="shared" si="11"/>
        <v>24702</v>
      </c>
      <c r="AI17" s="91">
        <f t="shared" si="12"/>
        <v>12.790503470309581</v>
      </c>
      <c r="AJ17" s="89"/>
      <c r="AK17" s="158" t="e">
        <f>$I$3/#REF!</f>
        <v>#REF!</v>
      </c>
      <c r="AM17" s="133" t="e">
        <f>(#REF!*#REF!)+#REF!</f>
        <v>#REF!</v>
      </c>
      <c r="AN17" s="133" t="e">
        <f t="shared" si="10"/>
        <v>#REF!</v>
      </c>
      <c r="AW17" s="90">
        <f t="shared" si="8"/>
        <v>25443.06</v>
      </c>
      <c r="AX17" s="91">
        <f t="shared" si="9"/>
        <v>13.17421857441887</v>
      </c>
    </row>
    <row r="18" spans="1:50" ht="15" thickBot="1" x14ac:dyDescent="0.35">
      <c r="A18" s="59">
        <v>2</v>
      </c>
      <c r="B18" s="60">
        <v>45639</v>
      </c>
      <c r="C18" s="61">
        <f t="shared" si="13"/>
        <v>6.4999999999999919E-2</v>
      </c>
      <c r="D18" s="62">
        <v>48605.534999999996</v>
      </c>
      <c r="E18" s="66">
        <v>5.5E-2</v>
      </c>
      <c r="F18" s="64">
        <f t="shared" ref="F18:F32" si="14">D18*E18+D18</f>
        <v>51278.839424999998</v>
      </c>
      <c r="G18" s="50">
        <v>0.04</v>
      </c>
      <c r="H18" s="62">
        <f t="shared" ref="H18:H32" si="15">F18*G18+F18</f>
        <v>53329.993001999996</v>
      </c>
      <c r="K18" s="68" t="s">
        <v>69</v>
      </c>
      <c r="L18" s="60">
        <v>62561</v>
      </c>
      <c r="M18" s="69">
        <f t="shared" si="2"/>
        <v>6.1032863849765209E-2</v>
      </c>
      <c r="N18" s="62">
        <v>66627.464999999997</v>
      </c>
      <c r="O18" s="44">
        <v>5.5E-2</v>
      </c>
      <c r="P18" s="42">
        <f t="shared" si="3"/>
        <v>70291.975574999989</v>
      </c>
      <c r="Q18" s="150">
        <v>0.04</v>
      </c>
      <c r="R18" s="40">
        <f t="shared" si="4"/>
        <v>73103.654597999994</v>
      </c>
      <c r="AB18" s="212"/>
      <c r="AC18" s="88">
        <v>9</v>
      </c>
      <c r="AD18" s="89"/>
      <c r="AE18" s="90">
        <v>23194</v>
      </c>
      <c r="AF18" s="91">
        <f t="shared" si="7"/>
        <v>12.009672799383056</v>
      </c>
      <c r="AG18" s="89"/>
      <c r="AH18" s="90">
        <f t="shared" si="11"/>
        <v>25119</v>
      </c>
      <c r="AI18" s="91">
        <f t="shared" si="12"/>
        <v>13.006422826925204</v>
      </c>
      <c r="AJ18" s="89"/>
      <c r="AK18" s="158" t="e">
        <f>$I$3/#REF!</f>
        <v>#REF!</v>
      </c>
      <c r="AM18" s="133" t="e">
        <f>(#REF!*#REF!)+#REF!</f>
        <v>#REF!</v>
      </c>
      <c r="AN18" s="133" t="e">
        <f t="shared" si="10"/>
        <v>#REF!</v>
      </c>
      <c r="AW18" s="90">
        <f t="shared" si="8"/>
        <v>25872.57</v>
      </c>
      <c r="AX18" s="91">
        <f t="shared" si="9"/>
        <v>13.396615511732959</v>
      </c>
    </row>
    <row r="19" spans="1:50" ht="15" thickBot="1" x14ac:dyDescent="0.35">
      <c r="A19" s="59">
        <v>3</v>
      </c>
      <c r="B19" s="60">
        <v>46778</v>
      </c>
      <c r="C19" s="61">
        <f t="shared" si="13"/>
        <v>6.4999999999999988E-2</v>
      </c>
      <c r="D19" s="62">
        <v>49818.57</v>
      </c>
      <c r="E19" s="66">
        <v>5.5E-2</v>
      </c>
      <c r="F19" s="64">
        <f t="shared" si="14"/>
        <v>52558.591350000002</v>
      </c>
      <c r="G19" s="50">
        <v>0.04</v>
      </c>
      <c r="H19" s="62">
        <f t="shared" si="15"/>
        <v>54660.935003999999</v>
      </c>
      <c r="K19" s="68" t="s">
        <v>72</v>
      </c>
      <c r="L19" s="60">
        <v>64225</v>
      </c>
      <c r="M19" s="69">
        <f t="shared" si="2"/>
        <v>6.1032863849765258E-2</v>
      </c>
      <c r="N19" s="62">
        <v>68399.625</v>
      </c>
      <c r="O19" s="44">
        <v>5.5E-2</v>
      </c>
      <c r="P19" s="42">
        <f t="shared" si="3"/>
        <v>72161.604374999995</v>
      </c>
      <c r="Q19" s="150">
        <v>0.04</v>
      </c>
      <c r="R19" s="40">
        <f t="shared" si="4"/>
        <v>75048.068549999996</v>
      </c>
      <c r="AB19" s="212"/>
      <c r="AC19" s="88">
        <v>10</v>
      </c>
      <c r="AD19" s="89"/>
      <c r="AE19" s="90">
        <v>23620</v>
      </c>
      <c r="AF19" s="91">
        <f t="shared" si="7"/>
        <v>12.230252285997576</v>
      </c>
      <c r="AG19" s="89"/>
      <c r="AH19" s="90">
        <f t="shared" si="11"/>
        <v>25545</v>
      </c>
      <c r="AI19" s="91">
        <f t="shared" si="12"/>
        <v>13.227002313539725</v>
      </c>
      <c r="AJ19" s="89"/>
      <c r="AK19" s="158" t="e">
        <f>$I$3/#REF!</f>
        <v>#REF!</v>
      </c>
      <c r="AM19" s="133" t="e">
        <f>(#REF!*#REF!)+#REF!</f>
        <v>#REF!</v>
      </c>
      <c r="AN19" s="133" t="e">
        <f t="shared" si="10"/>
        <v>#REF!</v>
      </c>
      <c r="AW19" s="90">
        <f t="shared" si="8"/>
        <v>26311.35</v>
      </c>
      <c r="AX19" s="91">
        <f t="shared" si="9"/>
        <v>13.623812382945914</v>
      </c>
    </row>
    <row r="20" spans="1:50" ht="15" thickBot="1" x14ac:dyDescent="0.35">
      <c r="A20" s="59">
        <v>4</v>
      </c>
      <c r="B20" s="60">
        <v>47941</v>
      </c>
      <c r="C20" s="61">
        <f t="shared" si="13"/>
        <v>6.5000000000000016E-2</v>
      </c>
      <c r="D20" s="62">
        <v>51057.165000000001</v>
      </c>
      <c r="E20" s="66">
        <v>5.5E-2</v>
      </c>
      <c r="F20" s="64">
        <f t="shared" si="14"/>
        <v>53865.309074999997</v>
      </c>
      <c r="G20" s="50">
        <v>0.04</v>
      </c>
      <c r="H20" s="62">
        <f t="shared" si="15"/>
        <v>56019.921437999998</v>
      </c>
      <c r="K20" s="68" t="s">
        <v>75</v>
      </c>
      <c r="L20" s="60">
        <v>65699</v>
      </c>
      <c r="M20" s="69">
        <f t="shared" si="2"/>
        <v>6.103286384976523E-2</v>
      </c>
      <c r="N20" s="62">
        <v>69969.434999999998</v>
      </c>
      <c r="O20" s="44">
        <v>5.5E-2</v>
      </c>
      <c r="P20" s="42">
        <f t="shared" si="3"/>
        <v>73817.753924999997</v>
      </c>
      <c r="Q20" s="150">
        <v>0.04</v>
      </c>
      <c r="R20" s="40">
        <f t="shared" si="4"/>
        <v>76770.464081999991</v>
      </c>
      <c r="AB20" s="212"/>
      <c r="AC20" s="88">
        <v>11</v>
      </c>
      <c r="AD20" s="89"/>
      <c r="AE20" s="90">
        <v>24054</v>
      </c>
      <c r="AF20" s="91">
        <f t="shared" si="7"/>
        <v>12.454974110388894</v>
      </c>
      <c r="AG20" s="89"/>
      <c r="AH20" s="90">
        <f t="shared" si="11"/>
        <v>25979</v>
      </c>
      <c r="AI20" s="91">
        <f t="shared" si="12"/>
        <v>13.451724137931043</v>
      </c>
      <c r="AJ20" s="89"/>
      <c r="AK20" s="158" t="e">
        <f>$I$3/#REF!</f>
        <v>#REF!</v>
      </c>
      <c r="AM20" s="133" t="e">
        <f>(#REF!*#REF!)+#REF!</f>
        <v>#REF!</v>
      </c>
      <c r="AN20" s="133" t="e">
        <f t="shared" si="10"/>
        <v>#REF!</v>
      </c>
      <c r="AW20" s="90">
        <f t="shared" si="8"/>
        <v>26758.37</v>
      </c>
      <c r="AX20" s="91">
        <f t="shared" si="9"/>
        <v>13.855275862068973</v>
      </c>
    </row>
    <row r="21" spans="1:50" ht="15" thickBot="1" x14ac:dyDescent="0.35">
      <c r="A21" s="59">
        <v>5</v>
      </c>
      <c r="B21" s="60">
        <v>50368</v>
      </c>
      <c r="C21" s="61">
        <f t="shared" si="13"/>
        <v>6.4999999999999961E-2</v>
      </c>
      <c r="D21" s="62">
        <v>53641.919999999998</v>
      </c>
      <c r="E21" s="66">
        <v>5.5E-2</v>
      </c>
      <c r="F21" s="64">
        <f t="shared" si="14"/>
        <v>56592.225599999998</v>
      </c>
      <c r="G21" s="50">
        <v>0.04</v>
      </c>
      <c r="H21" s="62">
        <f t="shared" si="15"/>
        <v>58855.914623999997</v>
      </c>
      <c r="K21" s="68" t="s">
        <v>78</v>
      </c>
      <c r="L21" s="60">
        <v>67351</v>
      </c>
      <c r="M21" s="69">
        <f t="shared" si="2"/>
        <v>6.1032863849765286E-2</v>
      </c>
      <c r="N21" s="62">
        <v>71728.815000000002</v>
      </c>
      <c r="O21" s="44">
        <v>5.5E-2</v>
      </c>
      <c r="P21" s="42">
        <f t="shared" si="3"/>
        <v>75673.899825</v>
      </c>
      <c r="Q21" s="150">
        <v>0.04</v>
      </c>
      <c r="R21" s="40">
        <f t="shared" si="4"/>
        <v>78700.855817999996</v>
      </c>
      <c r="AB21" s="212"/>
      <c r="AC21" s="88">
        <v>12</v>
      </c>
      <c r="AD21" s="89"/>
      <c r="AE21" s="90">
        <v>24496</v>
      </c>
      <c r="AF21" s="91">
        <f t="shared" si="7"/>
        <v>12.683838272557011</v>
      </c>
      <c r="AG21" s="89"/>
      <c r="AH21" s="90">
        <f t="shared" si="11"/>
        <v>26421</v>
      </c>
      <c r="AI21" s="91">
        <f t="shared" si="12"/>
        <v>13.68058830009916</v>
      </c>
      <c r="AJ21" s="89"/>
      <c r="AK21" s="158" t="e">
        <f>$I$3/#REF!</f>
        <v>#REF!</v>
      </c>
      <c r="AM21" s="133" t="e">
        <f>(#REF!*#REF!)+#REF!</f>
        <v>#REF!</v>
      </c>
      <c r="AN21" s="133" t="e">
        <f t="shared" si="10"/>
        <v>#REF!</v>
      </c>
      <c r="AW21" s="90">
        <f t="shared" si="8"/>
        <v>27213.63</v>
      </c>
      <c r="AX21" s="91">
        <f t="shared" si="9"/>
        <v>14.091005949102135</v>
      </c>
    </row>
    <row r="22" spans="1:50" ht="15" thickBot="1" x14ac:dyDescent="0.35">
      <c r="A22" s="59">
        <v>6</v>
      </c>
      <c r="B22" s="60">
        <v>51725</v>
      </c>
      <c r="C22" s="61">
        <f t="shared" si="13"/>
        <v>6.5000000000000002E-2</v>
      </c>
      <c r="D22" s="62">
        <v>55087.125</v>
      </c>
      <c r="E22" s="66">
        <v>5.5E-2</v>
      </c>
      <c r="F22" s="64">
        <f t="shared" si="14"/>
        <v>58116.916875000003</v>
      </c>
      <c r="G22" s="50">
        <v>0.04</v>
      </c>
      <c r="H22" s="62">
        <f>F22*G22+F22</f>
        <v>60441.593550000005</v>
      </c>
      <c r="K22" s="68" t="s">
        <v>81</v>
      </c>
      <c r="L22" s="60">
        <v>69022</v>
      </c>
      <c r="M22" s="69">
        <f t="shared" si="2"/>
        <v>6.1032863849765168E-2</v>
      </c>
      <c r="N22" s="62">
        <v>73508.429999999993</v>
      </c>
      <c r="O22" s="44">
        <v>5.5E-2</v>
      </c>
      <c r="P22" s="42">
        <f t="shared" si="3"/>
        <v>77551.393649999998</v>
      </c>
      <c r="Q22" s="150">
        <v>0.04</v>
      </c>
      <c r="R22" s="40">
        <f t="shared" si="4"/>
        <v>80653.449395999996</v>
      </c>
      <c r="AB22" s="213"/>
      <c r="AC22" s="88">
        <v>13</v>
      </c>
      <c r="AD22" s="89"/>
      <c r="AE22" s="90">
        <v>24948</v>
      </c>
      <c r="AF22" s="91">
        <f t="shared" si="7"/>
        <v>12.917880356946128</v>
      </c>
      <c r="AG22" s="89"/>
      <c r="AH22" s="90">
        <f t="shared" si="11"/>
        <v>26873</v>
      </c>
      <c r="AI22" s="91">
        <f t="shared" si="12"/>
        <v>13.914630384488275</v>
      </c>
      <c r="AJ22" s="89"/>
      <c r="AK22" s="158" t="e">
        <f>$I$3/#REF!</f>
        <v>#REF!</v>
      </c>
      <c r="AM22" s="133" t="e">
        <f>(#REF!*#REF!)+#REF!</f>
        <v>#REF!</v>
      </c>
      <c r="AN22" s="133" t="e">
        <f t="shared" si="10"/>
        <v>#REF!</v>
      </c>
      <c r="AW22" s="90">
        <f t="shared" si="8"/>
        <v>27679.19</v>
      </c>
      <c r="AX22" s="91">
        <f t="shared" si="9"/>
        <v>14.332069296022924</v>
      </c>
    </row>
    <row r="23" spans="1:50" ht="15" thickBot="1" x14ac:dyDescent="0.35">
      <c r="A23" s="59">
        <v>7</v>
      </c>
      <c r="B23" s="60">
        <v>52917</v>
      </c>
      <c r="C23" s="61">
        <f t="shared" si="13"/>
        <v>6.4999999999999919E-2</v>
      </c>
      <c r="D23" s="62">
        <v>56356.604999999996</v>
      </c>
      <c r="E23" s="66">
        <v>5.5E-2</v>
      </c>
      <c r="F23" s="64">
        <f t="shared" si="14"/>
        <v>59456.218274999992</v>
      </c>
      <c r="G23" s="50">
        <v>0.04</v>
      </c>
      <c r="H23" s="62">
        <f t="shared" si="15"/>
        <v>61834.467005999992</v>
      </c>
      <c r="K23" s="68" t="s">
        <v>82</v>
      </c>
      <c r="L23" s="60">
        <v>70733</v>
      </c>
      <c r="M23" s="69">
        <f t="shared" si="2"/>
        <v>6.1032863849765126E-2</v>
      </c>
      <c r="N23" s="62">
        <v>75330.64499999999</v>
      </c>
      <c r="O23" s="44">
        <v>5.5E-2</v>
      </c>
      <c r="P23" s="42">
        <f t="shared" si="3"/>
        <v>79473.830474999995</v>
      </c>
      <c r="Q23" s="150">
        <v>0.04</v>
      </c>
      <c r="R23" s="40">
        <f t="shared" si="4"/>
        <v>82652.783693999998</v>
      </c>
      <c r="AB23" s="214" t="s">
        <v>64</v>
      </c>
      <c r="AC23" s="100">
        <v>14</v>
      </c>
      <c r="AD23" s="89"/>
      <c r="AE23" s="101">
        <v>25409</v>
      </c>
      <c r="AF23" s="102">
        <f t="shared" si="7"/>
        <v>13.156582571334141</v>
      </c>
      <c r="AG23" s="89"/>
      <c r="AH23" s="101">
        <f t="shared" si="11"/>
        <v>27334</v>
      </c>
      <c r="AI23" s="102">
        <f t="shared" si="12"/>
        <v>14.15333259887629</v>
      </c>
      <c r="AJ23" s="89"/>
      <c r="AK23" s="158" t="e">
        <f>$I$3/#REF!</f>
        <v>#REF!</v>
      </c>
      <c r="AM23" s="133" t="e">
        <f>(#REF!*#REF!)+#REF!</f>
        <v>#REF!</v>
      </c>
      <c r="AN23" s="133" t="e">
        <f t="shared" si="10"/>
        <v>#REF!</v>
      </c>
      <c r="AW23" s="101">
        <f t="shared" si="8"/>
        <v>28154.02</v>
      </c>
      <c r="AX23" s="102">
        <f t="shared" si="9"/>
        <v>14.577932576842578</v>
      </c>
    </row>
    <row r="24" spans="1:50" ht="15" thickBot="1" x14ac:dyDescent="0.35">
      <c r="A24" s="59">
        <v>8</v>
      </c>
      <c r="B24" s="60">
        <v>54239</v>
      </c>
      <c r="C24" s="61">
        <f t="shared" si="13"/>
        <v>6.4999999999999933E-2</v>
      </c>
      <c r="D24" s="62">
        <v>57764.534999999996</v>
      </c>
      <c r="E24" s="66">
        <v>5.5E-2</v>
      </c>
      <c r="F24" s="64">
        <f t="shared" si="14"/>
        <v>60941.584424999994</v>
      </c>
      <c r="G24" s="50">
        <v>0.04</v>
      </c>
      <c r="H24" s="62">
        <f t="shared" si="15"/>
        <v>63379.247801999991</v>
      </c>
      <c r="K24" s="68" t="s">
        <v>83</v>
      </c>
      <c r="L24" s="60">
        <v>72483</v>
      </c>
      <c r="M24" s="69">
        <f t="shared" si="2"/>
        <v>6.1032863849765133E-2</v>
      </c>
      <c r="N24" s="62">
        <v>77194.39499999999</v>
      </c>
      <c r="O24" s="44">
        <v>5.5E-2</v>
      </c>
      <c r="P24" s="42">
        <f t="shared" si="3"/>
        <v>81440.086724999986</v>
      </c>
      <c r="Q24" s="150">
        <v>0.04</v>
      </c>
      <c r="R24" s="40">
        <f t="shared" si="4"/>
        <v>84697.690193999981</v>
      </c>
      <c r="AB24" s="216"/>
      <c r="AC24" s="100">
        <v>15</v>
      </c>
      <c r="AD24" s="89"/>
      <c r="AE24" s="101">
        <v>25878</v>
      </c>
      <c r="AF24" s="102">
        <f t="shared" si="7"/>
        <v>13.399427123498953</v>
      </c>
      <c r="AG24" s="89"/>
      <c r="AH24" s="101">
        <f t="shared" si="11"/>
        <v>27803</v>
      </c>
      <c r="AI24" s="102">
        <f t="shared" si="12"/>
        <v>14.396177151041101</v>
      </c>
      <c r="AJ24" s="89"/>
      <c r="AK24" s="158" t="e">
        <f>$I$3/#REF!</f>
        <v>#REF!</v>
      </c>
      <c r="AM24" s="133" t="e">
        <f>(#REF!*#REF!)+#REF!</f>
        <v>#REF!</v>
      </c>
      <c r="AN24" s="133" t="e">
        <f t="shared" si="10"/>
        <v>#REF!</v>
      </c>
      <c r="AW24" s="101">
        <f t="shared" si="8"/>
        <v>28637.09</v>
      </c>
      <c r="AX24" s="102">
        <f t="shared" si="9"/>
        <v>14.828062465572335</v>
      </c>
    </row>
    <row r="25" spans="1:50" ht="15" thickBot="1" x14ac:dyDescent="0.35">
      <c r="A25" s="59">
        <v>9</v>
      </c>
      <c r="B25" s="60">
        <v>55633</v>
      </c>
      <c r="C25" s="61">
        <f t="shared" si="13"/>
        <v>6.4999999999999947E-2</v>
      </c>
      <c r="D25" s="62">
        <v>59249.144999999997</v>
      </c>
      <c r="E25" s="66">
        <v>5.5E-2</v>
      </c>
      <c r="F25" s="64">
        <f t="shared" si="14"/>
        <v>62507.847974999997</v>
      </c>
      <c r="G25" s="50">
        <v>0.04</v>
      </c>
      <c r="H25" s="62">
        <f t="shared" si="15"/>
        <v>65008.161893999997</v>
      </c>
      <c r="K25" s="68" t="s">
        <v>84</v>
      </c>
      <c r="L25" s="60">
        <v>74283</v>
      </c>
      <c r="M25" s="69">
        <f t="shared" si="2"/>
        <v>6.1032863849765133E-2</v>
      </c>
      <c r="N25" s="62">
        <v>79111.39499999999</v>
      </c>
      <c r="O25" s="44">
        <v>5.5E-2</v>
      </c>
      <c r="P25" s="42">
        <f t="shared" si="3"/>
        <v>83462.521724999984</v>
      </c>
      <c r="Q25" s="150">
        <v>0.04</v>
      </c>
      <c r="R25" s="40">
        <f t="shared" si="4"/>
        <v>86801.02259399998</v>
      </c>
      <c r="AB25" s="216"/>
      <c r="AC25" s="100">
        <v>16</v>
      </c>
      <c r="AD25" s="89"/>
      <c r="AE25" s="101">
        <v>26357</v>
      </c>
      <c r="AF25" s="102">
        <f t="shared" si="7"/>
        <v>13.647449597884764</v>
      </c>
      <c r="AG25" s="89"/>
      <c r="AH25" s="101">
        <f t="shared" si="11"/>
        <v>28282</v>
      </c>
      <c r="AI25" s="102">
        <f t="shared" si="12"/>
        <v>14.644199625426912</v>
      </c>
      <c r="AJ25" s="89"/>
      <c r="AK25" s="158" t="e">
        <f>$I$3/#REF!</f>
        <v>#REF!</v>
      </c>
      <c r="AM25" s="133" t="e">
        <f>(#REF!*#REF!)+#REF!</f>
        <v>#REF!</v>
      </c>
      <c r="AN25" s="133" t="e">
        <f t="shared" si="10"/>
        <v>#REF!</v>
      </c>
      <c r="AW25" s="101">
        <f t="shared" si="8"/>
        <v>29130.46</v>
      </c>
      <c r="AX25" s="102">
        <f t="shared" si="9"/>
        <v>15.083525614189719</v>
      </c>
    </row>
    <row r="26" spans="1:50" ht="15" thickBot="1" x14ac:dyDescent="0.35">
      <c r="A26" s="59">
        <v>10</v>
      </c>
      <c r="B26" s="60">
        <v>57075</v>
      </c>
      <c r="C26" s="61">
        <f t="shared" si="13"/>
        <v>6.5000000000000002E-2</v>
      </c>
      <c r="D26" s="62">
        <v>60784.875</v>
      </c>
      <c r="E26" s="66">
        <v>5.5E-2</v>
      </c>
      <c r="F26" s="64">
        <f t="shared" si="14"/>
        <v>64128.043124999997</v>
      </c>
      <c r="G26" s="50">
        <v>0.04</v>
      </c>
      <c r="H26" s="62">
        <f t="shared" si="15"/>
        <v>66693.164850000001</v>
      </c>
      <c r="K26" s="68" t="s">
        <v>85</v>
      </c>
      <c r="L26" s="60">
        <v>76122</v>
      </c>
      <c r="M26" s="69">
        <f t="shared" si="2"/>
        <v>6.1032863849765175E-2</v>
      </c>
      <c r="N26" s="62">
        <v>81069.929999999993</v>
      </c>
      <c r="O26" s="44">
        <v>5.5E-2</v>
      </c>
      <c r="P26" s="42">
        <f t="shared" si="3"/>
        <v>85528.776149999991</v>
      </c>
      <c r="Q26" s="150">
        <v>0.04</v>
      </c>
      <c r="R26" s="40">
        <f t="shared" si="4"/>
        <v>88949.92719599999</v>
      </c>
      <c r="AB26" s="216"/>
      <c r="AC26" s="100">
        <v>17</v>
      </c>
      <c r="AD26" s="89"/>
      <c r="AE26" s="101">
        <v>26845</v>
      </c>
      <c r="AF26" s="102">
        <f t="shared" si="7"/>
        <v>13.900132202269472</v>
      </c>
      <c r="AG26" s="89"/>
      <c r="AH26" s="101">
        <f t="shared" si="11"/>
        <v>28770</v>
      </c>
      <c r="AI26" s="102">
        <f t="shared" si="12"/>
        <v>14.89688222981162</v>
      </c>
      <c r="AJ26" s="89"/>
      <c r="AK26" s="158" t="e">
        <f>$I$3/#REF!</f>
        <v>#REF!</v>
      </c>
      <c r="AM26" s="133" t="e">
        <f>(#REF!*#REF!)+#REF!</f>
        <v>#REF!</v>
      </c>
      <c r="AN26" s="133" t="e">
        <f t="shared" si="10"/>
        <v>#REF!</v>
      </c>
      <c r="AW26" s="101">
        <f t="shared" si="8"/>
        <v>29633.1</v>
      </c>
      <c r="AX26" s="102">
        <f t="shared" si="9"/>
        <v>15.343788696705969</v>
      </c>
    </row>
    <row r="27" spans="1:50" ht="15" thickBot="1" x14ac:dyDescent="0.35">
      <c r="A27" s="59">
        <v>11</v>
      </c>
      <c r="B27" s="60">
        <v>58391</v>
      </c>
      <c r="C27" s="61">
        <f t="shared" si="13"/>
        <v>6.4999999999999891E-2</v>
      </c>
      <c r="D27" s="62">
        <v>62186.414999999994</v>
      </c>
      <c r="E27" s="66">
        <v>5.5E-2</v>
      </c>
      <c r="F27" s="64">
        <f t="shared" si="14"/>
        <v>65606.667824999997</v>
      </c>
      <c r="G27" s="50">
        <v>0.04</v>
      </c>
      <c r="H27" s="62">
        <f t="shared" si="15"/>
        <v>68230.934538000001</v>
      </c>
      <c r="K27" s="68" t="s">
        <v>86</v>
      </c>
      <c r="L27" s="60">
        <v>78010</v>
      </c>
      <c r="M27" s="69">
        <f t="shared" si="2"/>
        <v>6.1032863849765195E-2</v>
      </c>
      <c r="N27" s="62">
        <v>83080.649999999994</v>
      </c>
      <c r="O27" s="44">
        <v>5.5E-2</v>
      </c>
      <c r="P27" s="42">
        <f t="shared" si="3"/>
        <v>87650.085749999998</v>
      </c>
      <c r="Q27" s="150">
        <v>0.04</v>
      </c>
      <c r="R27" s="40">
        <f t="shared" si="4"/>
        <v>91156.089179999995</v>
      </c>
      <c r="AB27" s="216"/>
      <c r="AC27" s="100">
        <v>18</v>
      </c>
      <c r="AD27" s="89"/>
      <c r="AE27" s="101">
        <v>27344</v>
      </c>
      <c r="AF27" s="102">
        <f t="shared" si="7"/>
        <v>14.158510521097279</v>
      </c>
      <c r="AG27" s="89"/>
      <c r="AH27" s="101">
        <f t="shared" si="11"/>
        <v>29269</v>
      </c>
      <c r="AI27" s="102">
        <f t="shared" si="12"/>
        <v>15.155260548639427</v>
      </c>
      <c r="AJ27" s="89"/>
      <c r="AK27" s="158" t="e">
        <f>$I$3/#REF!</f>
        <v>#REF!</v>
      </c>
      <c r="AM27" s="133" t="e">
        <f>(#REF!*#REF!)+#REF!</f>
        <v>#REF!</v>
      </c>
      <c r="AN27" s="133" t="e">
        <f t="shared" si="10"/>
        <v>#REF!</v>
      </c>
      <c r="AW27" s="101">
        <f t="shared" si="8"/>
        <v>30147.07</v>
      </c>
      <c r="AX27" s="102">
        <f t="shared" si="9"/>
        <v>15.60991836509861</v>
      </c>
    </row>
    <row r="28" spans="1:50" ht="15" thickBot="1" x14ac:dyDescent="0.35">
      <c r="A28" s="59">
        <v>12</v>
      </c>
      <c r="B28" s="60">
        <v>59850</v>
      </c>
      <c r="C28" s="61">
        <f t="shared" si="13"/>
        <v>6.5000000000000002E-2</v>
      </c>
      <c r="D28" s="62">
        <v>63740.25</v>
      </c>
      <c r="E28" s="66">
        <v>5.5E-2</v>
      </c>
      <c r="F28" s="64">
        <f t="shared" si="14"/>
        <v>67245.963749999995</v>
      </c>
      <c r="G28" s="50">
        <v>0.04</v>
      </c>
      <c r="H28" s="62">
        <f t="shared" si="15"/>
        <v>69935.802299999996</v>
      </c>
      <c r="K28" s="68" t="s">
        <v>87</v>
      </c>
      <c r="L28" s="60">
        <v>79949</v>
      </c>
      <c r="M28" s="69">
        <f t="shared" si="2"/>
        <v>6.103286384976523E-2</v>
      </c>
      <c r="N28" s="62">
        <v>85145.684999999998</v>
      </c>
      <c r="O28" s="44">
        <v>5.5E-2</v>
      </c>
      <c r="P28" s="42">
        <f t="shared" si="3"/>
        <v>89828.697675000003</v>
      </c>
      <c r="Q28" s="150">
        <v>0.04</v>
      </c>
      <c r="R28" s="40">
        <f t="shared" si="4"/>
        <v>93421.845582000009</v>
      </c>
      <c r="AB28" s="216"/>
      <c r="AC28" s="100">
        <v>19</v>
      </c>
      <c r="AD28" s="89"/>
      <c r="AE28" s="101">
        <v>27852</v>
      </c>
      <c r="AF28" s="102">
        <f t="shared" si="7"/>
        <v>14.421548969923984</v>
      </c>
      <c r="AG28" s="89"/>
      <c r="AH28" s="101">
        <f t="shared" si="11"/>
        <v>29777</v>
      </c>
      <c r="AI28" s="102">
        <f t="shared" si="12"/>
        <v>15.418298997466133</v>
      </c>
      <c r="AJ28" s="89"/>
      <c r="AK28" s="158" t="e">
        <f>$I$3/#REF!</f>
        <v>#REF!</v>
      </c>
      <c r="AM28" s="133" t="e">
        <f>(#REF!*#REF!)+#REF!</f>
        <v>#REF!</v>
      </c>
      <c r="AN28" s="133" t="e">
        <f t="shared" si="10"/>
        <v>#REF!</v>
      </c>
      <c r="AW28" s="101">
        <f t="shared" si="8"/>
        <v>30670.31</v>
      </c>
      <c r="AX28" s="102">
        <f t="shared" si="9"/>
        <v>15.880847967390118</v>
      </c>
    </row>
    <row r="29" spans="1:50" ht="15" thickBot="1" x14ac:dyDescent="0.35">
      <c r="A29" s="59">
        <v>13</v>
      </c>
      <c r="B29" s="60">
        <v>61343</v>
      </c>
      <c r="C29" s="61">
        <f t="shared" si="13"/>
        <v>6.4999999999999974E-2</v>
      </c>
      <c r="D29" s="62">
        <v>65330.294999999998</v>
      </c>
      <c r="E29" s="66">
        <v>5.5E-2</v>
      </c>
      <c r="F29" s="64">
        <f t="shared" si="14"/>
        <v>68923.461224999992</v>
      </c>
      <c r="G29" s="50">
        <v>0.04</v>
      </c>
      <c r="H29" s="62">
        <f t="shared" si="15"/>
        <v>71680.399673999986</v>
      </c>
      <c r="K29" s="68" t="s">
        <v>88</v>
      </c>
      <c r="L29" s="60">
        <v>81927</v>
      </c>
      <c r="M29" s="69">
        <f t="shared" si="2"/>
        <v>6.1032863849765154E-2</v>
      </c>
      <c r="N29" s="62">
        <v>87252.25499999999</v>
      </c>
      <c r="O29" s="44">
        <v>5.5E-2</v>
      </c>
      <c r="P29" s="42">
        <f t="shared" si="3"/>
        <v>92051.129024999987</v>
      </c>
      <c r="Q29" s="150">
        <v>0.04</v>
      </c>
      <c r="R29" s="40">
        <f t="shared" si="4"/>
        <v>95733.174185999989</v>
      </c>
      <c r="AB29" s="215"/>
      <c r="AC29" s="100">
        <v>20</v>
      </c>
      <c r="AD29" s="89"/>
      <c r="AE29" s="101">
        <v>28371</v>
      </c>
      <c r="AF29" s="102">
        <f t="shared" si="7"/>
        <v>14.690283133193786</v>
      </c>
      <c r="AG29" s="89"/>
      <c r="AH29" s="101">
        <f t="shared" si="11"/>
        <v>30296</v>
      </c>
      <c r="AI29" s="102">
        <f t="shared" si="12"/>
        <v>15.687033160735936</v>
      </c>
      <c r="AJ29" s="89"/>
      <c r="AK29" s="158" t="e">
        <f>$I$3/#REF!</f>
        <v>#REF!</v>
      </c>
      <c r="AM29" s="133" t="e">
        <f>(#REF!*#REF!)+#REF!</f>
        <v>#REF!</v>
      </c>
      <c r="AN29" s="133" t="e">
        <f t="shared" si="10"/>
        <v>#REF!</v>
      </c>
      <c r="AW29" s="101">
        <f t="shared" si="8"/>
        <v>31204.880000000001</v>
      </c>
      <c r="AX29" s="102">
        <f t="shared" si="9"/>
        <v>16.157644155558014</v>
      </c>
    </row>
    <row r="30" spans="1:50" ht="15" thickBot="1" x14ac:dyDescent="0.35">
      <c r="A30" s="59">
        <v>14</v>
      </c>
      <c r="B30" s="60">
        <v>62869</v>
      </c>
      <c r="C30" s="61">
        <f t="shared" si="13"/>
        <v>6.5000000000000016E-2</v>
      </c>
      <c r="D30" s="62">
        <v>66955.485000000001</v>
      </c>
      <c r="E30" s="66">
        <v>5.5E-2</v>
      </c>
      <c r="F30" s="64">
        <f t="shared" si="14"/>
        <v>70638.036674999996</v>
      </c>
      <c r="G30" s="50">
        <v>0.04</v>
      </c>
      <c r="H30" s="62">
        <f>F30*G30+F30</f>
        <v>73463.558141999994</v>
      </c>
      <c r="K30" s="68" t="s">
        <v>89</v>
      </c>
      <c r="L30" s="60">
        <v>83956</v>
      </c>
      <c r="M30" s="69">
        <f t="shared" si="2"/>
        <v>6.1032863849765251E-2</v>
      </c>
      <c r="N30" s="62">
        <v>89413.14</v>
      </c>
      <c r="O30" s="44">
        <v>5.5E-2</v>
      </c>
      <c r="P30" s="42">
        <f t="shared" si="3"/>
        <v>94330.862699999998</v>
      </c>
      <c r="Q30" s="150">
        <v>0.04</v>
      </c>
      <c r="R30" s="40">
        <f t="shared" si="4"/>
        <v>98104.097207999992</v>
      </c>
      <c r="AB30" s="211" t="s">
        <v>67</v>
      </c>
      <c r="AC30" s="88">
        <v>21</v>
      </c>
      <c r="AD30" s="89"/>
      <c r="AE30" s="90">
        <v>28900</v>
      </c>
      <c r="AF30" s="91">
        <f t="shared" si="7"/>
        <v>14.964195218684587</v>
      </c>
      <c r="AG30" s="89"/>
      <c r="AH30" s="90">
        <f t="shared" si="11"/>
        <v>30825</v>
      </c>
      <c r="AI30" s="91">
        <f t="shared" si="12"/>
        <v>15.960945246226737</v>
      </c>
      <c r="AJ30" s="89"/>
      <c r="AK30" s="158" t="e">
        <f>$I$3/#REF!</f>
        <v>#REF!</v>
      </c>
      <c r="AM30" s="133" t="e">
        <f>(#REF!*#REF!)+#REF!</f>
        <v>#REF!</v>
      </c>
      <c r="AN30" s="133" t="e">
        <f t="shared" si="10"/>
        <v>#REF!</v>
      </c>
      <c r="AW30" s="90">
        <f t="shared" si="8"/>
        <v>31749.75</v>
      </c>
      <c r="AX30" s="91">
        <f t="shared" si="9"/>
        <v>16.439773603613538</v>
      </c>
    </row>
    <row r="31" spans="1:50" ht="15" thickBot="1" x14ac:dyDescent="0.35">
      <c r="A31" s="59">
        <v>15</v>
      </c>
      <c r="B31" s="60">
        <v>66022</v>
      </c>
      <c r="C31" s="61">
        <f t="shared" si="13"/>
        <v>6.4999999999999891E-2</v>
      </c>
      <c r="D31" s="62">
        <v>70313.429999999993</v>
      </c>
      <c r="E31" s="66">
        <v>5.5E-2</v>
      </c>
      <c r="F31" s="64">
        <f t="shared" si="14"/>
        <v>74180.668649999992</v>
      </c>
      <c r="G31" s="50">
        <v>0.04</v>
      </c>
      <c r="H31" s="62">
        <f t="shared" si="15"/>
        <v>77147.895395999993</v>
      </c>
      <c r="K31" s="68" t="s">
        <v>90</v>
      </c>
      <c r="L31" s="60">
        <v>86040</v>
      </c>
      <c r="M31" s="69">
        <f t="shared" si="2"/>
        <v>6.1032863849765168E-2</v>
      </c>
      <c r="N31" s="62">
        <v>91632.599999999991</v>
      </c>
      <c r="O31" s="44">
        <v>5.5E-2</v>
      </c>
      <c r="P31" s="42">
        <f t="shared" si="3"/>
        <v>96672.392999999996</v>
      </c>
      <c r="Q31" s="150">
        <v>0.04</v>
      </c>
      <c r="R31" s="40">
        <f t="shared" si="4"/>
        <v>100539.28872</v>
      </c>
      <c r="AB31" s="212"/>
      <c r="AC31" s="88">
        <v>22</v>
      </c>
      <c r="AD31" s="89"/>
      <c r="AE31" s="90">
        <v>29439</v>
      </c>
      <c r="AF31" s="91">
        <f t="shared" si="7"/>
        <v>15.243285226396386</v>
      </c>
      <c r="AG31" s="89"/>
      <c r="AH31" s="90">
        <f t="shared" si="11"/>
        <v>31364</v>
      </c>
      <c r="AI31" s="91">
        <f t="shared" si="12"/>
        <v>16.240035253938537</v>
      </c>
      <c r="AJ31" s="89"/>
      <c r="AK31" s="158" t="e">
        <f>$I$3/#REF!</f>
        <v>#REF!</v>
      </c>
      <c r="AM31" s="133" t="e">
        <f>(#REF!*#REF!)+#REF!</f>
        <v>#REF!</v>
      </c>
      <c r="AN31" s="133" t="e">
        <f t="shared" si="10"/>
        <v>#REF!</v>
      </c>
      <c r="AW31" s="90">
        <f t="shared" si="8"/>
        <v>32304.92</v>
      </c>
      <c r="AX31" s="91">
        <f t="shared" si="9"/>
        <v>16.727236311556691</v>
      </c>
    </row>
    <row r="32" spans="1:50" ht="15" thickBot="1" x14ac:dyDescent="0.35">
      <c r="A32" s="123">
        <v>16</v>
      </c>
      <c r="B32" s="124">
        <v>67685</v>
      </c>
      <c r="C32" s="125">
        <f t="shared" si="13"/>
        <v>6.4999999999999919E-2</v>
      </c>
      <c r="D32" s="126">
        <v>72084.524999999994</v>
      </c>
      <c r="E32" s="97">
        <v>5.5E-2</v>
      </c>
      <c r="F32" s="99">
        <f t="shared" si="14"/>
        <v>76049.173874999993</v>
      </c>
      <c r="G32" s="50">
        <v>0.04</v>
      </c>
      <c r="H32" s="126">
        <f t="shared" si="15"/>
        <v>79091.140829999989</v>
      </c>
      <c r="K32" s="68" t="s">
        <v>91</v>
      </c>
      <c r="L32" s="60">
        <v>88170</v>
      </c>
      <c r="M32" s="69">
        <f t="shared" si="2"/>
        <v>6.103286384976514E-2</v>
      </c>
      <c r="N32" s="62">
        <v>93901.049999999988</v>
      </c>
      <c r="O32" s="44">
        <v>5.5E-2</v>
      </c>
      <c r="P32" s="42">
        <f t="shared" si="3"/>
        <v>99065.607749999981</v>
      </c>
      <c r="Q32" s="150">
        <v>0.04</v>
      </c>
      <c r="R32" s="40">
        <f t="shared" si="4"/>
        <v>103028.23205999998</v>
      </c>
      <c r="AB32" s="212"/>
      <c r="AC32" s="88">
        <v>23</v>
      </c>
      <c r="AD32" s="89"/>
      <c r="AE32" s="90">
        <v>30151</v>
      </c>
      <c r="AF32" s="91">
        <f t="shared" si="7"/>
        <v>15.611953288531453</v>
      </c>
      <c r="AG32" s="89"/>
      <c r="AH32" s="90">
        <f t="shared" si="11"/>
        <v>32076</v>
      </c>
      <c r="AI32" s="91">
        <f t="shared" si="12"/>
        <v>16.608703316073601</v>
      </c>
      <c r="AJ32" s="89"/>
      <c r="AK32" s="158" t="e">
        <f>$I$3/#REF!</f>
        <v>#REF!</v>
      </c>
      <c r="AM32" s="133" t="e">
        <f>(#REF!*#REF!)+#REF!</f>
        <v>#REF!</v>
      </c>
      <c r="AN32" s="133" t="e">
        <f t="shared" si="10"/>
        <v>#REF!</v>
      </c>
      <c r="AW32" s="90">
        <f t="shared" si="8"/>
        <v>33038.28</v>
      </c>
      <c r="AX32" s="91">
        <f t="shared" si="9"/>
        <v>17.106964415555812</v>
      </c>
    </row>
    <row r="33" spans="1:50" ht="15" thickBot="1" x14ac:dyDescent="0.35">
      <c r="K33" s="68" t="s">
        <v>92</v>
      </c>
      <c r="L33" s="60">
        <v>90365</v>
      </c>
      <c r="M33" s="69">
        <f t="shared" si="2"/>
        <v>6.1032863849765175E-2</v>
      </c>
      <c r="N33" s="62">
        <v>96238.724999999991</v>
      </c>
      <c r="O33" s="44">
        <v>5.5E-2</v>
      </c>
      <c r="P33" s="42">
        <f t="shared" si="3"/>
        <v>101531.85487499999</v>
      </c>
      <c r="Q33" s="150">
        <v>0.04</v>
      </c>
      <c r="R33" s="40">
        <f t="shared" si="4"/>
        <v>105593.12907</v>
      </c>
      <c r="AB33" s="212"/>
      <c r="AC33" s="88">
        <v>24</v>
      </c>
      <c r="AD33" s="89"/>
      <c r="AE33" s="90">
        <v>31099</v>
      </c>
      <c r="AF33" s="91">
        <f t="shared" si="7"/>
        <v>16.102820315082074</v>
      </c>
      <c r="AG33" s="89"/>
      <c r="AH33" s="90">
        <f t="shared" si="11"/>
        <v>33024</v>
      </c>
      <c r="AI33" s="91">
        <f t="shared" si="12"/>
        <v>17.099570342624226</v>
      </c>
      <c r="AJ33" s="89"/>
      <c r="AK33" s="158" t="e">
        <f>$I$3/#REF!</f>
        <v>#REF!</v>
      </c>
      <c r="AM33" s="133" t="e">
        <f>(#REF!*#REF!)+#REF!</f>
        <v>#REF!</v>
      </c>
      <c r="AN33" s="133" t="e">
        <f t="shared" si="10"/>
        <v>#REF!</v>
      </c>
      <c r="AW33" s="90">
        <f t="shared" si="8"/>
        <v>34014.720000000001</v>
      </c>
      <c r="AX33" s="91">
        <f t="shared" si="9"/>
        <v>17.612557452902951</v>
      </c>
    </row>
    <row r="34" spans="1:50" ht="18.600000000000001" thickBot="1" x14ac:dyDescent="0.35">
      <c r="A34" s="4" t="s">
        <v>4</v>
      </c>
      <c r="K34" s="68" t="s">
        <v>93</v>
      </c>
      <c r="L34" s="60">
        <v>92597</v>
      </c>
      <c r="M34" s="69">
        <f t="shared" si="2"/>
        <v>6.1032863849765188E-2</v>
      </c>
      <c r="N34" s="62">
        <v>98615.804999999993</v>
      </c>
      <c r="O34" s="44">
        <v>5.5E-2</v>
      </c>
      <c r="P34" s="42">
        <f t="shared" si="3"/>
        <v>104039.674275</v>
      </c>
      <c r="Q34" s="150">
        <v>0.04</v>
      </c>
      <c r="R34" s="40">
        <f t="shared" si="4"/>
        <v>108201.26124599999</v>
      </c>
      <c r="AB34" s="212"/>
      <c r="AC34" s="88">
        <v>25</v>
      </c>
      <c r="AD34" s="89"/>
      <c r="AE34" s="90">
        <v>32020</v>
      </c>
      <c r="AF34" s="91">
        <f t="shared" si="7"/>
        <v>16.579706951636002</v>
      </c>
      <c r="AG34" s="89"/>
      <c r="AH34" s="90">
        <f t="shared" si="11"/>
        <v>33945</v>
      </c>
      <c r="AI34" s="91">
        <f t="shared" si="12"/>
        <v>17.576456979178154</v>
      </c>
      <c r="AJ34" s="89"/>
      <c r="AK34" s="158" t="e">
        <f>$I$3/#REF!</f>
        <v>#REF!</v>
      </c>
      <c r="AM34" s="133" t="e">
        <f>(#REF!*#REF!)+#REF!</f>
        <v>#REF!</v>
      </c>
      <c r="AN34" s="133" t="e">
        <f t="shared" si="10"/>
        <v>#REF!</v>
      </c>
      <c r="AW34" s="90">
        <f t="shared" si="8"/>
        <v>34963.35</v>
      </c>
      <c r="AX34" s="91">
        <f t="shared" si="9"/>
        <v>18.103750688553497</v>
      </c>
    </row>
    <row r="35" spans="1:50" ht="18.600000000000001" thickBot="1" x14ac:dyDescent="0.35">
      <c r="A35" s="178" t="s">
        <v>11</v>
      </c>
      <c r="B35" s="10">
        <v>44805</v>
      </c>
      <c r="C35" s="195">
        <v>45170</v>
      </c>
      <c r="D35" s="196"/>
      <c r="E35" s="190">
        <v>45536</v>
      </c>
      <c r="F35" s="191"/>
      <c r="G35" s="218">
        <v>45901</v>
      </c>
      <c r="H35" s="219"/>
      <c r="K35" s="68" t="s">
        <v>94</v>
      </c>
      <c r="L35" s="60">
        <v>94898</v>
      </c>
      <c r="M35" s="69">
        <f t="shared" si="2"/>
        <v>6.1032863849765216E-2</v>
      </c>
      <c r="N35" s="62">
        <v>101066.37</v>
      </c>
      <c r="O35" s="44">
        <v>5.5E-2</v>
      </c>
      <c r="P35" s="42">
        <f t="shared" si="3"/>
        <v>106625.02034999999</v>
      </c>
      <c r="Q35" s="150">
        <v>0.04</v>
      </c>
      <c r="R35" s="40">
        <f t="shared" si="4"/>
        <v>110890.02116399999</v>
      </c>
      <c r="AB35" s="213"/>
      <c r="AC35" s="88">
        <v>26</v>
      </c>
      <c r="AD35" s="89"/>
      <c r="AE35" s="90">
        <v>32909</v>
      </c>
      <c r="AF35" s="91">
        <f t="shared" si="7"/>
        <v>17.040024237082736</v>
      </c>
      <c r="AG35" s="89"/>
      <c r="AH35" s="90">
        <f t="shared" si="11"/>
        <v>34834</v>
      </c>
      <c r="AI35" s="91">
        <f t="shared" si="12"/>
        <v>18.036774264624889</v>
      </c>
      <c r="AJ35" s="89"/>
      <c r="AK35" s="158" t="e">
        <f>$I$3/#REF!</f>
        <v>#REF!</v>
      </c>
      <c r="AM35" s="133" t="e">
        <f>(#REF!*#REF!)+#REF!</f>
        <v>#REF!</v>
      </c>
      <c r="AN35" s="133" t="e">
        <f t="shared" si="10"/>
        <v>#REF!</v>
      </c>
      <c r="AW35" s="90">
        <f t="shared" si="8"/>
        <v>35879.019999999997</v>
      </c>
      <c r="AX35" s="91">
        <f t="shared" si="9"/>
        <v>18.577877492563633</v>
      </c>
    </row>
    <row r="36" spans="1:50" ht="29.4" thickBot="1" x14ac:dyDescent="0.35">
      <c r="A36" s="179"/>
      <c r="B36" s="23" t="s">
        <v>12</v>
      </c>
      <c r="C36" s="24" t="s">
        <v>13</v>
      </c>
      <c r="D36" s="21" t="s">
        <v>12</v>
      </c>
      <c r="E36" s="24" t="s">
        <v>13</v>
      </c>
      <c r="F36" s="21" t="s">
        <v>12</v>
      </c>
      <c r="G36" s="142" t="s">
        <v>13</v>
      </c>
      <c r="H36" s="143" t="s">
        <v>12</v>
      </c>
      <c r="K36" s="68" t="s">
        <v>95</v>
      </c>
      <c r="L36" s="60">
        <v>97256</v>
      </c>
      <c r="M36" s="69">
        <f t="shared" si="2"/>
        <v>6.1032863849765251E-2</v>
      </c>
      <c r="N36" s="62">
        <v>103577.64</v>
      </c>
      <c r="O36" s="44">
        <v>5.5E-2</v>
      </c>
      <c r="P36" s="42">
        <f t="shared" si="3"/>
        <v>109274.4102</v>
      </c>
      <c r="Q36" s="150">
        <v>0.04</v>
      </c>
      <c r="R36" s="40">
        <f t="shared" si="4"/>
        <v>113645.386608</v>
      </c>
      <c r="AB36" s="214" t="s">
        <v>70</v>
      </c>
      <c r="AC36" s="100">
        <v>27</v>
      </c>
      <c r="AD36" s="89"/>
      <c r="AE36" s="101">
        <v>33819</v>
      </c>
      <c r="AF36" s="102">
        <f t="shared" si="7"/>
        <v>17.511215159193565</v>
      </c>
      <c r="AG36" s="89"/>
      <c r="AH36" s="101">
        <f t="shared" si="11"/>
        <v>35744</v>
      </c>
      <c r="AI36" s="102">
        <f t="shared" si="12"/>
        <v>18.507965186735717</v>
      </c>
      <c r="AJ36" s="89"/>
      <c r="AK36" s="158" t="e">
        <f>$I$3/#REF!</f>
        <v>#REF!</v>
      </c>
      <c r="AM36" s="133" t="e">
        <f>(#REF!*#REF!)+#REF!</f>
        <v>#REF!</v>
      </c>
      <c r="AN36" s="133" t="e">
        <f t="shared" si="10"/>
        <v>#REF!</v>
      </c>
      <c r="AW36" s="101">
        <f t="shared" si="8"/>
        <v>36816.32</v>
      </c>
      <c r="AX36" s="102">
        <f t="shared" si="9"/>
        <v>19.063204142337788</v>
      </c>
    </row>
    <row r="37" spans="1:50" ht="15" thickBot="1" x14ac:dyDescent="0.35">
      <c r="A37" s="48" t="s">
        <v>112</v>
      </c>
      <c r="B37" s="49">
        <v>19340</v>
      </c>
      <c r="C37" s="50">
        <f>SUM(D37-B37)/D37</f>
        <v>6.1073890668996988E-2</v>
      </c>
      <c r="D37" s="49">
        <v>20598</v>
      </c>
      <c r="E37" s="170">
        <v>5.5E-2</v>
      </c>
      <c r="F37" s="49">
        <f>D37*E37+D37</f>
        <v>21730.89</v>
      </c>
      <c r="G37" s="50">
        <v>0.04</v>
      </c>
      <c r="H37" s="171">
        <f>F37*G37+F37</f>
        <v>22600.125599999999</v>
      </c>
      <c r="K37" s="68" t="s">
        <v>96</v>
      </c>
      <c r="L37" s="60">
        <v>99660</v>
      </c>
      <c r="M37" s="69">
        <f t="shared" si="2"/>
        <v>6.1032863849765209E-2</v>
      </c>
      <c r="N37" s="62">
        <v>106137.9</v>
      </c>
      <c r="O37" s="44">
        <v>5.5E-2</v>
      </c>
      <c r="P37" s="42">
        <f t="shared" si="3"/>
        <v>111975.48449999999</v>
      </c>
      <c r="Q37" s="150">
        <v>0.04</v>
      </c>
      <c r="R37" s="40">
        <f t="shared" si="4"/>
        <v>116454.50387999999</v>
      </c>
      <c r="AB37" s="216"/>
      <c r="AC37" s="100">
        <v>28</v>
      </c>
      <c r="AD37" s="89"/>
      <c r="AE37" s="101">
        <v>34723</v>
      </c>
      <c r="AF37" s="102">
        <f t="shared" si="7"/>
        <v>17.979299327971798</v>
      </c>
      <c r="AG37" s="89"/>
      <c r="AH37" s="101">
        <f t="shared" si="11"/>
        <v>36648</v>
      </c>
      <c r="AI37" s="102">
        <f t="shared" si="12"/>
        <v>18.976049355513947</v>
      </c>
      <c r="AJ37" s="89"/>
      <c r="AK37" s="158" t="e">
        <f>$I$3/#REF!</f>
        <v>#REF!</v>
      </c>
      <c r="AM37" s="133" t="e">
        <f>(#REF!*#REF!)+#REF!</f>
        <v>#REF!</v>
      </c>
      <c r="AN37" s="133" t="e">
        <f t="shared" si="10"/>
        <v>#REF!</v>
      </c>
      <c r="AW37" s="101">
        <f t="shared" si="8"/>
        <v>37747.440000000002</v>
      </c>
      <c r="AX37" s="102">
        <f t="shared" si="9"/>
        <v>19.545330836179367</v>
      </c>
    </row>
    <row r="38" spans="1:50" ht="15" thickBot="1" x14ac:dyDescent="0.35">
      <c r="A38" s="70" t="s">
        <v>113</v>
      </c>
      <c r="B38" s="64">
        <v>21559</v>
      </c>
      <c r="C38" s="39">
        <f t="shared" ref="C38:C42" si="16">SUM(D38-B38)/D38</f>
        <v>6.1060058359827536E-2</v>
      </c>
      <c r="D38" s="64">
        <v>22961</v>
      </c>
      <c r="E38" s="44">
        <v>5.5E-2</v>
      </c>
      <c r="F38" s="42">
        <f t="shared" ref="F38:F42" si="17">D38*E38+D38</f>
        <v>24223.855</v>
      </c>
      <c r="G38" s="50">
        <v>0.04</v>
      </c>
      <c r="H38" s="40">
        <f>F38*G38+F38</f>
        <v>25192.8092</v>
      </c>
      <c r="K38" s="68" t="s">
        <v>97</v>
      </c>
      <c r="L38" s="60">
        <v>102137</v>
      </c>
      <c r="M38" s="69">
        <f t="shared" si="2"/>
        <v>6.1032863849765251E-2</v>
      </c>
      <c r="N38" s="62">
        <v>108775.905</v>
      </c>
      <c r="O38" s="44">
        <v>5.5E-2</v>
      </c>
      <c r="P38" s="42">
        <f t="shared" si="3"/>
        <v>114758.57977500001</v>
      </c>
      <c r="Q38" s="150">
        <v>0.04</v>
      </c>
      <c r="R38" s="40">
        <f t="shared" si="4"/>
        <v>119348.92296600001</v>
      </c>
      <c r="AB38" s="216"/>
      <c r="AC38" s="100">
        <v>29</v>
      </c>
      <c r="AD38" s="89"/>
      <c r="AE38" s="101">
        <v>35411</v>
      </c>
      <c r="AF38" s="102">
        <f t="shared" si="7"/>
        <v>18.335540376776468</v>
      </c>
      <c r="AG38" s="89"/>
      <c r="AH38" s="101">
        <f t="shared" si="11"/>
        <v>37336</v>
      </c>
      <c r="AI38" s="102">
        <f t="shared" si="12"/>
        <v>19.33229040431862</v>
      </c>
      <c r="AJ38" s="89"/>
      <c r="AK38" s="158" t="e">
        <f>$I$3/#REF!</f>
        <v>#REF!</v>
      </c>
      <c r="AM38" s="133" t="e">
        <f>(#REF!*#REF!)+#REF!</f>
        <v>#REF!</v>
      </c>
      <c r="AN38" s="133" t="e">
        <f t="shared" si="10"/>
        <v>#REF!</v>
      </c>
      <c r="AW38" s="101">
        <f t="shared" si="8"/>
        <v>38456.080000000002</v>
      </c>
      <c r="AX38" s="102">
        <f t="shared" si="9"/>
        <v>19.91225911644818</v>
      </c>
    </row>
    <row r="39" spans="1:50" ht="15" thickBot="1" x14ac:dyDescent="0.35">
      <c r="A39" s="70" t="s">
        <v>114</v>
      </c>
      <c r="B39" s="64">
        <v>23777</v>
      </c>
      <c r="C39" s="39">
        <f t="shared" si="16"/>
        <v>6.1051218260079768E-2</v>
      </c>
      <c r="D39" s="64">
        <v>25323</v>
      </c>
      <c r="E39" s="44">
        <v>5.5E-2</v>
      </c>
      <c r="F39" s="42">
        <f t="shared" si="17"/>
        <v>26715.764999999999</v>
      </c>
      <c r="G39" s="50">
        <v>0.04</v>
      </c>
      <c r="H39" s="40">
        <f t="shared" ref="H39:H42" si="18">F39*G39+F39</f>
        <v>27784.3956</v>
      </c>
      <c r="K39" s="68" t="s">
        <v>98</v>
      </c>
      <c r="L39" s="60">
        <v>104666</v>
      </c>
      <c r="M39" s="69">
        <f t="shared" si="2"/>
        <v>6.1032863849765202E-2</v>
      </c>
      <c r="N39" s="62">
        <v>111469.29</v>
      </c>
      <c r="O39" s="44">
        <v>5.5E-2</v>
      </c>
      <c r="P39" s="42">
        <f t="shared" si="3"/>
        <v>117600.10094999999</v>
      </c>
      <c r="Q39" s="150">
        <v>0.04</v>
      </c>
      <c r="R39" s="40">
        <f t="shared" si="4"/>
        <v>122304.10498799999</v>
      </c>
      <c r="AB39" s="216"/>
      <c r="AC39" s="100">
        <v>30</v>
      </c>
      <c r="AD39" s="89"/>
      <c r="AE39" s="101">
        <v>36298</v>
      </c>
      <c r="AF39" s="102">
        <f t="shared" si="7"/>
        <v>18.794822077779003</v>
      </c>
      <c r="AG39" s="89"/>
      <c r="AH39" s="101">
        <f t="shared" si="11"/>
        <v>38223</v>
      </c>
      <c r="AI39" s="102">
        <f t="shared" si="12"/>
        <v>19.791572105321155</v>
      </c>
      <c r="AJ39" s="89"/>
      <c r="AK39" s="158" t="e">
        <f>$I$3/#REF!</f>
        <v>#REF!</v>
      </c>
      <c r="AM39" s="133" t="e">
        <f>(#REF!*#REF!)+#REF!</f>
        <v>#REF!</v>
      </c>
      <c r="AN39" s="133" t="e">
        <f t="shared" si="10"/>
        <v>#REF!</v>
      </c>
      <c r="AW39" s="101">
        <f t="shared" si="8"/>
        <v>39369.69</v>
      </c>
      <c r="AX39" s="102">
        <f t="shared" si="9"/>
        <v>20.385319268480789</v>
      </c>
    </row>
    <row r="40" spans="1:50" ht="15" thickBot="1" x14ac:dyDescent="0.35">
      <c r="A40" s="70" t="s">
        <v>115</v>
      </c>
      <c r="B40" s="64">
        <v>25733</v>
      </c>
      <c r="C40" s="39">
        <f t="shared" si="16"/>
        <v>6.1045026636502957E-2</v>
      </c>
      <c r="D40" s="64">
        <v>27406</v>
      </c>
      <c r="E40" s="44">
        <v>5.5E-2</v>
      </c>
      <c r="F40" s="42">
        <f t="shared" si="17"/>
        <v>28913.33</v>
      </c>
      <c r="G40" s="50">
        <v>0.04</v>
      </c>
      <c r="H40" s="40">
        <f t="shared" si="18"/>
        <v>30069.863200000003</v>
      </c>
      <c r="K40" s="68" t="s">
        <v>99</v>
      </c>
      <c r="L40" s="60">
        <v>107267</v>
      </c>
      <c r="M40" s="69">
        <f t="shared" si="2"/>
        <v>6.1032863849765223E-2</v>
      </c>
      <c r="N40" s="62">
        <v>114239.355</v>
      </c>
      <c r="O40" s="44">
        <v>5.5E-2</v>
      </c>
      <c r="P40" s="42">
        <f t="shared" si="3"/>
        <v>120522.519525</v>
      </c>
      <c r="Q40" s="150">
        <v>0.04</v>
      </c>
      <c r="R40" s="40">
        <f t="shared" si="4"/>
        <v>125343.420306</v>
      </c>
      <c r="AB40" s="215"/>
      <c r="AC40" s="100">
        <v>31</v>
      </c>
      <c r="AD40" s="89"/>
      <c r="AE40" s="101">
        <v>37261</v>
      </c>
      <c r="AF40" s="102">
        <f t="shared" si="7"/>
        <v>19.293455987661122</v>
      </c>
      <c r="AG40" s="89"/>
      <c r="AH40" s="101">
        <f t="shared" si="11"/>
        <v>39186</v>
      </c>
      <c r="AI40" s="102">
        <f t="shared" si="12"/>
        <v>20.290206015203275</v>
      </c>
      <c r="AJ40" s="89"/>
      <c r="AK40" s="158" t="e">
        <f>$I$3/#REF!</f>
        <v>#REF!</v>
      </c>
      <c r="AM40" s="133" t="e">
        <f>(#REF!*#REF!)+#REF!</f>
        <v>#REF!</v>
      </c>
      <c r="AN40" s="133" t="e">
        <f t="shared" si="10"/>
        <v>#REF!</v>
      </c>
      <c r="AW40" s="101">
        <f t="shared" si="8"/>
        <v>40361.58</v>
      </c>
      <c r="AX40" s="102">
        <f t="shared" si="9"/>
        <v>20.898912195659374</v>
      </c>
    </row>
    <row r="41" spans="1:50" ht="15" thickBot="1" x14ac:dyDescent="0.35">
      <c r="A41" s="70" t="s">
        <v>116</v>
      </c>
      <c r="B41" s="64">
        <v>27954</v>
      </c>
      <c r="C41" s="39">
        <f t="shared" si="16"/>
        <v>6.106408706166868E-2</v>
      </c>
      <c r="D41" s="64">
        <v>29772</v>
      </c>
      <c r="E41" s="44">
        <v>5.5E-2</v>
      </c>
      <c r="F41" s="42">
        <f t="shared" si="17"/>
        <v>31409.46</v>
      </c>
      <c r="G41" s="50">
        <v>0.04</v>
      </c>
      <c r="H41" s="40">
        <f t="shared" si="18"/>
        <v>32665.838400000001</v>
      </c>
      <c r="K41" s="68" t="s">
        <v>100</v>
      </c>
      <c r="L41" s="60">
        <v>109922</v>
      </c>
      <c r="M41" s="69">
        <f t="shared" si="2"/>
        <v>6.1032863849765202E-2</v>
      </c>
      <c r="N41" s="62">
        <v>117066.93</v>
      </c>
      <c r="O41" s="44">
        <v>5.5E-2</v>
      </c>
      <c r="P41" s="42">
        <f t="shared" si="3"/>
        <v>123505.61115</v>
      </c>
      <c r="Q41" s="150">
        <v>0.04</v>
      </c>
      <c r="R41" s="40">
        <f t="shared" si="4"/>
        <v>128445.83559599999</v>
      </c>
      <c r="AB41" s="211" t="s">
        <v>73</v>
      </c>
      <c r="AC41" s="88">
        <v>32</v>
      </c>
      <c r="AD41" s="89"/>
      <c r="AE41" s="90">
        <v>38296</v>
      </c>
      <c r="AF41" s="91">
        <f t="shared" si="7"/>
        <v>19.829370937534428</v>
      </c>
      <c r="AG41" s="89"/>
      <c r="AH41" s="90">
        <f t="shared" si="11"/>
        <v>40221</v>
      </c>
      <c r="AI41" s="91">
        <f t="shared" si="12"/>
        <v>20.82612096507658</v>
      </c>
      <c r="AJ41" s="89"/>
      <c r="AK41" s="158" t="e">
        <f>$I$3/#REF!</f>
        <v>#REF!</v>
      </c>
      <c r="AM41" s="133" t="e">
        <f>(#REF!*#REF!)+#REF!</f>
        <v>#REF!</v>
      </c>
      <c r="AN41" s="133" t="e">
        <f t="shared" si="10"/>
        <v>#REF!</v>
      </c>
      <c r="AW41" s="90">
        <f t="shared" si="8"/>
        <v>41427.629999999997</v>
      </c>
      <c r="AX41" s="91">
        <f t="shared" si="9"/>
        <v>21.450904594028877</v>
      </c>
    </row>
    <row r="42" spans="1:50" ht="15" thickBot="1" x14ac:dyDescent="0.35">
      <c r="A42" s="106" t="s">
        <v>117</v>
      </c>
      <c r="B42" s="99">
        <v>30172</v>
      </c>
      <c r="C42" s="107">
        <f t="shared" si="16"/>
        <v>6.1056824547208566E-2</v>
      </c>
      <c r="D42" s="99">
        <v>32134</v>
      </c>
      <c r="E42" s="172">
        <v>5.5E-2</v>
      </c>
      <c r="F42" s="109">
        <f t="shared" si="17"/>
        <v>33901.370000000003</v>
      </c>
      <c r="G42" s="173">
        <v>0.04</v>
      </c>
      <c r="H42" s="174">
        <f t="shared" si="18"/>
        <v>35257.424800000001</v>
      </c>
      <c r="K42" s="68" t="s">
        <v>101</v>
      </c>
      <c r="L42" s="60">
        <v>112601</v>
      </c>
      <c r="M42" s="69">
        <f t="shared" si="2"/>
        <v>6.1032863849765161E-2</v>
      </c>
      <c r="N42" s="62">
        <v>119920.06499999999</v>
      </c>
      <c r="O42" s="44">
        <v>5.5E-2</v>
      </c>
      <c r="P42" s="42">
        <f t="shared" si="3"/>
        <v>126515.66857499999</v>
      </c>
      <c r="Q42" s="150">
        <v>0.04</v>
      </c>
      <c r="R42" s="40">
        <f t="shared" si="4"/>
        <v>131576.29531799999</v>
      </c>
      <c r="AB42" s="212"/>
      <c r="AC42" s="88">
        <v>33</v>
      </c>
      <c r="AD42" s="89"/>
      <c r="AE42" s="90">
        <v>39493</v>
      </c>
      <c r="AF42" s="91">
        <f t="shared" si="7"/>
        <v>20.449168227387904</v>
      </c>
      <c r="AG42" s="89"/>
      <c r="AH42" s="90">
        <f t="shared" si="11"/>
        <v>41418</v>
      </c>
      <c r="AI42" s="91">
        <f t="shared" si="12"/>
        <v>21.445918254930056</v>
      </c>
      <c r="AJ42" s="89"/>
      <c r="AK42" s="158" t="e">
        <f>$I$3/#REF!</f>
        <v>#REF!</v>
      </c>
      <c r="AM42" s="133" t="e">
        <f>(#REF!*#REF!)+#REF!</f>
        <v>#REF!</v>
      </c>
      <c r="AN42" s="133" t="e">
        <f t="shared" si="10"/>
        <v>#REF!</v>
      </c>
      <c r="AW42" s="90">
        <f t="shared" si="8"/>
        <v>42660.54</v>
      </c>
      <c r="AX42" s="91">
        <f t="shared" si="9"/>
        <v>22.089295802577958</v>
      </c>
    </row>
    <row r="43" spans="1:50" ht="15" thickBot="1" x14ac:dyDescent="0.35">
      <c r="K43" s="68" t="s">
        <v>102</v>
      </c>
      <c r="L43" s="60">
        <v>115410</v>
      </c>
      <c r="M43" s="69">
        <f t="shared" si="2"/>
        <v>6.1032863849765216E-2</v>
      </c>
      <c r="N43" s="62">
        <v>122911.65</v>
      </c>
      <c r="O43" s="44">
        <v>5.5E-2</v>
      </c>
      <c r="P43" s="42">
        <f t="shared" si="3"/>
        <v>129671.79075</v>
      </c>
      <c r="Q43" s="150">
        <v>0.04</v>
      </c>
      <c r="R43" s="40">
        <f t="shared" si="4"/>
        <v>134858.66237999999</v>
      </c>
      <c r="AB43" s="212"/>
      <c r="AC43" s="88">
        <v>34</v>
      </c>
      <c r="AD43" s="89"/>
      <c r="AE43" s="90">
        <v>40478</v>
      </c>
      <c r="AF43" s="91">
        <f t="shared" si="7"/>
        <v>20.95919356615622</v>
      </c>
      <c r="AG43" s="89"/>
      <c r="AH43" s="90">
        <f t="shared" si="11"/>
        <v>42403</v>
      </c>
      <c r="AI43" s="91">
        <f t="shared" si="12"/>
        <v>21.955943593698372</v>
      </c>
      <c r="AJ43" s="89"/>
      <c r="AK43" s="158" t="e">
        <f>$I$3/#REF!</f>
        <v>#REF!</v>
      </c>
      <c r="AM43" s="133" t="e">
        <f>(#REF!*#REF!)+#REF!</f>
        <v>#REF!</v>
      </c>
      <c r="AN43" s="133" t="e">
        <f t="shared" si="10"/>
        <v>#REF!</v>
      </c>
      <c r="AW43" s="90">
        <f t="shared" si="8"/>
        <v>43675.09</v>
      </c>
      <c r="AX43" s="91">
        <f t="shared" si="9"/>
        <v>22.61462190150932</v>
      </c>
    </row>
    <row r="44" spans="1:50" ht="15" thickBot="1" x14ac:dyDescent="0.35">
      <c r="K44" s="68" t="s">
        <v>103</v>
      </c>
      <c r="L44" s="60">
        <v>118293</v>
      </c>
      <c r="M44" s="69">
        <f t="shared" si="2"/>
        <v>6.1032863849765244E-2</v>
      </c>
      <c r="N44" s="62">
        <v>125982.045</v>
      </c>
      <c r="O44" s="44">
        <v>5.5E-2</v>
      </c>
      <c r="P44" s="42">
        <f t="shared" si="3"/>
        <v>132911.05747500001</v>
      </c>
      <c r="Q44" s="150">
        <v>0.04</v>
      </c>
      <c r="R44" s="40">
        <f t="shared" si="4"/>
        <v>138227.499774</v>
      </c>
      <c r="AB44" s="212"/>
      <c r="AC44" s="88">
        <v>35</v>
      </c>
      <c r="AD44" s="89"/>
      <c r="AE44" s="90">
        <v>41496</v>
      </c>
      <c r="AF44" s="91">
        <f t="shared" si="7"/>
        <v>21.486306048253827</v>
      </c>
      <c r="AG44" s="89"/>
      <c r="AH44" s="90">
        <f t="shared" si="11"/>
        <v>43421</v>
      </c>
      <c r="AI44" s="91">
        <f t="shared" si="12"/>
        <v>22.483056075795982</v>
      </c>
      <c r="AJ44" s="89"/>
      <c r="AK44" s="158" t="e">
        <f>$I$3/#REF!</f>
        <v>#REF!</v>
      </c>
      <c r="AM44" s="133" t="e">
        <f>(#REF!*#REF!)+#REF!</f>
        <v>#REF!</v>
      </c>
      <c r="AN44" s="133" t="e">
        <f t="shared" si="10"/>
        <v>#REF!</v>
      </c>
      <c r="AW44" s="90">
        <f t="shared" si="8"/>
        <v>44723.63</v>
      </c>
      <c r="AX44" s="91">
        <f t="shared" si="9"/>
        <v>23.15754775806986</v>
      </c>
    </row>
    <row r="45" spans="1:50" ht="15" thickBot="1" x14ac:dyDescent="0.35">
      <c r="K45" s="68" t="s">
        <v>104</v>
      </c>
      <c r="L45" s="60">
        <v>121258</v>
      </c>
      <c r="M45" s="69">
        <f t="shared" si="2"/>
        <v>6.1032863849765182E-2</v>
      </c>
      <c r="N45" s="62">
        <v>129139.76999999999</v>
      </c>
      <c r="O45" s="44">
        <v>5.5E-2</v>
      </c>
      <c r="P45" s="42">
        <f t="shared" si="3"/>
        <v>136242.45734999998</v>
      </c>
      <c r="Q45" s="150">
        <v>0.04</v>
      </c>
      <c r="R45" s="40">
        <f t="shared" si="4"/>
        <v>141692.15564399998</v>
      </c>
      <c r="AB45" s="213"/>
      <c r="AC45" s="88">
        <v>36</v>
      </c>
      <c r="AD45" s="89"/>
      <c r="AE45" s="90">
        <v>42503</v>
      </c>
      <c r="AF45" s="91">
        <f t="shared" si="7"/>
        <v>22.007722815908341</v>
      </c>
      <c r="AG45" s="89"/>
      <c r="AH45" s="90">
        <f t="shared" si="11"/>
        <v>44428</v>
      </c>
      <c r="AI45" s="91">
        <f t="shared" si="12"/>
        <v>23.004472843450493</v>
      </c>
      <c r="AJ45" s="89"/>
      <c r="AK45" s="158" t="e">
        <f>$I$3/#REF!</f>
        <v>#REF!</v>
      </c>
      <c r="AM45" s="133" t="e">
        <f>(#REF!*#REF!)+#REF!</f>
        <v>#REF!</v>
      </c>
      <c r="AN45" s="133" t="e">
        <f t="shared" si="10"/>
        <v>#REF!</v>
      </c>
      <c r="AW45" s="90">
        <f t="shared" si="8"/>
        <v>45760.84</v>
      </c>
      <c r="AX45" s="91">
        <f t="shared" si="9"/>
        <v>23.694607028754007</v>
      </c>
    </row>
    <row r="46" spans="1:50" ht="15" thickBot="1" x14ac:dyDescent="0.35">
      <c r="K46" s="130" t="s">
        <v>105</v>
      </c>
      <c r="L46" s="124">
        <v>123057</v>
      </c>
      <c r="M46" s="131">
        <f t="shared" si="2"/>
        <v>6.1032863849765168E-2</v>
      </c>
      <c r="N46" s="126">
        <v>131055.70499999999</v>
      </c>
      <c r="O46" s="172">
        <v>5.5E-2</v>
      </c>
      <c r="P46" s="109">
        <f t="shared" si="3"/>
        <v>138263.76877499997</v>
      </c>
      <c r="Q46" s="150">
        <v>0.04</v>
      </c>
      <c r="R46" s="40">
        <f t="shared" si="4"/>
        <v>143794.31952599998</v>
      </c>
      <c r="AB46" s="214" t="s">
        <v>76</v>
      </c>
      <c r="AC46" s="100">
        <v>37</v>
      </c>
      <c r="AD46" s="89"/>
      <c r="AE46" s="101">
        <v>43516</v>
      </c>
      <c r="AF46" s="102">
        <f t="shared" si="7"/>
        <v>22.532246336895451</v>
      </c>
      <c r="AG46" s="89"/>
      <c r="AH46" s="101">
        <f t="shared" si="11"/>
        <v>45441</v>
      </c>
      <c r="AI46" s="102">
        <f t="shared" si="12"/>
        <v>23.528996364437603</v>
      </c>
      <c r="AJ46" s="89"/>
      <c r="AK46" s="158" t="e">
        <f>$I$3/#REF!</f>
        <v>#REF!</v>
      </c>
      <c r="AM46" s="133" t="e">
        <f>(#REF!*#REF!)+#REF!</f>
        <v>#REF!</v>
      </c>
      <c r="AN46" s="133" t="e">
        <f t="shared" si="10"/>
        <v>#REF!</v>
      </c>
      <c r="AW46" s="101">
        <f t="shared" si="8"/>
        <v>46804.23</v>
      </c>
      <c r="AX46" s="102">
        <f t="shared" si="9"/>
        <v>24.234866255370733</v>
      </c>
    </row>
    <row r="47" spans="1:50" ht="15" thickBot="1" x14ac:dyDescent="0.35">
      <c r="AB47" s="216"/>
      <c r="AC47" s="100">
        <v>38</v>
      </c>
      <c r="AD47" s="89"/>
      <c r="AE47" s="101">
        <v>44539</v>
      </c>
      <c r="AF47" s="102">
        <f t="shared" si="7"/>
        <v>23.061947780103559</v>
      </c>
      <c r="AG47" s="89"/>
      <c r="AH47" s="101">
        <f t="shared" si="11"/>
        <v>46464</v>
      </c>
      <c r="AI47" s="102">
        <f t="shared" si="12"/>
        <v>24.058697807645714</v>
      </c>
      <c r="AJ47" s="89"/>
      <c r="AK47" s="158" t="e">
        <f>$I$3/#REF!</f>
        <v>#REF!</v>
      </c>
      <c r="AM47" s="133" t="e">
        <f>(#REF!*#REF!)+#REF!</f>
        <v>#REF!</v>
      </c>
      <c r="AN47" s="133" t="e">
        <f t="shared" si="10"/>
        <v>#REF!</v>
      </c>
      <c r="AW47" s="101">
        <f t="shared" si="8"/>
        <v>47857.919999999998</v>
      </c>
      <c r="AX47" s="102">
        <f t="shared" si="9"/>
        <v>24.780458741875083</v>
      </c>
    </row>
    <row r="48" spans="1:50" ht="15" thickBot="1" x14ac:dyDescent="0.35">
      <c r="AB48" s="216"/>
      <c r="AC48" s="100">
        <v>39</v>
      </c>
      <c r="AD48" s="89"/>
      <c r="AE48" s="101">
        <v>45495</v>
      </c>
      <c r="AF48" s="102">
        <f t="shared" si="7"/>
        <v>23.556957144430978</v>
      </c>
      <c r="AG48" s="89"/>
      <c r="AH48" s="101">
        <f t="shared" si="11"/>
        <v>47420</v>
      </c>
      <c r="AI48" s="102">
        <f t="shared" si="12"/>
        <v>24.553707171973134</v>
      </c>
      <c r="AJ48" s="89"/>
      <c r="AK48" s="158" t="e">
        <f>$I$3/#REF!</f>
        <v>#REF!</v>
      </c>
      <c r="AM48" s="133" t="e">
        <f>(#REF!*#REF!)+#REF!</f>
        <v>#REF!</v>
      </c>
      <c r="AN48" s="133" t="e">
        <f t="shared" si="10"/>
        <v>#REF!</v>
      </c>
      <c r="AW48" s="101">
        <f t="shared" si="8"/>
        <v>48842.6</v>
      </c>
      <c r="AX48" s="102">
        <f t="shared" si="9"/>
        <v>25.290318387132327</v>
      </c>
    </row>
    <row r="49" spans="28:50" ht="15" thickBot="1" x14ac:dyDescent="0.35">
      <c r="AB49" s="216"/>
      <c r="AC49" s="100">
        <v>40</v>
      </c>
      <c r="AD49" s="89"/>
      <c r="AE49" s="101">
        <v>46549</v>
      </c>
      <c r="AF49" s="102">
        <f t="shared" si="7"/>
        <v>24.102710146524181</v>
      </c>
      <c r="AG49" s="89"/>
      <c r="AH49" s="101">
        <f t="shared" si="11"/>
        <v>48474</v>
      </c>
      <c r="AI49" s="102">
        <f t="shared" si="12"/>
        <v>25.099460174066337</v>
      </c>
      <c r="AJ49" s="89"/>
      <c r="AK49" s="158" t="e">
        <f>$I$3/#REF!</f>
        <v>#REF!</v>
      </c>
      <c r="AM49" s="133" t="e">
        <f>(#REF!*#REF!)+#REF!</f>
        <v>#REF!</v>
      </c>
      <c r="AN49" s="133" t="e">
        <f t="shared" si="10"/>
        <v>#REF!</v>
      </c>
      <c r="AW49" s="101">
        <f t="shared" si="8"/>
        <v>49928.22</v>
      </c>
      <c r="AX49" s="102">
        <f t="shared" si="9"/>
        <v>25.852443979288328</v>
      </c>
    </row>
    <row r="50" spans="28:50" ht="15" thickBot="1" x14ac:dyDescent="0.35">
      <c r="AB50" s="215"/>
      <c r="AC50" s="100">
        <v>41</v>
      </c>
      <c r="AD50" s="89"/>
      <c r="AE50" s="101">
        <v>47573</v>
      </c>
      <c r="AF50" s="102">
        <f t="shared" si="7"/>
        <v>24.632929381954391</v>
      </c>
      <c r="AG50" s="89"/>
      <c r="AH50" s="101">
        <f t="shared" si="11"/>
        <v>49498</v>
      </c>
      <c r="AI50" s="102">
        <f t="shared" si="12"/>
        <v>25.629679409496546</v>
      </c>
      <c r="AJ50" s="89"/>
      <c r="AK50" s="158" t="e">
        <f>$I$3/#REF!</f>
        <v>#REF!</v>
      </c>
      <c r="AM50" s="133" t="e">
        <f>(#REF!*#REF!)+#REF!</f>
        <v>#REF!</v>
      </c>
      <c r="AN50" s="133" t="e">
        <f t="shared" si="10"/>
        <v>#REF!</v>
      </c>
      <c r="AW50" s="101">
        <f t="shared" si="8"/>
        <v>50982.94</v>
      </c>
      <c r="AX50" s="102">
        <f t="shared" si="9"/>
        <v>26.398569791781444</v>
      </c>
    </row>
    <row r="51" spans="28:50" ht="15" thickBot="1" x14ac:dyDescent="0.35">
      <c r="AB51" s="211" t="s">
        <v>79</v>
      </c>
      <c r="AC51" s="88">
        <v>42</v>
      </c>
      <c r="AD51" s="89"/>
      <c r="AE51" s="90">
        <v>48587</v>
      </c>
      <c r="AF51" s="91">
        <f t="shared" si="7"/>
        <v>25.157970695163598</v>
      </c>
      <c r="AG51" s="89"/>
      <c r="AH51" s="90">
        <f t="shared" si="11"/>
        <v>50512</v>
      </c>
      <c r="AI51" s="91">
        <f t="shared" si="12"/>
        <v>26.154720722705758</v>
      </c>
      <c r="AJ51" s="89"/>
      <c r="AK51" s="158" t="e">
        <f>$I$3/#REF!</f>
        <v>#REF!</v>
      </c>
      <c r="AM51" s="133" t="e">
        <f>(#REF!*#REF!)+#REF!</f>
        <v>#REF!</v>
      </c>
      <c r="AN51" s="133" t="e">
        <f t="shared" si="10"/>
        <v>#REF!</v>
      </c>
      <c r="AW51" s="90">
        <f t="shared" si="8"/>
        <v>52027.360000000001</v>
      </c>
      <c r="AX51" s="91">
        <f t="shared" si="9"/>
        <v>26.939362344386929</v>
      </c>
    </row>
    <row r="52" spans="28:50" ht="15" thickBot="1" x14ac:dyDescent="0.35">
      <c r="AB52" s="212"/>
      <c r="AC52" s="88">
        <v>43</v>
      </c>
      <c r="AD52" s="89"/>
      <c r="AE52" s="90">
        <v>49590</v>
      </c>
      <c r="AF52" s="91">
        <f t="shared" si="7"/>
        <v>25.677316293929714</v>
      </c>
      <c r="AG52" s="89"/>
      <c r="AH52" s="90">
        <f t="shared" si="11"/>
        <v>51515</v>
      </c>
      <c r="AI52" s="91">
        <f t="shared" si="12"/>
        <v>26.674066321471869</v>
      </c>
      <c r="AJ52" s="89"/>
      <c r="AK52" s="158" t="e">
        <f>$I$3/#REF!</f>
        <v>#REF!</v>
      </c>
      <c r="AM52" s="133" t="e">
        <f>(#REF!*#REF!)+#REF!</f>
        <v>#REF!</v>
      </c>
      <c r="AN52" s="133" t="e">
        <f t="shared" si="10"/>
        <v>#REF!</v>
      </c>
      <c r="AW52" s="90">
        <f t="shared" si="8"/>
        <v>53060.45</v>
      </c>
      <c r="AX52" s="91">
        <f t="shared" si="9"/>
        <v>27.474288311116023</v>
      </c>
    </row>
    <row r="53" spans="28:50" ht="15" thickBot="1" x14ac:dyDescent="0.35">
      <c r="AB53" s="212"/>
      <c r="AC53" s="88">
        <v>44</v>
      </c>
      <c r="AD53" s="89"/>
      <c r="AE53" s="90">
        <v>50609</v>
      </c>
      <c r="AF53" s="91">
        <f t="shared" si="7"/>
        <v>26.204946568249422</v>
      </c>
      <c r="AG53" s="89"/>
      <c r="AH53" s="90">
        <f t="shared" si="11"/>
        <v>52534</v>
      </c>
      <c r="AI53" s="91">
        <f t="shared" si="12"/>
        <v>27.201696595791578</v>
      </c>
      <c r="AJ53" s="89"/>
      <c r="AK53" s="158" t="e">
        <f>$I$3/#REF!</f>
        <v>#REF!</v>
      </c>
      <c r="AM53" s="133" t="e">
        <f>(#REF!*#REF!)+#REF!</f>
        <v>#REF!</v>
      </c>
      <c r="AN53" s="133" t="e">
        <f t="shared" si="10"/>
        <v>#REF!</v>
      </c>
      <c r="AW53" s="90">
        <f t="shared" si="8"/>
        <v>54110.02</v>
      </c>
      <c r="AX53" s="91">
        <f t="shared" si="9"/>
        <v>28.017747493665322</v>
      </c>
    </row>
    <row r="54" spans="28:50" ht="15" thickBot="1" x14ac:dyDescent="0.35">
      <c r="AB54" s="212"/>
      <c r="AC54" s="88">
        <v>45</v>
      </c>
      <c r="AD54" s="89"/>
      <c r="AE54" s="90">
        <v>51630</v>
      </c>
      <c r="AF54" s="91">
        <f t="shared" si="7"/>
        <v>26.73361242701333</v>
      </c>
      <c r="AG54" s="89"/>
      <c r="AH54" s="90">
        <f t="shared" si="11"/>
        <v>53555</v>
      </c>
      <c r="AI54" s="91">
        <f t="shared" si="12"/>
        <v>27.730362454555486</v>
      </c>
      <c r="AJ54" s="89"/>
      <c r="AK54" s="158" t="e">
        <f>$I$3/#REF!</f>
        <v>#REF!</v>
      </c>
      <c r="AM54" s="133" t="e">
        <f>(#REF!*#REF!)+#REF!</f>
        <v>#REF!</v>
      </c>
      <c r="AN54" s="133" t="e">
        <f t="shared" si="10"/>
        <v>#REF!</v>
      </c>
      <c r="AW54" s="90">
        <f t="shared" si="8"/>
        <v>55161.65</v>
      </c>
      <c r="AX54" s="91">
        <f t="shared" si="9"/>
        <v>28.562273328192152</v>
      </c>
    </row>
    <row r="55" spans="28:50" ht="15" thickBot="1" x14ac:dyDescent="0.35">
      <c r="AB55" s="212"/>
      <c r="AC55" s="88">
        <v>46</v>
      </c>
      <c r="AD55" s="89"/>
      <c r="AE55" s="90">
        <v>52664</v>
      </c>
      <c r="AF55" s="91">
        <f t="shared" si="7"/>
        <v>27.269009584664538</v>
      </c>
      <c r="AG55" s="89"/>
      <c r="AH55" s="90">
        <f t="shared" si="11"/>
        <v>54589</v>
      </c>
      <c r="AI55" s="91">
        <f t="shared" si="12"/>
        <v>28.265759612206693</v>
      </c>
      <c r="AJ55" s="89"/>
      <c r="AK55" s="158" t="e">
        <f>$I$3/#REF!</f>
        <v>#REF!</v>
      </c>
      <c r="AM55" s="133" t="e">
        <f>(#REF!*#REF!)+#REF!</f>
        <v>#REF!</v>
      </c>
      <c r="AN55" s="133" t="e">
        <f t="shared" si="10"/>
        <v>#REF!</v>
      </c>
      <c r="AW55" s="90">
        <f t="shared" si="8"/>
        <v>56226.67</v>
      </c>
      <c r="AX55" s="91">
        <f t="shared" si="9"/>
        <v>29.113732400572893</v>
      </c>
    </row>
    <row r="56" spans="28:50" ht="15" thickBot="1" x14ac:dyDescent="0.35">
      <c r="AB56" s="212"/>
      <c r="AC56" s="88">
        <v>47</v>
      </c>
      <c r="AD56" s="89"/>
      <c r="AE56" s="90">
        <v>53722</v>
      </c>
      <c r="AF56" s="91">
        <f t="shared" si="7"/>
        <v>27.816833755646137</v>
      </c>
      <c r="AG56" s="89"/>
      <c r="AH56" s="90">
        <f t="shared" si="11"/>
        <v>55647</v>
      </c>
      <c r="AI56" s="91">
        <f t="shared" si="12"/>
        <v>28.813583783188296</v>
      </c>
      <c r="AJ56" s="89"/>
      <c r="AK56" s="158" t="e">
        <f>$I$3/#REF!</f>
        <v>#REF!</v>
      </c>
      <c r="AM56" s="133" t="e">
        <f>(#REF!*#REF!)+#REF!</f>
        <v>#REF!</v>
      </c>
      <c r="AN56" s="133" t="e">
        <f t="shared" si="10"/>
        <v>#REF!</v>
      </c>
      <c r="AW56" s="90">
        <f t="shared" si="8"/>
        <v>57316.41</v>
      </c>
      <c r="AX56" s="91">
        <f t="shared" si="9"/>
        <v>29.677991296683945</v>
      </c>
    </row>
    <row r="57" spans="28:50" ht="15" thickBot="1" x14ac:dyDescent="0.35">
      <c r="AB57" s="212"/>
      <c r="AC57" s="88">
        <v>48</v>
      </c>
      <c r="AD57" s="89"/>
      <c r="AE57" s="90">
        <v>54792</v>
      </c>
      <c r="AF57" s="91">
        <f t="shared" si="7"/>
        <v>28.370871433292937</v>
      </c>
      <c r="AG57" s="89"/>
      <c r="AH57" s="90">
        <f t="shared" si="11"/>
        <v>56717</v>
      </c>
      <c r="AI57" s="91">
        <f t="shared" si="12"/>
        <v>29.367621460835096</v>
      </c>
      <c r="AJ57" s="89"/>
      <c r="AK57" s="158" t="e">
        <f>$I$3/#REF!</f>
        <v>#REF!</v>
      </c>
      <c r="AM57" s="133" t="e">
        <f>(#REF!*#REF!)+#REF!</f>
        <v>#REF!</v>
      </c>
      <c r="AN57" s="133" t="e">
        <f t="shared" si="10"/>
        <v>#REF!</v>
      </c>
      <c r="AW57" s="90">
        <f t="shared" si="8"/>
        <v>58418.51</v>
      </c>
      <c r="AX57" s="91">
        <f t="shared" si="9"/>
        <v>30.24865010466015</v>
      </c>
    </row>
    <row r="58" spans="28:50" ht="15" thickBot="1" x14ac:dyDescent="0.35">
      <c r="AB58" s="213"/>
      <c r="AC58" s="88">
        <v>49</v>
      </c>
      <c r="AD58" s="89"/>
      <c r="AE58" s="90">
        <v>55895</v>
      </c>
      <c r="AF58" s="91">
        <f t="shared" si="7"/>
        <v>28.941996254269032</v>
      </c>
      <c r="AG58" s="89"/>
      <c r="AH58" s="90">
        <f t="shared" si="11"/>
        <v>57820</v>
      </c>
      <c r="AI58" s="91">
        <f t="shared" si="12"/>
        <v>29.938746281811191</v>
      </c>
      <c r="AJ58" s="89"/>
      <c r="AK58" s="158" t="e">
        <f>$I$3/#REF!</f>
        <v>#REF!</v>
      </c>
      <c r="AM58" s="133" t="e">
        <f>(#REF!*#REF!)+#REF!</f>
        <v>#REF!</v>
      </c>
      <c r="AN58" s="133" t="e">
        <f>AE58-AM58</f>
        <v>#REF!</v>
      </c>
      <c r="AW58" s="90">
        <f t="shared" si="8"/>
        <v>59554.6</v>
      </c>
      <c r="AX58" s="91">
        <f t="shared" si="9"/>
        <v>30.836908670265526</v>
      </c>
    </row>
    <row r="59" spans="28:50" ht="15" thickBot="1" x14ac:dyDescent="0.35">
      <c r="AK59" s="175" t="e">
        <f>SUM(AK6:AK58)/53</f>
        <v>#REF!</v>
      </c>
      <c r="AN59" s="176" t="e">
        <f>SUM(AN6:AN58)</f>
        <v>#REF!</v>
      </c>
    </row>
    <row r="60" spans="28:50" ht="15" thickTop="1" x14ac:dyDescent="0.3"/>
  </sheetData>
  <mergeCells count="38">
    <mergeCell ref="AB41:AB45"/>
    <mergeCell ref="AB46:AB50"/>
    <mergeCell ref="AB51:AB58"/>
    <mergeCell ref="AB23:AB29"/>
    <mergeCell ref="AB30:AB35"/>
    <mergeCell ref="A35:A36"/>
    <mergeCell ref="C35:D35"/>
    <mergeCell ref="E35:F35"/>
    <mergeCell ref="G35:H35"/>
    <mergeCell ref="AB36:AB40"/>
    <mergeCell ref="A15:A16"/>
    <mergeCell ref="C15:D15"/>
    <mergeCell ref="E15:F15"/>
    <mergeCell ref="G15:H15"/>
    <mergeCell ref="AB15:AB16"/>
    <mergeCell ref="AB17:AB22"/>
    <mergeCell ref="AB7:AB8"/>
    <mergeCell ref="AB9:AB10"/>
    <mergeCell ref="U11:U12"/>
    <mergeCell ref="V11:X11"/>
    <mergeCell ref="AB11:AB12"/>
    <mergeCell ref="AB13:AB14"/>
    <mergeCell ref="AE3:AF3"/>
    <mergeCell ref="AH3:AI3"/>
    <mergeCell ref="AW3:AX3"/>
    <mergeCell ref="AE4:AF4"/>
    <mergeCell ref="AH4:AI4"/>
    <mergeCell ref="AW4:AX4"/>
    <mergeCell ref="Y1:Z1"/>
    <mergeCell ref="A2:A3"/>
    <mergeCell ref="C2:D2"/>
    <mergeCell ref="E2:F2"/>
    <mergeCell ref="G2:H2"/>
    <mergeCell ref="K2:K3"/>
    <mergeCell ref="M2:N2"/>
    <mergeCell ref="O2:P2"/>
    <mergeCell ref="Q2:R2"/>
    <mergeCell ref="Y2:Z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F6A3-D2C4-4458-B6EB-9264887BA67F}">
  <dimension ref="A1:G8"/>
  <sheetViews>
    <sheetView workbookViewId="0">
      <selection activeCell="E28" sqref="E28"/>
    </sheetView>
  </sheetViews>
  <sheetFormatPr defaultRowHeight="14.4" x14ac:dyDescent="0.3"/>
  <cols>
    <col min="4" max="4" width="33.5546875" customWidth="1"/>
  </cols>
  <sheetData>
    <row r="1" spans="1:7" x14ac:dyDescent="0.3">
      <c r="A1" s="177" t="s">
        <v>139</v>
      </c>
      <c r="B1" s="177" t="s">
        <v>137</v>
      </c>
      <c r="C1" s="177" t="s">
        <v>138</v>
      </c>
      <c r="D1" s="177" t="s">
        <v>136</v>
      </c>
      <c r="E1" s="177" t="s">
        <v>140</v>
      </c>
      <c r="F1" s="177" t="s">
        <v>141</v>
      </c>
      <c r="G1" s="177" t="s">
        <v>142</v>
      </c>
    </row>
    <row r="2" spans="1:7" x14ac:dyDescent="0.3">
      <c r="A2">
        <v>535</v>
      </c>
      <c r="B2" t="s">
        <v>119</v>
      </c>
      <c r="C2" t="s">
        <v>120</v>
      </c>
      <c r="D2" t="s">
        <v>121</v>
      </c>
      <c r="E2">
        <v>2</v>
      </c>
      <c r="F2">
        <v>356.5</v>
      </c>
      <c r="G2">
        <f>F2*12</f>
        <v>4278</v>
      </c>
    </row>
    <row r="3" spans="1:7" x14ac:dyDescent="0.3">
      <c r="A3">
        <v>532</v>
      </c>
      <c r="B3" t="s">
        <v>122</v>
      </c>
      <c r="C3" t="s">
        <v>123</v>
      </c>
      <c r="D3" t="s">
        <v>121</v>
      </c>
      <c r="E3">
        <v>2</v>
      </c>
      <c r="F3">
        <v>356.5</v>
      </c>
      <c r="G3">
        <f t="shared" ref="G3:G8" si="0">F3*12</f>
        <v>4278</v>
      </c>
    </row>
    <row r="4" spans="1:7" x14ac:dyDescent="0.3">
      <c r="A4">
        <v>71</v>
      </c>
      <c r="B4" t="s">
        <v>124</v>
      </c>
      <c r="C4" t="s">
        <v>125</v>
      </c>
      <c r="D4" t="s">
        <v>126</v>
      </c>
      <c r="E4">
        <v>2</v>
      </c>
      <c r="F4">
        <v>293.83</v>
      </c>
      <c r="G4">
        <f t="shared" si="0"/>
        <v>3525.96</v>
      </c>
    </row>
    <row r="5" spans="1:7" x14ac:dyDescent="0.3">
      <c r="A5">
        <v>461</v>
      </c>
      <c r="B5" t="s">
        <v>127</v>
      </c>
      <c r="C5" t="s">
        <v>128</v>
      </c>
      <c r="D5" t="s">
        <v>121</v>
      </c>
      <c r="E5">
        <v>2</v>
      </c>
      <c r="F5">
        <v>356.5</v>
      </c>
      <c r="G5">
        <f t="shared" si="0"/>
        <v>4278</v>
      </c>
    </row>
    <row r="6" spans="1:7" x14ac:dyDescent="0.3">
      <c r="A6">
        <v>430</v>
      </c>
      <c r="B6" t="s">
        <v>129</v>
      </c>
      <c r="C6" t="s">
        <v>130</v>
      </c>
      <c r="D6" t="s">
        <v>121</v>
      </c>
      <c r="E6">
        <v>2</v>
      </c>
      <c r="F6">
        <v>430.67</v>
      </c>
      <c r="G6">
        <f t="shared" si="0"/>
        <v>5168.04</v>
      </c>
    </row>
    <row r="7" spans="1:7" x14ac:dyDescent="0.3">
      <c r="A7">
        <v>792</v>
      </c>
      <c r="B7" t="s">
        <v>131</v>
      </c>
      <c r="C7" t="s">
        <v>132</v>
      </c>
      <c r="D7" t="s">
        <v>133</v>
      </c>
      <c r="E7">
        <v>2</v>
      </c>
      <c r="F7">
        <v>293.83</v>
      </c>
      <c r="G7">
        <f t="shared" si="0"/>
        <v>3525.96</v>
      </c>
    </row>
    <row r="8" spans="1:7" x14ac:dyDescent="0.3">
      <c r="A8">
        <v>326</v>
      </c>
      <c r="B8" t="s">
        <v>134</v>
      </c>
      <c r="C8" t="s">
        <v>128</v>
      </c>
      <c r="D8" t="s">
        <v>135</v>
      </c>
      <c r="E8">
        <v>2</v>
      </c>
      <c r="F8">
        <v>293.83</v>
      </c>
      <c r="G8">
        <f t="shared" si="0"/>
        <v>3525.96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6c5b7b05f23fcafd4362e740ea649361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242edb56a85d662e8c974a7eaa08d0fc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CA376F-D0AA-47E0-B51D-A5D2EE2A43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10AF9A-09B8-443C-A02D-62EF57CC3F65}">
  <ds:schemaRefs>
    <ds:schemaRef ds:uri="http://schemas.microsoft.com/office/2006/metadata/properties"/>
    <ds:schemaRef ds:uri="05c74e94-00cb-4960-9681-9403ecb617b0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9f2f73ca-e186-41ca-9b39-17400bef97b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41FE2F8-25E2-455B-96F2-C92FDC87B8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c74e94-00cb-4960-9681-9403ecb617b0"/>
    <ds:schemaRef ds:uri="9f2f73ca-e186-41ca-9b39-17400bef97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Support</vt:lpstr>
      <vt:lpstr>Teaching &amp; Leadership</vt:lpstr>
      <vt:lpstr>TLRs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 Holt</cp:lastModifiedBy>
  <dcterms:modified xsi:type="dcterms:W3CDTF">2025-12-16T13:03:46Z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  <property fmtid="{D5CDD505-2E9C-101B-9397-08002B2CF9AE}" pid="3" name="MediaServiceImageTags">
    <vt:lpwstr/>
  </property>
</Properties>
</file>