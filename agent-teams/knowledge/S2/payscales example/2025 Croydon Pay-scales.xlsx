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PAC002 - Pace Academy Trust/Customer Supplied Data/Strand 2/Payscales and Pension Rates/"/>
    </mc:Choice>
  </mc:AlternateContent>
  <xr:revisionPtr revIDLastSave="8" documentId="8_{6821CABA-4678-4782-98B0-4AE9AB4896A0}" xr6:coauthVersionLast="47" xr6:coauthVersionMax="47" xr10:uidLastSave="{98F4EB31-F716-4C4F-8B67-28D9B56B75C8}"/>
  <bookViews>
    <workbookView xWindow="-120" yWindow="-120" windowWidth="29040" windowHeight="15720" firstSheet="1" activeTab="1" xr2:uid="{00000000-000D-0000-FFFF-FFFF00000000}"/>
  </bookViews>
  <sheets>
    <sheet name="Main Pay Scales 2018-20" sheetId="5" state="hidden" r:id="rId1"/>
    <sheet name="Main Pay Scales 202526" sheetId="10" r:id="rId2"/>
    <sheet name="JNC 2021 - 2026" sheetId="9" state="hidden" r:id="rId3"/>
    <sheet name=" Pay Scales 2021 -22" sheetId="8" state="hidden" r:id="rId4"/>
    <sheet name="Main Pay Scales 2020 -21" sheetId="7" state="hidden" r:id="rId5"/>
    <sheet name="Main Pay Scales 2019 -20" sheetId="4" state="hidden" r:id="rId6"/>
    <sheet name="Main Pay Scales 2018 - 19" sheetId="3" state="hidden" r:id="rId7"/>
  </sheets>
  <definedNames>
    <definedName name="_xlnm.Print_Area" localSheetId="6">'Main Pay Scales 2018 - 19'!$F$1:$O$65</definedName>
    <definedName name="_xlnm.Print_Area" localSheetId="0">'Main Pay Scales 2018-20'!$F$1:$O$65</definedName>
    <definedName name="_xlnm.Print_Area" localSheetId="5">'Main Pay Scales 2019 -20'!$F$1:$O$65</definedName>
    <definedName name="_xlnm.Print_Area" localSheetId="4">'Main Pay Scales 2020 -21'!$A$1:$L$72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9" l="1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10" i="9"/>
</calcChain>
</file>

<file path=xl/sharedStrings.xml><?xml version="1.0" encoding="utf-8"?>
<sst xmlns="http://schemas.openxmlformats.org/spreadsheetml/2006/main" count="451" uniqueCount="120">
  <si>
    <t>Scp</t>
  </si>
  <si>
    <t>1st Apr 2003</t>
  </si>
  <si>
    <t>1st Apr 2004</t>
  </si>
  <si>
    <t>1st Apr 2005</t>
  </si>
  <si>
    <t>SCALE 1</t>
  </si>
  <si>
    <t>SCALE 2</t>
  </si>
  <si>
    <t>SCALE 3</t>
  </si>
  <si>
    <t>SCALE 4 </t>
  </si>
  <si>
    <t>SCALE 5 </t>
  </si>
  <si>
    <t>SCALE 6 </t>
  </si>
  <si>
    <t>SO1 </t>
  </si>
  <si>
    <t>SO2</t>
  </si>
  <si>
    <t>PO1</t>
  </si>
  <si>
    <t>PO2</t>
  </si>
  <si>
    <t>PO3</t>
  </si>
  <si>
    <t>PO4</t>
  </si>
  <si>
    <t>PO5</t>
  </si>
  <si>
    <t>PO6</t>
  </si>
  <si>
    <t>PO7</t>
  </si>
  <si>
    <t>PO8</t>
  </si>
  <si>
    <t>1st Apr 2006</t>
  </si>
  <si>
    <t>1st Apr 2007</t>
  </si>
  <si>
    <t>Grade 1a</t>
  </si>
  <si>
    <t>Grade 1b</t>
  </si>
  <si>
    <t>Grade 1c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</si>
  <si>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</si>
  <si>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</si>
  <si>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</si>
  <si>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</si>
  <si>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</si>
  <si>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</si>
  <si>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</si>
  <si>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</si>
  <si>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</si>
  <si>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</si>
  <si>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</si>
  <si>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14</t>
  </si>
  <si>
    <t>Grade 15</t>
  </si>
  <si>
    <t>Grade 16</t>
  </si>
  <si>
    <t>Grade 17</t>
  </si>
  <si>
    <t>4*</t>
  </si>
  <si>
    <t>14*</t>
  </si>
  <si>
    <t>18*</t>
  </si>
  <si>
    <t>22*</t>
  </si>
  <si>
    <t>50*</t>
  </si>
  <si>
    <t>54*</t>
  </si>
  <si>
    <t>n/a</t>
  </si>
  <si>
    <t>1st Apr 2008</t>
  </si>
  <si>
    <t>1st Apr 2013</t>
  </si>
  <si>
    <t>1st Apr 2009</t>
  </si>
  <si>
    <t>1st Apr 2010-12</t>
  </si>
  <si>
    <t>Non-Consolidated Amount
(to be paid in April '15)</t>
  </si>
  <si>
    <t xml:space="preserve"> Non- Consolidated Amount 
(to be paid Dec '14)</t>
  </si>
  <si>
    <t>1 Jan 2015 to 31 Mar 2016</t>
  </si>
  <si>
    <t>1st Apr 2016</t>
  </si>
  <si>
    <t>5*</t>
  </si>
  <si>
    <t>Pay Scales - NJC For Local Govt Services</t>
  </si>
  <si>
    <t>OLD PAY STRUCTURE REPLACED W.E.F  FROM 01 APRIL 2007</t>
  </si>
  <si>
    <t xml:space="preserve">GRADING STRUCTURE </t>
  </si>
  <si>
    <t>Grade1c</t>
  </si>
  <si>
    <t>New spinal points</t>
  </si>
  <si>
    <t>Existing spinal points</t>
  </si>
  <si>
    <t>GRADING STRUCTURE FROM 1 APRIL 2019</t>
  </si>
  <si>
    <t>11*</t>
  </si>
  <si>
    <t>12*</t>
  </si>
  <si>
    <t>16*</t>
  </si>
  <si>
    <t>17*</t>
  </si>
  <si>
    <t>7*</t>
  </si>
  <si>
    <t>21*</t>
  </si>
  <si>
    <t>44*</t>
  </si>
  <si>
    <t>45*</t>
  </si>
  <si>
    <t>49*</t>
  </si>
  <si>
    <t>From 1 Apr 2017</t>
  </si>
  <si>
    <r>
      <t xml:space="preserve">From 
1 April
</t>
    </r>
    <r>
      <rPr>
        <b/>
        <sz val="14"/>
        <color theme="1"/>
        <rFont val="Arial"/>
        <family val="2"/>
      </rPr>
      <t>2019</t>
    </r>
  </si>
  <si>
    <r>
      <rPr>
        <b/>
        <sz val="10"/>
        <color indexed="8"/>
        <rFont val="Arial"/>
        <family val="2"/>
      </rPr>
      <t xml:space="preserve">From 
1 April </t>
    </r>
    <r>
      <rPr>
        <b/>
        <sz val="14"/>
        <color indexed="8"/>
        <rFont val="Arial"/>
        <family val="2"/>
      </rPr>
      <t>2018</t>
    </r>
  </si>
  <si>
    <t>Pay Spine &amp; Grading Structure
2018/19</t>
  </si>
  <si>
    <t>Pay Spine &amp; Grading Structure
2019/20</t>
  </si>
  <si>
    <t>Assimilation from 2018/19 pay spine to 2019/20 pay spine</t>
  </si>
  <si>
    <r>
      <rPr>
        <b/>
        <sz val="10"/>
        <color theme="0" tint="-0.34998626667073579"/>
        <rFont val="Arial"/>
        <family val="2"/>
      </rPr>
      <t xml:space="preserve">From 
1 April </t>
    </r>
    <r>
      <rPr>
        <b/>
        <sz val="14"/>
        <color theme="0" tint="-0.34998626667073579"/>
        <rFont val="Arial"/>
        <family val="2"/>
      </rPr>
      <t>2018</t>
    </r>
  </si>
  <si>
    <t>GRADING STRUCTURE FROM 1 APRIL 2020</t>
  </si>
  <si>
    <t>Grade 1</t>
  </si>
  <si>
    <t>1**</t>
  </si>
  <si>
    <r>
      <t>Notes</t>
    </r>
    <r>
      <rPr>
        <sz val="10"/>
        <color rgb="FF000000"/>
        <rFont val="Arial"/>
        <family val="2"/>
      </rPr>
      <t>:</t>
    </r>
  </si>
  <si>
    <t>* indicates that the spinal point is not used under the terms of Croydon's Single Status Collective Agreement and/or because of introduction of the new pay spine with effect from 1 April 2019.</t>
  </si>
  <si>
    <t>Between 1 April 2007 and 31 March 2019:</t>
  </si>
  <si>
    <t xml:space="preserve">a) Croydon salaries for scp 's 50-53 align to GLPC Outer London pay spine scps 51-54 respectively </t>
  </si>
  <si>
    <t>b) Croydon salaries for scp's  55-57 align to GLPC Outer London pay spine scps 57-59 respectively.</t>
  </si>
  <si>
    <t>c) Spinal column points 14, 18, 22, 50 &amp; 54 not used in accordance with Croydon's Single Status Collective Agreement</t>
  </si>
  <si>
    <r>
      <t xml:space="preserve">Spinal point 4 deleted with effect from 1 October 2013 (as </t>
    </r>
    <r>
      <rPr>
        <sz val="10"/>
        <rFont val="Arial"/>
        <family val="2"/>
      </rPr>
      <t>part of NJC 2013-14 pay settlement)</t>
    </r>
    <r>
      <rPr>
        <sz val="10"/>
        <color rgb="FF000000"/>
        <rFont val="Arial"/>
        <family val="2"/>
      </rPr>
      <t xml:space="preserve">. </t>
    </r>
  </si>
  <si>
    <t xml:space="preserve">Spinal point 5 deleted with effect from 1 October 2015 (as part of NJC 2014-16 pay settlement) </t>
  </si>
  <si>
    <t>Pay Scale and Grading Structure 2020/21</t>
  </si>
  <si>
    <r>
      <t xml:space="preserve">From 
1 April
</t>
    </r>
    <r>
      <rPr>
        <b/>
        <sz val="12"/>
        <color theme="1"/>
        <rFont val="Arial"/>
        <family val="2"/>
      </rPr>
      <t>2019</t>
    </r>
  </si>
  <si>
    <r>
      <t xml:space="preserve">From 
1 April
</t>
    </r>
    <r>
      <rPr>
        <b/>
        <sz val="12"/>
        <color theme="1"/>
        <rFont val="Arial"/>
        <family val="2"/>
      </rPr>
      <t>2020</t>
    </r>
  </si>
  <si>
    <t xml:space="preserve">In April 2019 Grades 1, 2 and 3 were re-designed.  This meant that Grades 1a, 1b, and 1c were combined into a new Grade 1, </t>
  </si>
  <si>
    <t>with a three point scale (scp 1-3).  Grades 2 and 3 were also move to a three point scale, and scp 7 was unfrozen/re-introduced.</t>
  </si>
  <si>
    <r>
      <t xml:space="preserve">From 
1 April
</t>
    </r>
    <r>
      <rPr>
        <b/>
        <sz val="12"/>
        <color theme="1"/>
        <rFont val="Arial"/>
        <family val="2"/>
      </rPr>
      <t>2021</t>
    </r>
  </si>
  <si>
    <t>Mid-point</t>
  </si>
  <si>
    <t>Maximum</t>
  </si>
  <si>
    <t>* Pay award of 1.5% implemented from 1/10/21</t>
  </si>
  <si>
    <t>Pay Scale and Grading Structure 2021/22 - NJC For Local Govt Services</t>
  </si>
  <si>
    <r>
      <t xml:space="preserve">From 
1 April
</t>
    </r>
    <r>
      <rPr>
        <b/>
        <sz val="12"/>
        <color theme="1"/>
        <rFont val="Arial"/>
        <family val="2"/>
      </rPr>
      <t>2022</t>
    </r>
  </si>
  <si>
    <t>* Pay award of £1,925 implemented from 1/4/22</t>
  </si>
  <si>
    <t>* Pay award of 3.5% implemented from 1/4/23</t>
  </si>
  <si>
    <t>Minimum</t>
  </si>
  <si>
    <t>Director</t>
  </si>
  <si>
    <t>Corporate Director</t>
  </si>
  <si>
    <t>From 1st October 2021</t>
  </si>
  <si>
    <t>From 1st April 2022</t>
  </si>
  <si>
    <t>From 1st April 2023</t>
  </si>
  <si>
    <r>
      <t xml:space="preserve">From 
1 April
</t>
    </r>
    <r>
      <rPr>
        <b/>
        <sz val="12"/>
        <color theme="1"/>
        <rFont val="Arial"/>
        <family val="2"/>
      </rPr>
      <t>2023</t>
    </r>
  </si>
  <si>
    <t>Point 1 deleted</t>
  </si>
  <si>
    <t>From 1st April 2024</t>
  </si>
  <si>
    <t>* Pay award of 2.5% implemented from 1/4/24</t>
  </si>
  <si>
    <r>
      <t xml:space="preserve">From 
1 April
</t>
    </r>
    <r>
      <rPr>
        <b/>
        <sz val="12"/>
        <color theme="1"/>
        <rFont val="Arial"/>
        <family val="2"/>
      </rPr>
      <t>2024</t>
    </r>
  </si>
  <si>
    <t>Pay Scale and Grading Structure 2025/26 - NJC For Local Govt Services</t>
  </si>
  <si>
    <r>
      <t xml:space="preserve">From 
1 April
</t>
    </r>
    <r>
      <rPr>
        <b/>
        <sz val="12"/>
        <color theme="1"/>
        <rFont val="Arial"/>
        <family val="2"/>
      </rPr>
      <t>2025</t>
    </r>
  </si>
  <si>
    <t>From 1st April 2025</t>
  </si>
  <si>
    <t>* Pay award of 3.2% implemented from 1/4/25</t>
  </si>
  <si>
    <t>Croydon Chief Officer Grades 2025/26</t>
  </si>
  <si>
    <t>to be deleted in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</si>
</sst>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£&quot;#,##0;\-&quot;£&quot;#,##0"/>
    <numFmt numFmtId="6" formatCode="&quot;£&quot;#,##0;[Red]\-&quot;£&quot;#,##0"/>
    <numFmt numFmtId="164" formatCode="&quot;£&quot;#,##0"/>
  </numFmts>
  <fonts count="4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u/>
      <sz val="12"/>
      <color indexed="20"/>
      <name val="Arial"/>
      <family val="2"/>
    </font>
    <font>
      <sz val="10"/>
      <color indexed="8"/>
      <name val="Arial"/>
      <family val="2"/>
    </font>
    <font>
      <b/>
      <u/>
      <sz val="18"/>
      <color indexed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2"/>
      <color indexed="20"/>
      <name val="Arial"/>
      <family val="2"/>
    </font>
    <font>
      <b/>
      <sz val="1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theme="1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10"/>
      <color theme="1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sz val="12"/>
      <color indexed="8"/>
      <name val="Arial"/>
      <family val="2"/>
    </font>
    <font>
      <b/>
      <sz val="14"/>
      <color theme="1"/>
      <name val="Arial"/>
      <family val="2"/>
    </font>
    <font>
      <b/>
      <sz val="14"/>
      <color indexed="8"/>
      <name val="Arial"/>
      <family val="2"/>
    </font>
    <font>
      <b/>
      <sz val="12"/>
      <color theme="0" tint="-0.34998626667073579"/>
      <name val="Arial"/>
      <family val="2"/>
    </font>
    <font>
      <b/>
      <sz val="14"/>
      <color theme="0" tint="-0.3499862666707357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i/>
      <sz val="12"/>
      <name val="Arial"/>
      <family val="2"/>
    </font>
    <font>
      <b/>
      <u/>
      <sz val="14"/>
      <color indexed="20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dotted">
        <color indexed="20"/>
      </bottom>
      <diagonal/>
    </border>
    <border>
      <left style="medium">
        <color indexed="20"/>
      </left>
      <right style="medium">
        <color indexed="20"/>
      </right>
      <top style="medium">
        <color indexed="20"/>
      </top>
      <bottom style="medium">
        <color indexed="20"/>
      </bottom>
      <diagonal/>
    </border>
    <border>
      <left/>
      <right/>
      <top/>
      <bottom style="medium">
        <color indexed="20"/>
      </bottom>
      <diagonal/>
    </border>
    <border>
      <left style="medium">
        <color indexed="20"/>
      </left>
      <right style="medium">
        <color indexed="20"/>
      </right>
      <top style="dotted">
        <color indexed="20"/>
      </top>
      <bottom style="dotted">
        <color indexed="20"/>
      </bottom>
      <diagonal/>
    </border>
    <border>
      <left style="medium">
        <color indexed="20"/>
      </left>
      <right/>
      <top/>
      <bottom style="medium">
        <color indexed="28"/>
      </bottom>
      <diagonal/>
    </border>
    <border>
      <left style="medium">
        <color indexed="20"/>
      </left>
      <right style="medium">
        <color indexed="28"/>
      </right>
      <top/>
      <bottom style="dotted">
        <color indexed="28"/>
      </bottom>
      <diagonal/>
    </border>
    <border>
      <left style="medium">
        <color indexed="20"/>
      </left>
      <right style="medium">
        <color indexed="28"/>
      </right>
      <top/>
      <bottom style="medium">
        <color indexed="28"/>
      </bottom>
      <diagonal/>
    </border>
    <border>
      <left style="medium">
        <color indexed="20"/>
      </left>
      <right style="medium">
        <color indexed="28"/>
      </right>
      <top/>
      <bottom style="medium">
        <color indexed="20"/>
      </bottom>
      <diagonal/>
    </border>
    <border>
      <left/>
      <right style="medium">
        <color indexed="36"/>
      </right>
      <top/>
      <bottom style="dotted">
        <color indexed="20"/>
      </bottom>
      <diagonal/>
    </border>
    <border>
      <left style="medium">
        <color indexed="36"/>
      </left>
      <right/>
      <top/>
      <bottom/>
      <diagonal/>
    </border>
    <border>
      <left/>
      <right style="medium">
        <color indexed="36"/>
      </right>
      <top/>
      <bottom/>
      <diagonal/>
    </border>
    <border>
      <left/>
      <right style="medium">
        <color indexed="36"/>
      </right>
      <top style="medium">
        <color indexed="20"/>
      </top>
      <bottom style="dotted">
        <color indexed="20"/>
      </bottom>
      <diagonal/>
    </border>
    <border>
      <left style="medium">
        <color indexed="36"/>
      </left>
      <right/>
      <top/>
      <bottom style="medium">
        <color indexed="36"/>
      </bottom>
      <diagonal/>
    </border>
    <border>
      <left/>
      <right/>
      <top/>
      <bottom style="medium">
        <color indexed="36"/>
      </bottom>
      <diagonal/>
    </border>
    <border>
      <left/>
      <right/>
      <top/>
      <bottom style="dotted">
        <color indexed="28"/>
      </bottom>
      <diagonal/>
    </border>
    <border>
      <left/>
      <right/>
      <top/>
      <bottom style="medium">
        <color indexed="28"/>
      </bottom>
      <diagonal/>
    </border>
    <border>
      <left style="medium">
        <color indexed="20"/>
      </left>
      <right/>
      <top/>
      <bottom style="dotted">
        <color indexed="20"/>
      </bottom>
      <diagonal/>
    </border>
    <border>
      <left style="medium">
        <color indexed="20"/>
      </left>
      <right/>
      <top/>
      <bottom style="medium">
        <color indexed="20"/>
      </bottom>
      <diagonal/>
    </border>
    <border>
      <left style="medium">
        <color indexed="36"/>
      </left>
      <right style="medium">
        <color indexed="20"/>
      </right>
      <top style="medium">
        <color indexed="20"/>
      </top>
      <bottom/>
      <diagonal/>
    </border>
    <border>
      <left style="medium">
        <color indexed="36"/>
      </left>
      <right style="medium">
        <color indexed="20"/>
      </right>
      <top/>
      <bottom/>
      <diagonal/>
    </border>
    <border>
      <left style="medium">
        <color indexed="36"/>
      </left>
      <right style="medium">
        <color indexed="20"/>
      </right>
      <top/>
      <bottom style="medium">
        <color indexed="20"/>
      </bottom>
      <diagonal/>
    </border>
    <border>
      <left style="medium">
        <color indexed="20"/>
      </left>
      <right style="medium">
        <color indexed="28"/>
      </right>
      <top style="medium">
        <color indexed="28"/>
      </top>
      <bottom/>
      <diagonal/>
    </border>
    <border>
      <left style="medium">
        <color indexed="20"/>
      </left>
      <right style="medium">
        <color indexed="28"/>
      </right>
      <top/>
      <bottom/>
      <diagonal/>
    </border>
    <border>
      <left style="medium">
        <color indexed="20"/>
      </left>
      <right/>
      <top style="medium">
        <color indexed="20"/>
      </top>
      <bottom style="medium">
        <color indexed="20"/>
      </bottom>
      <diagonal/>
    </border>
    <border>
      <left/>
      <right/>
      <top style="medium">
        <color indexed="20"/>
      </top>
      <bottom style="medium">
        <color indexed="20"/>
      </bottom>
      <diagonal/>
    </border>
    <border>
      <left/>
      <right style="medium">
        <color indexed="20"/>
      </right>
      <top style="medium">
        <color indexed="20"/>
      </top>
      <bottom style="medium">
        <color indexed="20"/>
      </bottom>
      <diagonal/>
    </border>
    <border>
      <left style="medium">
        <color indexed="20"/>
      </left>
      <right style="medium">
        <color indexed="36"/>
      </right>
      <top style="medium">
        <color indexed="20"/>
      </top>
      <bottom/>
      <diagonal/>
    </border>
    <border>
      <left style="medium">
        <color indexed="20"/>
      </left>
      <right style="medium">
        <color indexed="36"/>
      </right>
      <top/>
      <bottom/>
      <diagonal/>
    </border>
    <border>
      <left style="medium">
        <color indexed="20"/>
      </left>
      <right style="medium">
        <color indexed="36"/>
      </right>
      <top/>
      <bottom style="medium">
        <color indexed="20"/>
      </bottom>
      <diagonal/>
    </border>
    <border>
      <left style="medium">
        <color indexed="28"/>
      </left>
      <right/>
      <top style="medium">
        <color indexed="28"/>
      </top>
      <bottom/>
      <diagonal/>
    </border>
    <border>
      <left style="medium">
        <color indexed="28"/>
      </left>
      <right/>
      <top/>
      <bottom/>
      <diagonal/>
    </border>
    <border>
      <left style="medium">
        <color indexed="28"/>
      </left>
      <right/>
      <top/>
      <bottom style="medium">
        <color indexed="28"/>
      </bottom>
      <diagonal/>
    </border>
    <border>
      <left style="medium">
        <color indexed="20"/>
      </left>
      <right/>
      <top style="medium">
        <color indexed="28"/>
      </top>
      <bottom/>
      <diagonal/>
    </border>
    <border>
      <left style="medium">
        <color indexed="20"/>
      </left>
      <right/>
      <top/>
      <bottom/>
      <diagonal/>
    </border>
    <border>
      <left style="medium">
        <color indexed="20"/>
      </left>
      <right style="medium">
        <color indexed="36"/>
      </right>
      <top/>
      <bottom style="medium">
        <color indexed="36"/>
      </bottom>
      <diagonal/>
    </border>
    <border>
      <left style="medium">
        <color indexed="28"/>
      </left>
      <right/>
      <top/>
      <bottom style="medium">
        <color indexed="20"/>
      </bottom>
      <diagonal/>
    </border>
    <border>
      <left style="medium">
        <color indexed="20"/>
      </left>
      <right style="medium">
        <color indexed="20"/>
      </right>
      <top style="dotted">
        <color rgb="FF7030A0"/>
      </top>
      <bottom style="dotted">
        <color rgb="FF7030A0"/>
      </bottom>
      <diagonal/>
    </border>
    <border>
      <left style="medium">
        <color indexed="20"/>
      </left>
      <right style="medium">
        <color indexed="20"/>
      </right>
      <top style="dotted">
        <color indexed="20"/>
      </top>
      <bottom style="medium">
        <color indexed="20"/>
      </bottom>
      <diagonal/>
    </border>
    <border>
      <left style="medium">
        <color indexed="20"/>
      </left>
      <right style="medium">
        <color indexed="20"/>
      </right>
      <top style="dotted">
        <color rgb="FF7030A0"/>
      </top>
      <bottom/>
      <diagonal/>
    </border>
    <border>
      <left style="medium">
        <color indexed="20"/>
      </left>
      <right style="medium">
        <color indexed="20"/>
      </right>
      <top/>
      <bottom style="dotted">
        <color indexed="20"/>
      </bottom>
      <diagonal/>
    </border>
    <border>
      <left style="medium">
        <color indexed="20"/>
      </left>
      <right style="medium">
        <color indexed="20"/>
      </right>
      <top/>
      <bottom style="medium">
        <color indexed="20"/>
      </bottom>
      <diagonal/>
    </border>
    <border>
      <left style="medium">
        <color indexed="20"/>
      </left>
      <right style="medium">
        <color indexed="20"/>
      </right>
      <top/>
      <bottom style="dotted">
        <color rgb="FF7030A0"/>
      </bottom>
      <diagonal/>
    </border>
    <border>
      <left style="medium">
        <color indexed="20"/>
      </left>
      <right style="medium">
        <color indexed="2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0"/>
      </left>
      <right style="medium">
        <color indexed="20"/>
      </right>
      <top style="medium">
        <color indexed="20"/>
      </top>
      <bottom/>
      <diagonal/>
    </border>
    <border>
      <left/>
      <right style="medium">
        <color indexed="20"/>
      </right>
      <top/>
      <bottom/>
      <diagonal/>
    </border>
    <border>
      <left style="medium">
        <color indexed="20"/>
      </left>
      <right/>
      <top style="medium">
        <color indexed="20"/>
      </top>
      <bottom/>
      <diagonal/>
    </border>
    <border>
      <left/>
      <right/>
      <top style="medium">
        <color indexed="20"/>
      </top>
      <bottom/>
      <diagonal/>
    </border>
    <border>
      <left/>
      <right style="medium">
        <color indexed="20"/>
      </right>
      <top style="medium">
        <color indexed="20"/>
      </top>
      <bottom/>
      <diagonal/>
    </border>
    <border>
      <left/>
      <right style="medium">
        <color indexed="20"/>
      </right>
      <top/>
      <bottom style="medium">
        <color indexed="20"/>
      </bottom>
      <diagonal/>
    </border>
    <border>
      <left/>
      <right/>
      <top style="medium">
        <color indexed="28"/>
      </top>
      <bottom style="dotted">
        <color indexed="28"/>
      </bottom>
      <diagonal/>
    </border>
    <border>
      <left/>
      <right/>
      <top style="dotted">
        <color indexed="28"/>
      </top>
      <bottom style="dotted">
        <color indexed="28"/>
      </bottom>
      <diagonal/>
    </border>
    <border>
      <left/>
      <right/>
      <top style="dotted">
        <color indexed="28"/>
      </top>
      <bottom style="medium">
        <color indexed="28"/>
      </bottom>
      <diagonal/>
    </border>
    <border>
      <left style="medium">
        <color indexed="20"/>
      </left>
      <right/>
      <top style="medium">
        <color indexed="28"/>
      </top>
      <bottom style="dotted">
        <color indexed="28"/>
      </bottom>
      <diagonal/>
    </border>
    <border>
      <left style="medium">
        <color indexed="20"/>
      </left>
      <right/>
      <top style="dotted">
        <color indexed="28"/>
      </top>
      <bottom style="dotted">
        <color indexed="28"/>
      </bottom>
      <diagonal/>
    </border>
    <border>
      <left style="medium">
        <color indexed="20"/>
      </left>
      <right/>
      <top style="medium">
        <color indexed="20"/>
      </top>
      <bottom style="dotted">
        <color indexed="20"/>
      </bottom>
      <diagonal/>
    </border>
    <border>
      <left style="medium">
        <color indexed="20"/>
      </left>
      <right/>
      <top style="dotted">
        <color indexed="20"/>
      </top>
      <bottom style="dotted">
        <color indexed="20"/>
      </bottom>
      <diagonal/>
    </border>
    <border>
      <left style="medium">
        <color indexed="20"/>
      </left>
      <right style="medium">
        <color indexed="28"/>
      </right>
      <top style="dotted">
        <color indexed="20"/>
      </top>
      <bottom style="dotted">
        <color indexed="20"/>
      </bottom>
      <diagonal/>
    </border>
    <border>
      <left style="medium">
        <color indexed="20"/>
      </left>
      <right/>
      <top style="dotted">
        <color indexed="20"/>
      </top>
      <bottom style="medium">
        <color indexed="28"/>
      </bottom>
      <diagonal/>
    </border>
    <border>
      <left style="medium">
        <color indexed="20"/>
      </left>
      <right style="medium">
        <color indexed="20"/>
      </right>
      <top style="medium">
        <color indexed="28"/>
      </top>
      <bottom style="dotted">
        <color indexed="20"/>
      </bottom>
      <diagonal/>
    </border>
    <border>
      <left style="medium">
        <color indexed="20"/>
      </left>
      <right style="medium">
        <color indexed="20"/>
      </right>
      <top style="dotted">
        <color indexed="20"/>
      </top>
      <bottom style="medium">
        <color indexed="28"/>
      </bottom>
      <diagonal/>
    </border>
    <border>
      <left style="medium">
        <color indexed="20"/>
      </left>
      <right/>
      <top style="dotted">
        <color indexed="28"/>
      </top>
      <bottom/>
      <diagonal/>
    </border>
    <border>
      <left/>
      <right/>
      <top style="dotted">
        <color indexed="28"/>
      </top>
      <bottom/>
      <diagonal/>
    </border>
    <border>
      <left style="medium">
        <color indexed="20"/>
      </left>
      <right/>
      <top style="dotted">
        <color indexed="28"/>
      </top>
      <bottom style="medium">
        <color indexed="20"/>
      </bottom>
      <diagonal/>
    </border>
    <border>
      <left style="medium">
        <color indexed="28"/>
      </left>
      <right/>
      <top style="medium">
        <color indexed="28"/>
      </top>
      <bottom style="dotted">
        <color indexed="28"/>
      </bottom>
      <diagonal/>
    </border>
    <border>
      <left style="medium">
        <color indexed="28"/>
      </left>
      <right/>
      <top style="dotted">
        <color indexed="28"/>
      </top>
      <bottom style="medium">
        <color indexed="28"/>
      </bottom>
      <diagonal/>
    </border>
    <border>
      <left style="medium">
        <color indexed="20"/>
      </left>
      <right style="medium">
        <color indexed="20"/>
      </right>
      <top style="medium">
        <color indexed="20"/>
      </top>
      <bottom style="dotted">
        <color indexed="20"/>
      </bottom>
      <diagonal/>
    </border>
    <border>
      <left/>
      <right style="medium">
        <color indexed="20"/>
      </right>
      <top style="medium">
        <color indexed="20"/>
      </top>
      <bottom style="dotted">
        <color indexed="20"/>
      </bottom>
      <diagonal/>
    </border>
    <border>
      <left/>
      <right style="medium">
        <color indexed="20"/>
      </right>
      <top style="dotted">
        <color indexed="20"/>
      </top>
      <bottom style="dotted">
        <color indexed="20"/>
      </bottom>
      <diagonal/>
    </border>
    <border>
      <left/>
      <right style="medium">
        <color indexed="20"/>
      </right>
      <top style="dotted">
        <color indexed="20"/>
      </top>
      <bottom style="medium">
        <color indexed="20"/>
      </bottom>
      <diagonal/>
    </border>
    <border>
      <left style="medium">
        <color indexed="20"/>
      </left>
      <right style="medium">
        <color indexed="20"/>
      </right>
      <top style="medium">
        <color indexed="28"/>
      </top>
      <bottom/>
      <diagonal/>
    </border>
    <border>
      <left style="medium">
        <color indexed="20"/>
      </left>
      <right style="medium">
        <color indexed="20"/>
      </right>
      <top/>
      <bottom style="medium">
        <color indexed="28"/>
      </bottom>
      <diagonal/>
    </border>
    <border>
      <left style="medium">
        <color indexed="20"/>
      </left>
      <right/>
      <top style="medium">
        <color indexed="28"/>
      </top>
      <bottom style="dotted">
        <color indexed="20"/>
      </bottom>
      <diagonal/>
    </border>
    <border>
      <left/>
      <right/>
      <top style="medium">
        <color indexed="20"/>
      </top>
      <bottom style="dotted">
        <color indexed="20"/>
      </bottom>
      <diagonal/>
    </border>
    <border>
      <left/>
      <right/>
      <top style="dotted">
        <color indexed="20"/>
      </top>
      <bottom style="dotted">
        <color indexed="20"/>
      </bottom>
      <diagonal/>
    </border>
    <border>
      <left/>
      <right/>
      <top style="dotted">
        <color indexed="20"/>
      </top>
      <bottom style="medium">
        <color indexed="2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11" fillId="0" borderId="0"/>
    <xf numFmtId="0" fontId="5" fillId="0" borderId="0"/>
  </cellStyleXfs>
  <cellXfs count="261">
    <xf numFmtId="0" fontId="0" fillId="0" borderId="0" xfId="0"/>
    <xf numFmtId="0" fontId="1" fillId="0" borderId="0" xfId="0" applyFont="1"/>
    <xf numFmtId="5" fontId="4" fillId="0" borderId="1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5" fontId="4" fillId="0" borderId="3" xfId="0" applyNumberFormat="1" applyFont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4" fontId="0" fillId="0" borderId="0" xfId="0" applyNumberFormat="1"/>
    <xf numFmtId="0" fontId="9" fillId="0" borderId="0" xfId="0" applyFont="1"/>
    <xf numFmtId="0" fontId="10" fillId="0" borderId="17" xfId="0" applyFont="1" applyBorder="1" applyAlignment="1">
      <alignment horizontal="center" vertical="center" wrapText="1"/>
    </xf>
    <xf numFmtId="5" fontId="11" fillId="0" borderId="1" xfId="0" applyNumberFormat="1" applyFont="1" applyBorder="1" applyAlignment="1">
      <alignment horizontal="center" wrapText="1"/>
    </xf>
    <xf numFmtId="6" fontId="12" fillId="0" borderId="0" xfId="0" applyNumberFormat="1" applyFont="1" applyAlignment="1">
      <alignment horizontal="right" wrapText="1"/>
    </xf>
    <xf numFmtId="0" fontId="7" fillId="0" borderId="0" xfId="0" applyFont="1" applyAlignment="1">
      <alignment vertical="center" wrapText="1"/>
    </xf>
    <xf numFmtId="6" fontId="0" fillId="0" borderId="0" xfId="0" applyNumberFormat="1"/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 wrapText="1"/>
    </xf>
    <xf numFmtId="5" fontId="11" fillId="0" borderId="40" xfId="0" applyNumberFormat="1" applyFont="1" applyBorder="1" applyAlignment="1">
      <alignment horizontal="center" wrapText="1"/>
    </xf>
    <xf numFmtId="6" fontId="8" fillId="0" borderId="40" xfId="0" applyNumberFormat="1" applyFont="1" applyBorder="1" applyAlignment="1">
      <alignment horizontal="center" wrapText="1"/>
    </xf>
    <xf numFmtId="6" fontId="5" fillId="0" borderId="43" xfId="3" applyNumberFormat="1" applyBorder="1" applyAlignment="1">
      <alignment horizontal="center" vertical="center" wrapText="1"/>
    </xf>
    <xf numFmtId="5" fontId="4" fillId="0" borderId="40" xfId="0" applyNumberFormat="1" applyFont="1" applyBorder="1" applyAlignment="1">
      <alignment horizontal="center" wrapText="1"/>
    </xf>
    <xf numFmtId="6" fontId="8" fillId="0" borderId="4" xfId="0" applyNumberFormat="1" applyFont="1" applyBorder="1" applyAlignment="1">
      <alignment horizontal="center" wrapText="1"/>
    </xf>
    <xf numFmtId="6" fontId="5" fillId="0" borderId="37" xfId="3" applyNumberFormat="1" applyBorder="1" applyAlignment="1">
      <alignment horizontal="center" vertical="center" wrapText="1"/>
    </xf>
    <xf numFmtId="6" fontId="5" fillId="0" borderId="39" xfId="3" applyNumberFormat="1" applyBorder="1" applyAlignment="1">
      <alignment horizontal="center" vertical="center" wrapText="1"/>
    </xf>
    <xf numFmtId="5" fontId="4" fillId="0" borderId="41" xfId="0" applyNumberFormat="1" applyFont="1" applyBorder="1" applyAlignment="1">
      <alignment horizontal="center" wrapText="1"/>
    </xf>
    <xf numFmtId="6" fontId="8" fillId="0" borderId="38" xfId="0" applyNumberFormat="1" applyFont="1" applyBorder="1" applyAlignment="1">
      <alignment horizontal="center" wrapText="1"/>
    </xf>
    <xf numFmtId="6" fontId="5" fillId="0" borderId="38" xfId="3" applyNumberFormat="1" applyBorder="1" applyAlignment="1">
      <alignment horizontal="center" vertical="center" wrapText="1"/>
    </xf>
    <xf numFmtId="6" fontId="5" fillId="3" borderId="42" xfId="3" applyNumberFormat="1" applyFill="1" applyBorder="1" applyAlignment="1">
      <alignment horizontal="center" vertical="center" wrapText="1"/>
    </xf>
    <xf numFmtId="6" fontId="5" fillId="3" borderId="37" xfId="3" applyNumberFormat="1" applyFill="1" applyBorder="1" applyAlignment="1">
      <alignment horizontal="center" vertical="center" wrapText="1"/>
    </xf>
    <xf numFmtId="6" fontId="5" fillId="3" borderId="38" xfId="3" applyNumberForma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wrapText="1"/>
    </xf>
    <xf numFmtId="3" fontId="18" fillId="4" borderId="9" xfId="0" applyNumberFormat="1" applyFont="1" applyFill="1" applyBorder="1" applyAlignment="1">
      <alignment horizontal="center" wrapText="1"/>
    </xf>
    <xf numFmtId="0" fontId="18" fillId="4" borderId="12" xfId="0" applyFont="1" applyFill="1" applyBorder="1" applyAlignment="1">
      <alignment horizontal="center" vertical="center" wrapText="1"/>
    </xf>
    <xf numFmtId="3" fontId="18" fillId="4" borderId="0" xfId="0" applyNumberFormat="1" applyFont="1" applyFill="1" applyAlignment="1">
      <alignment horizont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6" fontId="5" fillId="0" borderId="42" xfId="3" applyNumberFormat="1" applyBorder="1" applyAlignment="1">
      <alignment horizontal="center" vertical="center" wrapText="1"/>
    </xf>
    <xf numFmtId="0" fontId="13" fillId="3" borderId="4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6" fontId="21" fillId="0" borderId="42" xfId="3" applyNumberFormat="1" applyFont="1" applyBorder="1" applyAlignment="1">
      <alignment horizontal="center" vertical="center" wrapText="1"/>
    </xf>
    <xf numFmtId="6" fontId="21" fillId="0" borderId="37" xfId="3" applyNumberFormat="1" applyFont="1" applyBorder="1" applyAlignment="1">
      <alignment horizontal="center" vertical="center" wrapText="1"/>
    </xf>
    <xf numFmtId="6" fontId="21" fillId="0" borderId="38" xfId="3" applyNumberFormat="1" applyFont="1" applyBorder="1" applyAlignment="1">
      <alignment horizontal="center" vertical="center" wrapText="1"/>
    </xf>
    <xf numFmtId="164" fontId="19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3" fontId="19" fillId="0" borderId="0" xfId="0" applyNumberFormat="1" applyFont="1" applyAlignment="1">
      <alignment horizontal="center"/>
    </xf>
    <xf numFmtId="10" fontId="0" fillId="0" borderId="0" xfId="0" applyNumberFormat="1"/>
    <xf numFmtId="6" fontId="5" fillId="0" borderId="0" xfId="3" applyNumberFormat="1" applyAlignment="1">
      <alignment horizontal="center" vertical="center" wrapText="1"/>
    </xf>
    <xf numFmtId="0" fontId="1" fillId="0" borderId="0" xfId="0" applyFont="1" applyAlignment="1">
      <alignment wrapText="1"/>
    </xf>
    <xf numFmtId="0" fontId="23" fillId="0" borderId="2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51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2" fillId="0" borderId="55" xfId="0" applyFont="1" applyBorder="1" applyAlignment="1">
      <alignment vertical="center" wrapText="1"/>
    </xf>
    <xf numFmtId="0" fontId="2" fillId="0" borderId="56" xfId="0" applyFont="1" applyBorder="1" applyAlignment="1">
      <alignment vertical="center" wrapText="1"/>
    </xf>
    <xf numFmtId="0" fontId="2" fillId="0" borderId="57" xfId="0" applyFont="1" applyBorder="1" applyAlignment="1">
      <alignment vertical="center" wrapText="1"/>
    </xf>
    <xf numFmtId="0" fontId="2" fillId="0" borderId="58" xfId="0" applyFont="1" applyBorder="1" applyAlignment="1">
      <alignment vertical="center" wrapText="1"/>
    </xf>
    <xf numFmtId="0" fontId="2" fillId="0" borderId="59" xfId="0" applyFont="1" applyBorder="1" applyAlignment="1">
      <alignment vertical="center" wrapText="1"/>
    </xf>
    <xf numFmtId="0" fontId="2" fillId="0" borderId="60" xfId="0" applyFont="1" applyBorder="1" applyAlignment="1">
      <alignment vertical="center" wrapText="1"/>
    </xf>
    <xf numFmtId="0" fontId="2" fillId="0" borderId="61" xfId="0" applyFont="1" applyBorder="1" applyAlignment="1">
      <alignment vertical="center" wrapText="1"/>
    </xf>
    <xf numFmtId="0" fontId="2" fillId="0" borderId="62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0" fillId="0" borderId="55" xfId="0" applyBorder="1"/>
    <xf numFmtId="0" fontId="0" fillId="0" borderId="64" xfId="0" applyBorder="1"/>
    <xf numFmtId="0" fontId="2" fillId="0" borderId="65" xfId="0" applyFont="1" applyBorder="1" applyAlignment="1">
      <alignment vertical="center" wrapText="1"/>
    </xf>
    <xf numFmtId="0" fontId="2" fillId="0" borderId="66" xfId="0" applyFont="1" applyBorder="1" applyAlignment="1">
      <alignment vertical="center" wrapText="1"/>
    </xf>
    <xf numFmtId="3" fontId="19" fillId="0" borderId="67" xfId="0" applyNumberFormat="1" applyFont="1" applyBorder="1" applyAlignment="1">
      <alignment horizontal="center"/>
    </xf>
    <xf numFmtId="3" fontId="19" fillId="0" borderId="4" xfId="0" applyNumberFormat="1" applyFont="1" applyBorder="1" applyAlignment="1">
      <alignment horizontal="center"/>
    </xf>
    <xf numFmtId="3" fontId="21" fillId="0" borderId="4" xfId="0" applyNumberFormat="1" applyFont="1" applyBorder="1" applyAlignment="1">
      <alignment horizontal="center"/>
    </xf>
    <xf numFmtId="3" fontId="19" fillId="0" borderId="38" xfId="0" applyNumberFormat="1" applyFont="1" applyBorder="1" applyAlignment="1">
      <alignment horizontal="center"/>
    </xf>
    <xf numFmtId="1" fontId="1" fillId="0" borderId="67" xfId="3" applyNumberFormat="1" applyFont="1" applyBorder="1" applyAlignment="1">
      <alignment horizontal="center" vertical="center"/>
    </xf>
    <xf numFmtId="1" fontId="1" fillId="0" borderId="4" xfId="3" applyNumberFormat="1" applyFont="1" applyBorder="1" applyAlignment="1">
      <alignment horizontal="center" vertical="center"/>
    </xf>
    <xf numFmtId="1" fontId="1" fillId="0" borderId="38" xfId="3" applyNumberFormat="1" applyFont="1" applyBorder="1" applyAlignment="1">
      <alignment horizontal="center" vertical="center"/>
    </xf>
    <xf numFmtId="0" fontId="1" fillId="0" borderId="0" xfId="0" quotePrefix="1" applyFont="1"/>
    <xf numFmtId="0" fontId="1" fillId="5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 wrapText="1"/>
    </xf>
    <xf numFmtId="164" fontId="1" fillId="0" borderId="0" xfId="3" applyNumberFormat="1" applyFont="1" applyAlignment="1">
      <alignment horizontal="center" vertical="center"/>
    </xf>
    <xf numFmtId="164" fontId="21" fillId="0" borderId="0" xfId="3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6" fontId="24" fillId="0" borderId="37" xfId="3" applyNumberFormat="1" applyFont="1" applyBorder="1" applyAlignment="1">
      <alignment horizontal="center" vertical="center" wrapText="1"/>
    </xf>
    <xf numFmtId="164" fontId="1" fillId="0" borderId="68" xfId="3" applyNumberFormat="1" applyFont="1" applyBorder="1" applyAlignment="1">
      <alignment horizontal="center" vertical="center"/>
    </xf>
    <xf numFmtId="164" fontId="1" fillId="0" borderId="69" xfId="3" applyNumberFormat="1" applyFont="1" applyBorder="1" applyAlignment="1">
      <alignment horizontal="center" vertical="center"/>
    </xf>
    <xf numFmtId="164" fontId="1" fillId="0" borderId="70" xfId="3" applyNumberFormat="1" applyFont="1" applyBorder="1" applyAlignment="1">
      <alignment horizontal="center" vertical="center"/>
    </xf>
    <xf numFmtId="164" fontId="21" fillId="0" borderId="69" xfId="3" applyNumberFormat="1" applyFont="1" applyBorder="1" applyAlignment="1">
      <alignment horizontal="center" vertical="center"/>
    </xf>
    <xf numFmtId="164" fontId="19" fillId="0" borderId="69" xfId="0" applyNumberFormat="1" applyFont="1" applyBorder="1" applyAlignment="1">
      <alignment horizontal="center"/>
    </xf>
    <xf numFmtId="164" fontId="19" fillId="0" borderId="70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6" fontId="24" fillId="0" borderId="0" xfId="3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5" fillId="0" borderId="0" xfId="3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6" fontId="24" fillId="0" borderId="42" xfId="3" applyNumberFormat="1" applyFont="1" applyBorder="1" applyAlignment="1">
      <alignment horizontal="center" vertical="center" wrapText="1"/>
    </xf>
    <xf numFmtId="6" fontId="24" fillId="0" borderId="38" xfId="3" applyNumberFormat="1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" xfId="3" applyFont="1" applyBorder="1" applyAlignment="1">
      <alignment horizontal="center" vertical="center" wrapText="1"/>
    </xf>
    <xf numFmtId="0" fontId="23" fillId="3" borderId="41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7" xfId="0" applyFont="1" applyBorder="1" applyAlignment="1">
      <alignment horizontal="center" vertical="center" wrapText="1"/>
    </xf>
    <xf numFmtId="5" fontId="24" fillId="0" borderId="40" xfId="0" applyNumberFormat="1" applyFont="1" applyBorder="1" applyAlignment="1">
      <alignment horizontal="center" wrapText="1"/>
    </xf>
    <xf numFmtId="5" fontId="24" fillId="0" borderId="1" xfId="0" applyNumberFormat="1" applyFont="1" applyBorder="1" applyAlignment="1">
      <alignment horizontal="center" wrapText="1"/>
    </xf>
    <xf numFmtId="6" fontId="24" fillId="0" borderId="40" xfId="0" applyNumberFormat="1" applyFont="1" applyBorder="1" applyAlignment="1">
      <alignment horizontal="center" wrapText="1"/>
    </xf>
    <xf numFmtId="6" fontId="24" fillId="0" borderId="43" xfId="3" applyNumberFormat="1" applyFont="1" applyBorder="1" applyAlignment="1">
      <alignment horizontal="center" vertical="center" wrapText="1"/>
    </xf>
    <xf numFmtId="6" fontId="24" fillId="3" borderId="42" xfId="3" applyNumberFormat="1" applyFont="1" applyFill="1" applyBorder="1" applyAlignment="1">
      <alignment horizontal="center" vertical="center" wrapText="1"/>
    </xf>
    <xf numFmtId="6" fontId="24" fillId="0" borderId="4" xfId="0" applyNumberFormat="1" applyFont="1" applyBorder="1" applyAlignment="1">
      <alignment horizontal="center" wrapText="1"/>
    </xf>
    <xf numFmtId="6" fontId="24" fillId="3" borderId="37" xfId="3" applyNumberFormat="1" applyFont="1" applyFill="1" applyBorder="1" applyAlignment="1">
      <alignment horizontal="center" vertical="center" wrapText="1"/>
    </xf>
    <xf numFmtId="0" fontId="23" fillId="0" borderId="16" xfId="0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6" fontId="24" fillId="0" borderId="39" xfId="3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5" fontId="24" fillId="0" borderId="41" xfId="0" applyNumberFormat="1" applyFont="1" applyBorder="1" applyAlignment="1">
      <alignment horizontal="center" wrapText="1"/>
    </xf>
    <xf numFmtId="5" fontId="24" fillId="0" borderId="3" xfId="0" applyNumberFormat="1" applyFont="1" applyBorder="1" applyAlignment="1">
      <alignment horizontal="center" wrapText="1"/>
    </xf>
    <xf numFmtId="6" fontId="24" fillId="0" borderId="38" xfId="0" applyNumberFormat="1" applyFont="1" applyBorder="1" applyAlignment="1">
      <alignment horizontal="center" wrapText="1"/>
    </xf>
    <xf numFmtId="6" fontId="24" fillId="3" borderId="38" xfId="3" applyNumberFormat="1" applyFont="1" applyFill="1" applyBorder="1" applyAlignment="1">
      <alignment horizontal="center" vertical="center" wrapText="1"/>
    </xf>
    <xf numFmtId="3" fontId="22" fillId="0" borderId="67" xfId="0" applyNumberFormat="1" applyFont="1" applyBorder="1" applyAlignment="1">
      <alignment horizontal="center"/>
    </xf>
    <xf numFmtId="164" fontId="2" fillId="0" borderId="68" xfId="3" applyNumberFormat="1" applyFont="1" applyBorder="1" applyAlignment="1">
      <alignment horizontal="center" vertical="center"/>
    </xf>
    <xf numFmtId="3" fontId="22" fillId="0" borderId="4" xfId="0" applyNumberFormat="1" applyFont="1" applyBorder="1" applyAlignment="1">
      <alignment horizontal="center"/>
    </xf>
    <xf numFmtId="164" fontId="2" fillId="0" borderId="69" xfId="3" applyNumberFormat="1" applyFont="1" applyBorder="1" applyAlignment="1">
      <alignment horizontal="center" vertical="center"/>
    </xf>
    <xf numFmtId="0" fontId="2" fillId="0" borderId="55" xfId="0" applyFont="1" applyBorder="1"/>
    <xf numFmtId="164" fontId="22" fillId="0" borderId="69" xfId="0" applyNumberFormat="1" applyFont="1" applyBorder="1" applyAlignment="1">
      <alignment horizontal="center"/>
    </xf>
    <xf numFmtId="0" fontId="2" fillId="0" borderId="64" xfId="0" applyFont="1" applyBorder="1"/>
    <xf numFmtId="3" fontId="22" fillId="0" borderId="38" xfId="0" applyNumberFormat="1" applyFont="1" applyBorder="1" applyAlignment="1">
      <alignment horizontal="center"/>
    </xf>
    <xf numFmtId="164" fontId="22" fillId="0" borderId="70" xfId="0" applyNumberFormat="1" applyFont="1" applyBorder="1" applyAlignment="1">
      <alignment horizontal="center"/>
    </xf>
    <xf numFmtId="0" fontId="2" fillId="0" borderId="73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30" fillId="0" borderId="0" xfId="0" applyFont="1" applyAlignment="1">
      <alignment horizontal="left" vertical="center" readingOrder="1"/>
    </xf>
    <xf numFmtId="0" fontId="31" fillId="0" borderId="0" xfId="0" applyFont="1"/>
    <xf numFmtId="0" fontId="32" fillId="0" borderId="0" xfId="0" applyFont="1"/>
    <xf numFmtId="164" fontId="21" fillId="0" borderId="75" xfId="3" applyNumberFormat="1" applyFont="1" applyBorder="1" applyAlignment="1">
      <alignment horizontal="center" vertical="center"/>
    </xf>
    <xf numFmtId="164" fontId="21" fillId="0" borderId="44" xfId="3" applyNumberFormat="1" applyFont="1" applyBorder="1" applyAlignment="1">
      <alignment horizontal="center" vertical="center"/>
    </xf>
    <xf numFmtId="6" fontId="2" fillId="0" borderId="44" xfId="0" applyNumberFormat="1" applyFont="1" applyBorder="1" applyAlignment="1">
      <alignment horizontal="center"/>
    </xf>
    <xf numFmtId="164" fontId="1" fillId="0" borderId="74" xfId="3" applyNumberFormat="1" applyFont="1" applyBorder="1" applyAlignment="1">
      <alignment horizontal="center" vertical="center"/>
    </xf>
    <xf numFmtId="164" fontId="1" fillId="0" borderId="75" xfId="3" applyNumberFormat="1" applyFont="1" applyBorder="1" applyAlignment="1">
      <alignment horizontal="center" vertical="center"/>
    </xf>
    <xf numFmtId="164" fontId="19" fillId="0" borderId="75" xfId="0" applyNumberFormat="1" applyFont="1" applyBorder="1" applyAlignment="1">
      <alignment horizontal="center"/>
    </xf>
    <xf numFmtId="164" fontId="19" fillId="0" borderId="76" xfId="0" applyNumberFormat="1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Protection="1">
      <protection locked="0"/>
    </xf>
    <xf numFmtId="3" fontId="0" fillId="0" borderId="0" xfId="0" applyNumberFormat="1"/>
    <xf numFmtId="0" fontId="36" fillId="0" borderId="0" xfId="0" applyFont="1"/>
    <xf numFmtId="0" fontId="34" fillId="0" borderId="0" xfId="0" applyFont="1"/>
    <xf numFmtId="6" fontId="22" fillId="0" borderId="44" xfId="0" applyNumberFormat="1" applyFont="1" applyBorder="1" applyAlignment="1">
      <alignment horizontal="center"/>
    </xf>
    <xf numFmtId="0" fontId="0" fillId="0" borderId="44" xfId="0" applyBorder="1"/>
    <xf numFmtId="0" fontId="37" fillId="0" borderId="44" xfId="0" applyFont="1" applyBorder="1"/>
    <xf numFmtId="6" fontId="37" fillId="0" borderId="44" xfId="0" applyNumberFormat="1" applyFont="1" applyBorder="1"/>
    <xf numFmtId="0" fontId="37" fillId="0" borderId="44" xfId="0" applyFont="1" applyBorder="1" applyAlignment="1">
      <alignment wrapText="1"/>
    </xf>
    <xf numFmtId="164" fontId="37" fillId="0" borderId="44" xfId="0" applyNumberFormat="1" applyFont="1" applyBorder="1" applyAlignment="1">
      <alignment horizontal="center"/>
    </xf>
    <xf numFmtId="0" fontId="2" fillId="3" borderId="44" xfId="0" applyFont="1" applyFill="1" applyBorder="1"/>
    <xf numFmtId="0" fontId="32" fillId="3" borderId="44" xfId="0" applyFont="1" applyFill="1" applyBorder="1"/>
    <xf numFmtId="14" fontId="32" fillId="3" borderId="44" xfId="0" applyNumberFormat="1" applyFont="1" applyFill="1" applyBorder="1" applyAlignment="1">
      <alignment horizontal="center" wrapText="1"/>
    </xf>
    <xf numFmtId="6" fontId="37" fillId="0" borderId="44" xfId="0" applyNumberFormat="1" applyFont="1" applyBorder="1" applyAlignment="1">
      <alignment horizontal="center"/>
    </xf>
    <xf numFmtId="6" fontId="22" fillId="0" borderId="77" xfId="0" applyNumberFormat="1" applyFont="1" applyBorder="1" applyAlignment="1">
      <alignment horizontal="center"/>
    </xf>
    <xf numFmtId="6" fontId="2" fillId="0" borderId="77" xfId="0" applyNumberFormat="1" applyFont="1" applyBorder="1" applyAlignment="1">
      <alignment horizontal="center"/>
    </xf>
    <xf numFmtId="6" fontId="38" fillId="0" borderId="44" xfId="0" applyNumberFormat="1" applyFont="1" applyBorder="1" applyAlignment="1">
      <alignment horizontal="center" vertical="center" wrapText="1"/>
    </xf>
    <xf numFmtId="6" fontId="38" fillId="0" borderId="77" xfId="0" applyNumberFormat="1" applyFont="1" applyBorder="1" applyAlignment="1">
      <alignment horizontal="center" vertical="center" wrapText="1"/>
    </xf>
    <xf numFmtId="6" fontId="30" fillId="0" borderId="77" xfId="0" applyNumberFormat="1" applyFont="1" applyBorder="1" applyAlignment="1">
      <alignment horizontal="center" vertical="center"/>
    </xf>
    <xf numFmtId="164" fontId="21" fillId="0" borderId="77" xfId="3" applyNumberFormat="1" applyFont="1" applyBorder="1" applyAlignment="1">
      <alignment horizontal="center" vertical="center"/>
    </xf>
    <xf numFmtId="6" fontId="2" fillId="0" borderId="44" xfId="0" applyNumberFormat="1" applyFont="1" applyBorder="1"/>
    <xf numFmtId="164" fontId="21" fillId="0" borderId="44" xfId="3" applyNumberFormat="1" applyFont="1" applyBorder="1" applyAlignment="1">
      <alignment horizontal="right" vertical="center"/>
    </xf>
    <xf numFmtId="6" fontId="2" fillId="0" borderId="44" xfId="0" applyNumberFormat="1" applyFont="1" applyBorder="1" applyAlignment="1">
      <alignment horizontal="right"/>
    </xf>
    <xf numFmtId="0" fontId="39" fillId="0" borderId="0" xfId="0" applyFont="1"/>
    <xf numFmtId="0" fontId="16" fillId="0" borderId="0" xfId="0" applyFont="1"/>
    <xf numFmtId="0" fontId="2" fillId="0" borderId="0" xfId="0" applyFont="1"/>
    <xf numFmtId="3" fontId="22" fillId="6" borderId="4" xfId="0" applyNumberFormat="1" applyFont="1" applyFill="1" applyBorder="1" applyAlignment="1">
      <alignment horizontal="center"/>
    </xf>
    <xf numFmtId="6" fontId="2" fillId="6" borderId="44" xfId="0" applyNumberFormat="1" applyFont="1" applyFill="1" applyBorder="1" applyAlignment="1">
      <alignment horizontal="center"/>
    </xf>
    <xf numFmtId="6" fontId="2" fillId="6" borderId="77" xfId="0" applyNumberFormat="1" applyFont="1" applyFill="1" applyBorder="1" applyAlignment="1">
      <alignment horizontal="center"/>
    </xf>
    <xf numFmtId="6" fontId="30" fillId="6" borderId="77" xfId="0" applyNumberFormat="1" applyFont="1" applyFill="1" applyBorder="1" applyAlignment="1">
      <alignment horizontal="center" vertical="center"/>
    </xf>
    <xf numFmtId="6" fontId="2" fillId="6" borderId="44" xfId="0" applyNumberFormat="1" applyFont="1" applyFill="1" applyBorder="1"/>
    <xf numFmtId="0" fontId="0" fillId="6" borderId="0" xfId="0" applyFill="1"/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4" fontId="22" fillId="0" borderId="45" xfId="0" applyNumberFormat="1" applyFont="1" applyBorder="1" applyAlignment="1">
      <alignment horizontal="center" vertical="center" wrapText="1"/>
    </xf>
    <xf numFmtId="164" fontId="22" fillId="0" borderId="43" xfId="0" applyNumberFormat="1" applyFont="1" applyBorder="1" applyAlignment="1">
      <alignment horizontal="center" vertical="center" wrapText="1"/>
    </xf>
    <xf numFmtId="164" fontId="22" fillId="0" borderId="41" xfId="0" applyNumberFormat="1" applyFont="1" applyBorder="1" applyAlignment="1">
      <alignment horizontal="center" vertical="center" wrapText="1"/>
    </xf>
    <xf numFmtId="164" fontId="22" fillId="0" borderId="49" xfId="0" applyNumberFormat="1" applyFont="1" applyBorder="1" applyAlignment="1">
      <alignment horizontal="center" vertical="center" wrapText="1"/>
    </xf>
    <xf numFmtId="164" fontId="22" fillId="0" borderId="46" xfId="0" applyNumberFormat="1" applyFont="1" applyBorder="1" applyAlignment="1">
      <alignment horizontal="center" vertical="center" wrapText="1"/>
    </xf>
    <xf numFmtId="164" fontId="22" fillId="0" borderId="50" xfId="0" applyNumberFormat="1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2" fillId="0" borderId="44" xfId="0" applyNumberFormat="1" applyFont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164" fontId="22" fillId="0" borderId="48" xfId="0" applyNumberFormat="1" applyFont="1" applyBorder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 readingOrder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 vertical="center" wrapText="1"/>
    </xf>
    <xf numFmtId="0" fontId="23" fillId="2" borderId="36" xfId="0" applyFont="1" applyFill="1" applyBorder="1" applyAlignment="1">
      <alignment horizontal="center" vertical="center" wrapText="1"/>
    </xf>
    <xf numFmtId="0" fontId="23" fillId="2" borderId="32" xfId="0" applyFont="1" applyFill="1" applyBorder="1" applyAlignment="1">
      <alignment horizontal="center" vertical="center" wrapText="1"/>
    </xf>
    <xf numFmtId="0" fontId="23" fillId="2" borderId="33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0" xfId="3" applyFont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62</xdr:row>
      <xdr:rowOff>0</xdr:rowOff>
    </xdr:from>
    <xdr:to>
      <xdr:col>13</xdr:col>
      <xdr:colOff>0</xdr:colOff>
      <xdr:row>62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105025" y="12363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 2007/08 pay award for Chief Officers pending</a:t>
          </a:r>
          <a:endParaRPr lang="en-GB"/>
        </a:p>
      </xdr:txBody>
    </xdr:sp>
    <xdr:clientData/>
  </xdr:twoCellAnchor>
  <xdr:twoCellAnchor>
    <xdr:from>
      <xdr:col>15</xdr:col>
      <xdr:colOff>66675</xdr:colOff>
      <xdr:row>6</xdr:row>
      <xdr:rowOff>85725</xdr:rowOff>
    </xdr:from>
    <xdr:to>
      <xdr:col>15</xdr:col>
      <xdr:colOff>523876</xdr:colOff>
      <xdr:row>59</xdr:row>
      <xdr:rowOff>114300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105025" y="2495550"/>
          <a:ext cx="0" cy="9420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3400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54864" tIns="41148" rIns="54864" bIns="41148" anchor="ctr" upright="1"/>
        <a:lstStyle/>
        <a:p>
          <a:pPr algn="ctr" rtl="0">
            <a:defRPr sz="1000"/>
          </a:pP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NO PAY AWARD  2010-2012</a:t>
          </a:r>
          <a:endParaRPr lang="en-GB"/>
        </a:p>
      </xdr:txBody>
    </xdr:sp>
    <xdr:clientData/>
  </xdr:twoCellAnchor>
  <xdr:twoCellAnchor>
    <xdr:from>
      <xdr:col>5</xdr:col>
      <xdr:colOff>47625</xdr:colOff>
      <xdr:row>62</xdr:row>
      <xdr:rowOff>123826</xdr:rowOff>
    </xdr:from>
    <xdr:to>
      <xdr:col>37</xdr:col>
      <xdr:colOff>657225</xdr:colOff>
      <xdr:row>74</xdr:row>
      <xdr:rowOff>57151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14325" y="12487276"/>
          <a:ext cx="13830300" cy="2190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Notes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* indicates that the spinal point is not used under the terms of Croydon's Single Status Collective Agreement and/or because of introduction of the new pay spine with effect from 1 April 2019.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Between 1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 April 2007 and 31 March 2019:</a:t>
          </a:r>
          <a:endParaRPr lang="en-GB" sz="1000">
            <a:effectLst/>
            <a:latin typeface="Arial" pitchFamily="34" charset="0"/>
            <a:cs typeface="Arial" pitchFamily="34" charset="0"/>
          </a:endParaRPr>
        </a:p>
        <a:p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a) Croydon salaries for scp 's 50-53 align to 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GLPC Outer London pay spine scps 51-54 respectively </a:t>
          </a:r>
          <a:endParaRPr lang="en-GB" sz="1000">
            <a:effectLst/>
            <a:latin typeface="Arial" pitchFamily="34" charset="0"/>
            <a:cs typeface="Arial" pitchFamily="34" charset="0"/>
          </a:endParaRPr>
        </a:p>
        <a:p>
          <a:pPr eaLnBrk="1" fontAlgn="auto" latinLnBrk="0" hangingPunct="1"/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b) Croydon salaries for scp's  55-57 </a:t>
          </a:r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align to 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GLPC Outer London pay spine scps 57-59 respectively.</a:t>
          </a:r>
        </a:p>
        <a:p>
          <a:pPr eaLnBrk="1" fontAlgn="auto" latinLnBrk="0" hangingPunct="1"/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c) Spinal column points 14, 18, 22, 50 &amp; 54 not used in accordance with Croydon's Single Status Collective Agreement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eaLnBrk="1" fontAlgn="auto" latinLnBrk="0" hangingPunct="1"/>
          <a:r>
            <a:rPr lang="en-GB" sz="1000" b="0" i="0" u="none" strike="noStrike" baseline="0">
              <a:solidFill>
                <a:srgbClr val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Spinal point 4 deleted w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ith effect from 1 October 2013 (as </a:t>
          </a:r>
          <a:r>
            <a:rPr lang="en-GB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part of NJC 2013-14 pay settlement)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. 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eaLnBrk="1" fontAlgn="auto" latinLnBrk="0" hangingPunct="1"/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Spinal point 5 deleted with effect from 1 October 2015 (as part of NJC 2014-16 pay settlement) 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62</xdr:row>
      <xdr:rowOff>0</xdr:rowOff>
    </xdr:from>
    <xdr:to>
      <xdr:col>13</xdr:col>
      <xdr:colOff>0</xdr:colOff>
      <xdr:row>62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2105025" y="12363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 2007/08 pay award for Chief Officers pending</a:t>
          </a:r>
          <a:endParaRPr lang="en-GB"/>
        </a:p>
      </xdr:txBody>
    </xdr:sp>
    <xdr:clientData/>
  </xdr:twoCellAnchor>
  <xdr:twoCellAnchor>
    <xdr:from>
      <xdr:col>15</xdr:col>
      <xdr:colOff>66675</xdr:colOff>
      <xdr:row>6</xdr:row>
      <xdr:rowOff>85725</xdr:rowOff>
    </xdr:from>
    <xdr:to>
      <xdr:col>15</xdr:col>
      <xdr:colOff>523876</xdr:colOff>
      <xdr:row>59</xdr:row>
      <xdr:rowOff>114300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2105025" y="2495550"/>
          <a:ext cx="0" cy="9420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3400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54864" tIns="41148" rIns="54864" bIns="41148" anchor="ctr" upright="1"/>
        <a:lstStyle/>
        <a:p>
          <a:pPr algn="ctr" rtl="0">
            <a:defRPr sz="1000"/>
          </a:pP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NO PAY AWARD  2010-2012</a:t>
          </a:r>
          <a:endParaRPr lang="en-GB"/>
        </a:p>
      </xdr:txBody>
    </xdr:sp>
    <xdr:clientData/>
  </xdr:twoCellAnchor>
  <xdr:twoCellAnchor>
    <xdr:from>
      <xdr:col>5</xdr:col>
      <xdr:colOff>47625</xdr:colOff>
      <xdr:row>62</xdr:row>
      <xdr:rowOff>123826</xdr:rowOff>
    </xdr:from>
    <xdr:to>
      <xdr:col>36</xdr:col>
      <xdr:colOff>657225</xdr:colOff>
      <xdr:row>74</xdr:row>
      <xdr:rowOff>57151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314325" y="12487276"/>
          <a:ext cx="13830300" cy="2190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Notes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* indicates that the spinal point is not used under the terms of Croydon's Single Status Collective Agreement and/or because of introduction of the new pay spine with effect from 1 April 2019.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Between 1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 April 2007 and 31 March 2019:</a:t>
          </a:r>
          <a:endParaRPr lang="en-GB" sz="1000">
            <a:effectLst/>
            <a:latin typeface="Arial" pitchFamily="34" charset="0"/>
            <a:cs typeface="Arial" pitchFamily="34" charset="0"/>
          </a:endParaRPr>
        </a:p>
        <a:p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a) Croydon salaries for scp 's 50-53 align to 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GLPC Outer London pay spine scps 51-54 respectively </a:t>
          </a:r>
          <a:endParaRPr lang="en-GB" sz="1000">
            <a:effectLst/>
            <a:latin typeface="Arial" pitchFamily="34" charset="0"/>
            <a:cs typeface="Arial" pitchFamily="34" charset="0"/>
          </a:endParaRPr>
        </a:p>
        <a:p>
          <a:pPr eaLnBrk="1" fontAlgn="auto" latinLnBrk="0" hangingPunct="1"/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b) Croydon salaries for scp's  55-57 </a:t>
          </a:r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align to 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GLPC Outer London pay spine scps 57-59 respectively.</a:t>
          </a:r>
        </a:p>
        <a:p>
          <a:pPr eaLnBrk="1" fontAlgn="auto" latinLnBrk="0" hangingPunct="1"/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c) Spinal column points 14, 18, 22, 50 &amp; 54 not used in accordance with Croydon's Single Status Collective Agreement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eaLnBrk="1" fontAlgn="auto" latinLnBrk="0" hangingPunct="1"/>
          <a:r>
            <a:rPr lang="en-GB" sz="1000" b="0" i="0" u="none" strike="noStrike" baseline="0">
              <a:solidFill>
                <a:srgbClr val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Spinal point 4 deleted w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ith effect from 1 October 2013 (as </a:t>
          </a:r>
          <a:r>
            <a:rPr lang="en-GB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part of NJC 2013-14 pay settlement)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. 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eaLnBrk="1" fontAlgn="auto" latinLnBrk="0" hangingPunct="1"/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Spinal point 5 deleted with effect from 1 October 2015 (as part of NJC 2014-16 pay settlement) 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62</xdr:row>
      <xdr:rowOff>0</xdr:rowOff>
    </xdr:from>
    <xdr:to>
      <xdr:col>13</xdr:col>
      <xdr:colOff>0</xdr:colOff>
      <xdr:row>62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2105025" y="12363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 2007/08 pay award for Chief Officers pending</a:t>
          </a:r>
          <a:endParaRPr lang="en-GB"/>
        </a:p>
      </xdr:txBody>
    </xdr:sp>
    <xdr:clientData/>
  </xdr:twoCellAnchor>
  <xdr:twoCellAnchor>
    <xdr:from>
      <xdr:col>15</xdr:col>
      <xdr:colOff>66675</xdr:colOff>
      <xdr:row>6</xdr:row>
      <xdr:rowOff>85725</xdr:rowOff>
    </xdr:from>
    <xdr:to>
      <xdr:col>15</xdr:col>
      <xdr:colOff>523876</xdr:colOff>
      <xdr:row>59</xdr:row>
      <xdr:rowOff>114300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2105025" y="2495550"/>
          <a:ext cx="0" cy="9420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3400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54864" tIns="41148" rIns="54864" bIns="41148" anchor="ctr" upright="1"/>
        <a:lstStyle/>
        <a:p>
          <a:pPr algn="ctr" rtl="0">
            <a:defRPr sz="1000"/>
          </a:pP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NO PAY AWARD  2010-2012</a:t>
          </a:r>
          <a:endParaRPr lang="en-GB"/>
        </a:p>
      </xdr:txBody>
    </xdr:sp>
    <xdr:clientData/>
  </xdr:twoCellAnchor>
  <xdr:twoCellAnchor>
    <xdr:from>
      <xdr:col>5</xdr:col>
      <xdr:colOff>47625</xdr:colOff>
      <xdr:row>62</xdr:row>
      <xdr:rowOff>123826</xdr:rowOff>
    </xdr:from>
    <xdr:to>
      <xdr:col>27</xdr:col>
      <xdr:colOff>657225</xdr:colOff>
      <xdr:row>74</xdr:row>
      <xdr:rowOff>57151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314325" y="12487276"/>
          <a:ext cx="9391650" cy="2190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Notes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* indicates that the spinal point is not used under the terms of Croydon's Single Status Collective.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Between 1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 April 2007 and 31 March 2019:</a:t>
          </a:r>
          <a:endParaRPr lang="en-GB" sz="1000">
            <a:effectLst/>
            <a:latin typeface="Arial" pitchFamily="34" charset="0"/>
            <a:cs typeface="Arial" pitchFamily="34" charset="0"/>
          </a:endParaRPr>
        </a:p>
        <a:p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a) Croydon salaries for scp 's 50-53 align to 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GLPC Outer London pay spine scps 51-54 respectively </a:t>
          </a:r>
          <a:endParaRPr lang="en-GB" sz="1000">
            <a:effectLst/>
            <a:latin typeface="Arial" pitchFamily="34" charset="0"/>
            <a:cs typeface="Arial" pitchFamily="34" charset="0"/>
          </a:endParaRPr>
        </a:p>
        <a:p>
          <a:pPr eaLnBrk="1" fontAlgn="auto" latinLnBrk="0" hangingPunct="1"/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b) Croydon salaries for scp's  55-57 </a:t>
          </a:r>
          <a:r>
            <a:rPr lang="en-GB" sz="1000">
              <a:effectLst/>
              <a:latin typeface="Arial" pitchFamily="34" charset="0"/>
              <a:ea typeface="+mn-ea"/>
              <a:cs typeface="Arial" pitchFamily="34" charset="0"/>
            </a:rPr>
            <a:t>align to </a:t>
          </a:r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GLPC Outer London pay spine scps 57-59 respectively.</a:t>
          </a:r>
        </a:p>
        <a:p>
          <a:pPr eaLnBrk="1" fontAlgn="auto" latinLnBrk="0" hangingPunct="1"/>
          <a:r>
            <a:rPr lang="en-GB" sz="1000" baseline="0">
              <a:effectLst/>
              <a:latin typeface="Arial" pitchFamily="34" charset="0"/>
              <a:ea typeface="+mn-ea"/>
              <a:cs typeface="Arial" pitchFamily="34" charset="0"/>
            </a:rPr>
            <a:t>c) Spinal column points 14, 18, 22, 50 &amp; 54 not used in accordance with Croydon's Single Status Collective Agreement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eaLnBrk="1" fontAlgn="auto" latinLnBrk="0" hangingPunct="1"/>
          <a:r>
            <a:rPr lang="en-GB" sz="1000" b="0" i="0" u="none" strike="noStrike" baseline="0">
              <a:solidFill>
                <a:srgbClr val="000000"/>
              </a:solidFill>
              <a:effectLst/>
              <a:latin typeface="Arial" pitchFamily="34" charset="0"/>
              <a:ea typeface="+mn-ea"/>
              <a:cs typeface="Arial" pitchFamily="34" charset="0"/>
            </a:rPr>
            <a:t>Spinal point 4 deleted w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ith effect from 1 October 2013 (as </a:t>
          </a:r>
          <a:r>
            <a:rPr lang="en-GB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part of NJC 2013-14 pay settlement)</a:t>
          </a:r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. 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eaLnBrk="1" fontAlgn="auto" latinLnBrk="0" hangingPunct="1"/>
          <a:r>
            <a:rPr lang="en-GB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Spinal point 5 deleted with effect from 1 October 2015 (as part of NJC 2014-16 pay settlement) </a:t>
          </a:r>
        </a:p>
        <a:p>
          <a:pPr eaLnBrk="1" fontAlgn="auto" latinLnBrk="0" hangingPunct="1"/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X73"/>
  <sheetViews>
    <sheetView zoomScaleNormal="100" workbookViewId="0">
      <selection activeCell="X3" sqref="X3"/>
    </sheetView>
  </sheetViews>
  <sheetFormatPr defaultRowHeight="12.75" x14ac:dyDescent="0.2"/>
  <cols>
    <col min="1" max="1" width="1.85546875" customWidth="1"/>
    <col min="2" max="2" width="9.140625" style="1" hidden="1" customWidth="1"/>
    <col min="3" max="3" width="3.140625" style="1" hidden="1" customWidth="1"/>
    <col min="4" max="4" width="9.140625" style="1" hidden="1" customWidth="1"/>
    <col min="5" max="5" width="2.140625" style="1" customWidth="1"/>
    <col min="6" max="7" width="9.140625" style="1"/>
    <col min="8" max="8" width="9.140625" style="1" customWidth="1"/>
    <col min="9" max="11" width="10.85546875" style="1" hidden="1" customWidth="1"/>
    <col min="12" max="14" width="9.140625" hidden="1" customWidth="1"/>
    <col min="15" max="15" width="10.85546875" hidden="1" customWidth="1"/>
    <col min="16" max="16" width="8.140625" hidden="1" customWidth="1"/>
    <col min="17" max="17" width="10.85546875" style="15" hidden="1" customWidth="1"/>
    <col min="18" max="21" width="10.85546875" hidden="1" customWidth="1"/>
    <col min="22" max="24" width="11.140625" customWidth="1"/>
    <col min="25" max="25" width="9.85546875" customWidth="1"/>
    <col min="26" max="29" width="11.140625" customWidth="1"/>
    <col min="30" max="30" width="10.85546875" customWidth="1"/>
    <col min="31" max="31" width="10" customWidth="1"/>
    <col min="32" max="33" width="11.140625" customWidth="1"/>
    <col min="34" max="34" width="5.85546875" customWidth="1"/>
    <col min="35" max="35" width="11.140625" customWidth="1"/>
    <col min="36" max="36" width="10.42578125" customWidth="1"/>
    <col min="37" max="39" width="11.140625" customWidth="1"/>
    <col min="40" max="40" width="9.140625" customWidth="1"/>
  </cols>
  <sheetData>
    <row r="1" spans="2:50" ht="44.25" customHeight="1" x14ac:dyDescent="0.35">
      <c r="C1" s="16"/>
      <c r="D1" s="16"/>
      <c r="E1" s="16"/>
      <c r="F1" s="234" t="s">
        <v>56</v>
      </c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111"/>
      <c r="AE1" s="111"/>
      <c r="AF1" s="111"/>
      <c r="AG1" s="111"/>
      <c r="AH1" s="111"/>
      <c r="AI1" s="111"/>
      <c r="AJ1" s="111"/>
      <c r="AK1" s="111"/>
      <c r="AL1" s="111"/>
      <c r="AM1" s="95"/>
    </row>
    <row r="2" spans="2:50" ht="7.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</row>
    <row r="3" spans="2:50" ht="16.5" customHeight="1" x14ac:dyDescent="0.2">
      <c r="C3" s="20"/>
      <c r="D3" s="20"/>
      <c r="E3" s="20"/>
      <c r="F3" s="235" t="s">
        <v>75</v>
      </c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112"/>
      <c r="Z3" s="236" t="s">
        <v>76</v>
      </c>
      <c r="AA3" s="236"/>
      <c r="AB3" s="236"/>
      <c r="AC3" s="236"/>
      <c r="AD3" s="99"/>
      <c r="AE3" s="236" t="s">
        <v>77</v>
      </c>
      <c r="AF3" s="236"/>
      <c r="AG3" s="236"/>
      <c r="AH3" s="99"/>
    </row>
    <row r="4" spans="2:50" ht="16.5" customHeight="1" x14ac:dyDescent="0.2">
      <c r="C4" s="20"/>
      <c r="D4" s="20"/>
      <c r="E4" s="20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112"/>
      <c r="Z4" s="236"/>
      <c r="AA4" s="236"/>
      <c r="AB4" s="236"/>
      <c r="AC4" s="236"/>
      <c r="AD4" s="99"/>
      <c r="AE4" s="236"/>
      <c r="AF4" s="236"/>
      <c r="AG4" s="236"/>
      <c r="AH4" s="99"/>
      <c r="AM4" s="99"/>
    </row>
    <row r="5" spans="2:50" ht="27" customHeight="1" thickBot="1" x14ac:dyDescent="0.25">
      <c r="B5" s="108"/>
      <c r="C5" s="108"/>
      <c r="D5" s="108"/>
      <c r="E5" s="108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112"/>
      <c r="Z5" s="237"/>
      <c r="AA5" s="237"/>
      <c r="AB5" s="237"/>
      <c r="AC5" s="237"/>
      <c r="AD5" s="99"/>
      <c r="AE5" s="237"/>
      <c r="AF5" s="237"/>
      <c r="AG5" s="237"/>
      <c r="AH5" s="99"/>
      <c r="AM5" s="99"/>
      <c r="AT5" s="238"/>
      <c r="AU5" s="239"/>
    </row>
    <row r="6" spans="2:50" ht="78" customHeight="1" thickBot="1" x14ac:dyDescent="0.25">
      <c r="B6" s="225" t="s">
        <v>57</v>
      </c>
      <c r="C6" s="226"/>
      <c r="D6" s="227"/>
      <c r="E6" s="4"/>
      <c r="F6" s="228" t="s">
        <v>58</v>
      </c>
      <c r="G6" s="229"/>
      <c r="H6" s="22" t="s">
        <v>0</v>
      </c>
      <c r="I6" s="24" t="s">
        <v>1</v>
      </c>
      <c r="J6" s="24" t="s">
        <v>2</v>
      </c>
      <c r="K6" s="24" t="s">
        <v>3</v>
      </c>
      <c r="L6" s="23" t="s">
        <v>20</v>
      </c>
      <c r="M6" s="24" t="s">
        <v>21</v>
      </c>
      <c r="N6" s="24" t="s">
        <v>47</v>
      </c>
      <c r="O6" s="25" t="s">
        <v>49</v>
      </c>
      <c r="P6" s="25" t="s">
        <v>50</v>
      </c>
      <c r="Q6" s="25" t="s">
        <v>48</v>
      </c>
      <c r="R6" s="25" t="s">
        <v>53</v>
      </c>
      <c r="S6" s="26" t="s">
        <v>52</v>
      </c>
      <c r="T6" s="26" t="s">
        <v>51</v>
      </c>
      <c r="U6" s="54" t="s">
        <v>54</v>
      </c>
      <c r="V6" s="55" t="s">
        <v>72</v>
      </c>
      <c r="W6" s="100" t="s">
        <v>74</v>
      </c>
      <c r="X6" s="109"/>
      <c r="Y6" s="109"/>
      <c r="Z6" s="212" t="s">
        <v>62</v>
      </c>
      <c r="AA6" s="230"/>
      <c r="AB6" s="215" t="s">
        <v>60</v>
      </c>
      <c r="AC6" s="218" t="s">
        <v>73</v>
      </c>
      <c r="AD6" s="96"/>
      <c r="AE6" s="212" t="s">
        <v>61</v>
      </c>
      <c r="AF6" s="215" t="s">
        <v>60</v>
      </c>
      <c r="AG6" s="218" t="s">
        <v>73</v>
      </c>
      <c r="AH6" s="96"/>
      <c r="AM6" s="96"/>
      <c r="AN6" s="60"/>
      <c r="AO6" s="64"/>
      <c r="AP6" s="64"/>
      <c r="AT6" s="93"/>
      <c r="AU6" s="93"/>
      <c r="AW6" s="93"/>
      <c r="AX6" s="93"/>
    </row>
    <row r="7" spans="2:50" ht="15.75" customHeight="1" thickBot="1" x14ac:dyDescent="0.25">
      <c r="B7" s="196" t="s">
        <v>4</v>
      </c>
      <c r="C7" s="40"/>
      <c r="D7" s="41"/>
      <c r="E7" s="52"/>
      <c r="F7" s="6"/>
      <c r="G7" s="10"/>
      <c r="H7" s="17" t="s">
        <v>40</v>
      </c>
      <c r="I7" s="27">
        <v>12438</v>
      </c>
      <c r="J7" s="27">
        <v>12780</v>
      </c>
      <c r="K7" s="27">
        <v>13158</v>
      </c>
      <c r="L7" s="18">
        <v>13545</v>
      </c>
      <c r="M7" s="27">
        <v>14010</v>
      </c>
      <c r="N7" s="27">
        <v>14517</v>
      </c>
      <c r="O7" s="28">
        <v>14697</v>
      </c>
      <c r="P7" s="28"/>
      <c r="Q7" s="28">
        <v>14844</v>
      </c>
      <c r="R7" s="28" t="s">
        <v>46</v>
      </c>
      <c r="S7" s="29" t="s">
        <v>46</v>
      </c>
      <c r="T7" s="29" t="s">
        <v>46</v>
      </c>
      <c r="U7" s="37" t="s">
        <v>46</v>
      </c>
      <c r="V7" s="56" t="s">
        <v>46</v>
      </c>
      <c r="W7" s="53" t="s">
        <v>46</v>
      </c>
      <c r="X7" s="63"/>
      <c r="Y7" s="63"/>
      <c r="Z7" s="213"/>
      <c r="AA7" s="231"/>
      <c r="AB7" s="216"/>
      <c r="AC7" s="219"/>
      <c r="AD7" s="96"/>
      <c r="AE7" s="213"/>
      <c r="AF7" s="216"/>
      <c r="AG7" s="219"/>
      <c r="AH7" s="96"/>
      <c r="AM7" s="96"/>
      <c r="AT7" s="94"/>
      <c r="AU7" s="94"/>
      <c r="AW7" s="94"/>
      <c r="AX7" s="94"/>
    </row>
    <row r="8" spans="2:50" ht="12.75" customHeight="1" thickBot="1" x14ac:dyDescent="0.25">
      <c r="B8" s="196"/>
      <c r="C8" s="40"/>
      <c r="D8" s="41"/>
      <c r="E8" s="52"/>
      <c r="F8" s="198" t="s">
        <v>22</v>
      </c>
      <c r="G8" s="10"/>
      <c r="H8" s="13" t="s">
        <v>55</v>
      </c>
      <c r="I8" s="30">
        <v>12654</v>
      </c>
      <c r="J8" s="30">
        <v>13002</v>
      </c>
      <c r="K8" s="30">
        <v>13386</v>
      </c>
      <c r="L8" s="2">
        <v>13782</v>
      </c>
      <c r="M8" s="30">
        <v>14124</v>
      </c>
      <c r="N8" s="30">
        <v>14631</v>
      </c>
      <c r="O8" s="31">
        <v>14814</v>
      </c>
      <c r="P8" s="31"/>
      <c r="Q8" s="31">
        <v>14961</v>
      </c>
      <c r="R8" s="31">
        <v>16242</v>
      </c>
      <c r="S8" s="32">
        <v>325</v>
      </c>
      <c r="T8" s="32">
        <v>0</v>
      </c>
      <c r="U8" s="38" t="s">
        <v>46</v>
      </c>
      <c r="V8" s="57" t="s">
        <v>46</v>
      </c>
      <c r="W8" s="32" t="s">
        <v>46</v>
      </c>
      <c r="X8" s="63"/>
      <c r="Y8" s="63"/>
      <c r="Z8" s="214"/>
      <c r="AA8" s="232"/>
      <c r="AB8" s="217"/>
      <c r="AC8" s="220"/>
      <c r="AD8" s="96"/>
      <c r="AE8" s="214"/>
      <c r="AF8" s="217"/>
      <c r="AG8" s="220"/>
      <c r="AH8" s="96"/>
      <c r="AM8" s="96"/>
      <c r="AT8" s="94"/>
      <c r="AU8" s="94"/>
      <c r="AW8" s="94"/>
      <c r="AX8" s="94"/>
    </row>
    <row r="9" spans="2:50" ht="13.5" thickBot="1" x14ac:dyDescent="0.25">
      <c r="B9" s="196"/>
      <c r="C9" s="40"/>
      <c r="D9" s="41"/>
      <c r="E9" s="52"/>
      <c r="F9" s="200"/>
      <c r="G9" s="11"/>
      <c r="H9" s="13">
        <v>6</v>
      </c>
      <c r="I9" s="30">
        <v>12765</v>
      </c>
      <c r="J9" s="30">
        <v>13116</v>
      </c>
      <c r="K9" s="30">
        <v>13503</v>
      </c>
      <c r="L9" s="2">
        <v>13902</v>
      </c>
      <c r="M9" s="30">
        <v>14247</v>
      </c>
      <c r="N9" s="30">
        <v>14757</v>
      </c>
      <c r="O9" s="31">
        <v>14940</v>
      </c>
      <c r="P9" s="31"/>
      <c r="Q9" s="31">
        <v>15090</v>
      </c>
      <c r="R9" s="31">
        <v>16287</v>
      </c>
      <c r="S9" s="32">
        <v>325</v>
      </c>
      <c r="T9" s="32">
        <v>0</v>
      </c>
      <c r="U9" s="38">
        <v>17364</v>
      </c>
      <c r="V9" s="57">
        <v>17961</v>
      </c>
      <c r="W9" s="32">
        <v>19611</v>
      </c>
      <c r="X9" s="63"/>
      <c r="Y9" s="63"/>
      <c r="Z9" s="66" t="s">
        <v>22</v>
      </c>
      <c r="AA9" s="202" t="s">
        <v>23</v>
      </c>
      <c r="AB9" s="85">
        <v>1</v>
      </c>
      <c r="AC9" s="102">
        <v>20103</v>
      </c>
      <c r="AD9" s="97"/>
      <c r="AE9" s="13">
        <v>6</v>
      </c>
      <c r="AF9" s="89">
        <v>1</v>
      </c>
      <c r="AG9" s="102">
        <v>20103</v>
      </c>
      <c r="AH9" s="97"/>
      <c r="AM9" s="97"/>
      <c r="AN9" s="62"/>
      <c r="AT9" s="94"/>
      <c r="AU9" s="94"/>
      <c r="AW9" s="94"/>
      <c r="AX9" s="94"/>
    </row>
    <row r="10" spans="2:50" ht="12.75" customHeight="1" thickBot="1" x14ac:dyDescent="0.25">
      <c r="B10" s="196"/>
      <c r="C10" s="40"/>
      <c r="D10" s="41"/>
      <c r="E10" s="52"/>
      <c r="F10" s="7"/>
      <c r="G10" s="207" t="s">
        <v>23</v>
      </c>
      <c r="H10" s="13">
        <v>7</v>
      </c>
      <c r="I10" s="30">
        <v>13107</v>
      </c>
      <c r="J10" s="30">
        <v>13467</v>
      </c>
      <c r="K10" s="30">
        <v>13863</v>
      </c>
      <c r="L10" s="2">
        <v>14271</v>
      </c>
      <c r="M10" s="30">
        <v>14625</v>
      </c>
      <c r="N10" s="30">
        <v>15027</v>
      </c>
      <c r="O10" s="31">
        <v>15216</v>
      </c>
      <c r="P10" s="31"/>
      <c r="Q10" s="31">
        <v>15369</v>
      </c>
      <c r="R10" s="31">
        <v>16320</v>
      </c>
      <c r="S10" s="32">
        <v>325</v>
      </c>
      <c r="T10" s="32">
        <v>0</v>
      </c>
      <c r="U10" s="38">
        <v>17391</v>
      </c>
      <c r="V10" s="57">
        <v>17985</v>
      </c>
      <c r="W10" s="32">
        <v>19635</v>
      </c>
      <c r="X10" s="63"/>
      <c r="Y10" s="63"/>
      <c r="Z10" s="222" t="s">
        <v>59</v>
      </c>
      <c r="AA10" s="221"/>
      <c r="AB10" s="86">
        <v>2</v>
      </c>
      <c r="AC10" s="103">
        <v>20466</v>
      </c>
      <c r="AD10" s="97"/>
      <c r="AE10" s="13">
        <v>7</v>
      </c>
      <c r="AF10" s="90">
        <v>1</v>
      </c>
      <c r="AG10" s="103">
        <v>20103</v>
      </c>
      <c r="AH10" s="97"/>
      <c r="AM10" s="97"/>
      <c r="AN10" s="62"/>
      <c r="AT10" s="94"/>
      <c r="AU10" s="94"/>
      <c r="AW10" s="94"/>
      <c r="AX10" s="94"/>
    </row>
    <row r="11" spans="2:50" ht="13.5" thickBot="1" x14ac:dyDescent="0.25">
      <c r="B11" s="196"/>
      <c r="C11" s="40"/>
      <c r="D11" s="41"/>
      <c r="E11" s="52"/>
      <c r="F11" s="8"/>
      <c r="G11" s="211"/>
      <c r="H11" s="13">
        <v>8</v>
      </c>
      <c r="I11" s="30">
        <v>13449</v>
      </c>
      <c r="J11" s="30">
        <v>13818</v>
      </c>
      <c r="K11" s="30">
        <v>14226</v>
      </c>
      <c r="L11" s="2">
        <v>14646</v>
      </c>
      <c r="M11" s="30">
        <v>15009</v>
      </c>
      <c r="N11" s="30">
        <v>15423</v>
      </c>
      <c r="O11" s="31">
        <v>15615</v>
      </c>
      <c r="P11" s="31"/>
      <c r="Q11" s="31">
        <v>15771</v>
      </c>
      <c r="R11" s="31">
        <v>16422</v>
      </c>
      <c r="S11" s="32">
        <v>150</v>
      </c>
      <c r="T11" s="32">
        <v>0</v>
      </c>
      <c r="U11" s="38">
        <v>17487</v>
      </c>
      <c r="V11" s="57">
        <v>18051</v>
      </c>
      <c r="W11" s="32">
        <v>19701</v>
      </c>
      <c r="X11" s="63"/>
      <c r="Y11" s="63"/>
      <c r="Z11" s="223"/>
      <c r="AA11" s="224" t="s">
        <v>25</v>
      </c>
      <c r="AB11" s="86">
        <v>3</v>
      </c>
      <c r="AC11" s="103">
        <v>20835</v>
      </c>
      <c r="AD11" s="97"/>
      <c r="AE11" s="13">
        <v>8</v>
      </c>
      <c r="AF11" s="90">
        <v>2</v>
      </c>
      <c r="AG11" s="103">
        <v>20466</v>
      </c>
      <c r="AH11" s="97"/>
      <c r="AM11" s="97"/>
      <c r="AN11" s="62"/>
      <c r="AT11" s="94"/>
      <c r="AU11" s="94"/>
      <c r="AW11" s="94"/>
      <c r="AX11" s="94"/>
    </row>
    <row r="12" spans="2:50" ht="13.5" thickBot="1" x14ac:dyDescent="0.25">
      <c r="B12" s="196"/>
      <c r="C12" s="40"/>
      <c r="D12" s="41"/>
      <c r="E12" s="52"/>
      <c r="F12" s="198" t="s">
        <v>24</v>
      </c>
      <c r="G12" s="10"/>
      <c r="H12" s="13">
        <v>9</v>
      </c>
      <c r="I12" s="30">
        <v>13788</v>
      </c>
      <c r="J12" s="30">
        <v>14166</v>
      </c>
      <c r="K12" s="30">
        <v>14583</v>
      </c>
      <c r="L12" s="2">
        <v>15012</v>
      </c>
      <c r="M12" s="30">
        <v>15384</v>
      </c>
      <c r="N12" s="30">
        <v>15807</v>
      </c>
      <c r="O12" s="31">
        <v>16005</v>
      </c>
      <c r="P12" s="31"/>
      <c r="Q12" s="31">
        <v>16164</v>
      </c>
      <c r="R12" s="31">
        <v>16575</v>
      </c>
      <c r="S12" s="32">
        <v>150</v>
      </c>
      <c r="T12" s="32">
        <v>0</v>
      </c>
      <c r="U12" s="38">
        <v>17634</v>
      </c>
      <c r="V12" s="57">
        <v>18105</v>
      </c>
      <c r="W12" s="32">
        <v>19755</v>
      </c>
      <c r="X12" s="63"/>
      <c r="Y12" s="63"/>
      <c r="Z12" s="67"/>
      <c r="AA12" s="211"/>
      <c r="AB12" s="86">
        <v>4</v>
      </c>
      <c r="AC12" s="103">
        <v>21210</v>
      </c>
      <c r="AD12" s="97"/>
      <c r="AE12" s="13">
        <v>9</v>
      </c>
      <c r="AF12" s="90">
        <v>2</v>
      </c>
      <c r="AG12" s="103">
        <v>20466</v>
      </c>
      <c r="AH12" s="97"/>
      <c r="AM12" s="97"/>
      <c r="AN12" s="62"/>
      <c r="AT12" s="94"/>
      <c r="AU12" s="94"/>
      <c r="AW12" s="94"/>
      <c r="AX12" s="94"/>
    </row>
    <row r="13" spans="2:50" ht="13.5" thickBot="1" x14ac:dyDescent="0.25">
      <c r="B13" s="196"/>
      <c r="C13" s="40"/>
      <c r="D13" s="41"/>
      <c r="E13" s="52"/>
      <c r="F13" s="199"/>
      <c r="G13" s="11"/>
      <c r="H13" s="13">
        <v>10</v>
      </c>
      <c r="I13" s="30">
        <v>14028</v>
      </c>
      <c r="J13" s="30">
        <v>14415</v>
      </c>
      <c r="K13" s="30">
        <v>14841</v>
      </c>
      <c r="L13" s="2">
        <v>15279</v>
      </c>
      <c r="M13" s="30">
        <v>15657</v>
      </c>
      <c r="N13" s="30">
        <v>16089</v>
      </c>
      <c r="O13" s="31">
        <v>16290</v>
      </c>
      <c r="P13" s="31"/>
      <c r="Q13" s="31">
        <v>16452</v>
      </c>
      <c r="R13" s="31">
        <v>16833</v>
      </c>
      <c r="S13" s="32">
        <v>150</v>
      </c>
      <c r="T13" s="32">
        <v>0</v>
      </c>
      <c r="U13" s="38">
        <v>17889</v>
      </c>
      <c r="V13" s="57">
        <v>18330</v>
      </c>
      <c r="W13" s="32">
        <v>19881</v>
      </c>
      <c r="X13" s="63"/>
      <c r="Y13" s="63"/>
      <c r="Z13" s="198" t="s">
        <v>26</v>
      </c>
      <c r="AA13" s="68"/>
      <c r="AB13" s="86">
        <v>5</v>
      </c>
      <c r="AC13" s="103">
        <v>21591</v>
      </c>
      <c r="AD13" s="97"/>
      <c r="AE13" s="13">
        <v>10</v>
      </c>
      <c r="AF13" s="90">
        <v>3</v>
      </c>
      <c r="AG13" s="103">
        <v>20835</v>
      </c>
      <c r="AH13" s="97"/>
      <c r="AM13" s="97"/>
      <c r="AN13" s="62"/>
      <c r="AT13" s="94"/>
      <c r="AU13" s="94"/>
      <c r="AW13" s="94"/>
      <c r="AX13" s="94"/>
    </row>
    <row r="14" spans="2:50" ht="13.5" customHeight="1" thickBot="1" x14ac:dyDescent="0.25">
      <c r="B14" s="197"/>
      <c r="C14" s="42"/>
      <c r="D14" s="204" t="s">
        <v>5</v>
      </c>
      <c r="E14" s="52"/>
      <c r="F14" s="200"/>
      <c r="G14" s="207" t="s">
        <v>25</v>
      </c>
      <c r="H14" s="13">
        <v>11</v>
      </c>
      <c r="I14" s="30">
        <v>14232</v>
      </c>
      <c r="J14" s="30">
        <v>14622</v>
      </c>
      <c r="K14" s="30">
        <v>15054</v>
      </c>
      <c r="L14" s="2">
        <v>15498</v>
      </c>
      <c r="M14" s="30">
        <v>15882</v>
      </c>
      <c r="N14" s="30">
        <v>16320</v>
      </c>
      <c r="O14" s="31">
        <v>16482</v>
      </c>
      <c r="P14" s="31"/>
      <c r="Q14" s="31">
        <v>16647</v>
      </c>
      <c r="R14" s="31">
        <v>17013</v>
      </c>
      <c r="S14" s="32">
        <v>100</v>
      </c>
      <c r="T14" s="32">
        <v>0</v>
      </c>
      <c r="U14" s="38">
        <v>17935</v>
      </c>
      <c r="V14" s="57">
        <v>18357</v>
      </c>
      <c r="W14" s="32">
        <v>19896</v>
      </c>
      <c r="X14" s="63"/>
      <c r="Y14" s="63"/>
      <c r="Z14" s="233"/>
      <c r="AA14" s="69"/>
      <c r="AB14" s="86">
        <v>6</v>
      </c>
      <c r="AC14" s="103">
        <v>21981</v>
      </c>
      <c r="AD14" s="97"/>
      <c r="AE14" s="13">
        <v>11</v>
      </c>
      <c r="AF14" s="90">
        <v>3</v>
      </c>
      <c r="AG14" s="103">
        <v>20835</v>
      </c>
      <c r="AH14" s="97"/>
      <c r="AM14" s="97"/>
      <c r="AN14" s="62"/>
      <c r="AT14" s="94"/>
      <c r="AU14" s="94"/>
      <c r="AW14" s="94"/>
      <c r="AX14" s="94"/>
    </row>
    <row r="15" spans="2:50" ht="13.5" thickBot="1" x14ac:dyDescent="0.25">
      <c r="B15" s="43"/>
      <c r="C15" s="44"/>
      <c r="D15" s="205"/>
      <c r="E15" s="52"/>
      <c r="F15" s="7"/>
      <c r="G15" s="208"/>
      <c r="H15" s="13">
        <v>12</v>
      </c>
      <c r="I15" s="30">
        <v>14502</v>
      </c>
      <c r="J15" s="30">
        <v>14901</v>
      </c>
      <c r="K15" s="30">
        <v>15342</v>
      </c>
      <c r="L15" s="2">
        <v>15795</v>
      </c>
      <c r="M15" s="30">
        <v>16185</v>
      </c>
      <c r="N15" s="30">
        <v>16629</v>
      </c>
      <c r="O15" s="31">
        <v>16794</v>
      </c>
      <c r="P15" s="31"/>
      <c r="Q15" s="31">
        <v>16962</v>
      </c>
      <c r="R15" s="31">
        <v>17334</v>
      </c>
      <c r="S15" s="32">
        <v>100</v>
      </c>
      <c r="T15" s="32">
        <v>0</v>
      </c>
      <c r="U15" s="38">
        <v>17981</v>
      </c>
      <c r="V15" s="57">
        <v>18375</v>
      </c>
      <c r="W15" s="32">
        <v>19914</v>
      </c>
      <c r="X15" s="63"/>
      <c r="Y15" s="63"/>
      <c r="Z15" s="73"/>
      <c r="AA15" s="70"/>
      <c r="AB15" s="87" t="s">
        <v>67</v>
      </c>
      <c r="AC15" s="105">
        <v>22377</v>
      </c>
      <c r="AD15" s="98"/>
      <c r="AE15" s="13">
        <v>12</v>
      </c>
      <c r="AF15" s="90">
        <v>4</v>
      </c>
      <c r="AG15" s="103">
        <v>21210</v>
      </c>
      <c r="AH15" s="97"/>
      <c r="AM15" s="97"/>
      <c r="AN15" s="62"/>
      <c r="AT15" s="94"/>
      <c r="AU15" s="94"/>
      <c r="AW15" s="94"/>
      <c r="AX15" s="94"/>
    </row>
    <row r="16" spans="2:50" ht="13.5" thickBot="1" x14ac:dyDescent="0.25">
      <c r="B16" s="43"/>
      <c r="C16" s="44"/>
      <c r="D16" s="210"/>
      <c r="E16" s="52"/>
      <c r="F16" s="7"/>
      <c r="G16" s="211"/>
      <c r="H16" s="13">
        <v>13</v>
      </c>
      <c r="I16" s="30">
        <v>14850</v>
      </c>
      <c r="J16" s="30">
        <v>15258</v>
      </c>
      <c r="K16" s="30">
        <v>15708</v>
      </c>
      <c r="L16" s="2">
        <v>16170</v>
      </c>
      <c r="M16" s="30">
        <v>16569</v>
      </c>
      <c r="N16" s="30">
        <v>17025</v>
      </c>
      <c r="O16" s="31">
        <v>17196</v>
      </c>
      <c r="P16" s="31"/>
      <c r="Q16" s="31">
        <v>17367</v>
      </c>
      <c r="R16" s="31">
        <v>17748</v>
      </c>
      <c r="S16" s="32">
        <v>100</v>
      </c>
      <c r="T16" s="32">
        <v>0</v>
      </c>
      <c r="U16" s="38">
        <v>18027</v>
      </c>
      <c r="V16" s="57">
        <v>18396</v>
      </c>
      <c r="W16" s="32">
        <v>19935</v>
      </c>
      <c r="X16" s="63"/>
      <c r="Y16" s="63"/>
      <c r="Z16" s="74"/>
      <c r="AA16" s="201" t="s">
        <v>27</v>
      </c>
      <c r="AB16" s="86">
        <v>8</v>
      </c>
      <c r="AC16" s="103">
        <v>22779</v>
      </c>
      <c r="AD16" s="97"/>
      <c r="AE16" s="13">
        <v>13</v>
      </c>
      <c r="AF16" s="90">
        <v>4</v>
      </c>
      <c r="AG16" s="103">
        <v>21210</v>
      </c>
      <c r="AH16" s="97"/>
      <c r="AM16" s="97"/>
      <c r="AN16" s="62"/>
      <c r="AT16" s="94"/>
      <c r="AU16" s="94"/>
      <c r="AW16" s="94"/>
      <c r="AX16" s="94"/>
    </row>
    <row r="17" spans="2:50" ht="13.5" thickBot="1" x14ac:dyDescent="0.25">
      <c r="B17" s="195" t="s">
        <v>6</v>
      </c>
      <c r="C17" s="40"/>
      <c r="D17" s="41"/>
      <c r="E17" s="52"/>
      <c r="F17" s="8"/>
      <c r="G17" s="10"/>
      <c r="H17" s="13" t="s">
        <v>41</v>
      </c>
      <c r="I17" s="30">
        <v>15096</v>
      </c>
      <c r="J17" s="30">
        <v>15510</v>
      </c>
      <c r="K17" s="30">
        <v>15969</v>
      </c>
      <c r="L17" s="2">
        <v>16440</v>
      </c>
      <c r="M17" s="30">
        <v>16848</v>
      </c>
      <c r="N17" s="30">
        <v>17310</v>
      </c>
      <c r="O17" s="31">
        <v>17484</v>
      </c>
      <c r="P17" s="31"/>
      <c r="Q17" s="31">
        <v>17658</v>
      </c>
      <c r="R17" s="31">
        <v>18045</v>
      </c>
      <c r="S17" s="32">
        <v>100</v>
      </c>
      <c r="T17" s="32">
        <v>0</v>
      </c>
      <c r="U17" s="38">
        <v>18324</v>
      </c>
      <c r="V17" s="57">
        <v>18657</v>
      </c>
      <c r="W17" s="101">
        <v>20007</v>
      </c>
      <c r="X17" s="110"/>
      <c r="Y17" s="110"/>
      <c r="Z17" s="74"/>
      <c r="AA17" s="202"/>
      <c r="AB17" s="86">
        <v>9</v>
      </c>
      <c r="AC17" s="103">
        <v>23187</v>
      </c>
      <c r="AD17" s="97"/>
      <c r="AE17" s="13" t="s">
        <v>41</v>
      </c>
      <c r="AF17" s="90">
        <v>5</v>
      </c>
      <c r="AG17" s="103">
        <v>21591</v>
      </c>
      <c r="AH17" s="97"/>
      <c r="AM17" s="97"/>
      <c r="AN17" s="62"/>
      <c r="AT17" s="94"/>
      <c r="AU17" s="94"/>
      <c r="AW17" s="94"/>
      <c r="AX17" s="94"/>
    </row>
    <row r="18" spans="2:50" ht="13.5" thickBot="1" x14ac:dyDescent="0.25">
      <c r="B18" s="196"/>
      <c r="C18" s="40"/>
      <c r="D18" s="41"/>
      <c r="E18" s="52"/>
      <c r="F18" s="198" t="s">
        <v>26</v>
      </c>
      <c r="G18" s="10"/>
      <c r="H18" s="13">
        <v>15</v>
      </c>
      <c r="I18" s="30">
        <v>15378</v>
      </c>
      <c r="J18" s="30">
        <v>15801</v>
      </c>
      <c r="K18" s="30">
        <v>16266</v>
      </c>
      <c r="L18" s="2">
        <v>16746</v>
      </c>
      <c r="M18" s="30">
        <v>17160</v>
      </c>
      <c r="N18" s="30">
        <v>17631</v>
      </c>
      <c r="O18" s="31">
        <v>17808</v>
      </c>
      <c r="P18" s="31"/>
      <c r="Q18" s="31">
        <v>17985</v>
      </c>
      <c r="R18" s="31">
        <v>18381</v>
      </c>
      <c r="S18" s="32">
        <v>100</v>
      </c>
      <c r="T18" s="32">
        <v>0</v>
      </c>
      <c r="U18" s="38">
        <v>18603</v>
      </c>
      <c r="V18" s="57">
        <v>18936</v>
      </c>
      <c r="W18" s="32">
        <v>20136</v>
      </c>
      <c r="X18" s="63"/>
      <c r="Y18" s="63"/>
      <c r="Z18" s="74"/>
      <c r="AA18" s="203"/>
      <c r="AB18" s="86">
        <v>10</v>
      </c>
      <c r="AC18" s="103">
        <v>23607</v>
      </c>
      <c r="AD18" s="97"/>
      <c r="AE18" s="13">
        <v>15</v>
      </c>
      <c r="AF18" s="90">
        <v>5</v>
      </c>
      <c r="AG18" s="103">
        <v>21591</v>
      </c>
      <c r="AH18" s="97"/>
      <c r="AM18" s="97"/>
      <c r="AN18" s="62"/>
      <c r="AT18" s="94"/>
      <c r="AU18" s="94"/>
      <c r="AW18" s="94"/>
      <c r="AX18" s="94"/>
    </row>
    <row r="19" spans="2:50" x14ac:dyDescent="0.2">
      <c r="B19" s="196"/>
      <c r="C19" s="40"/>
      <c r="D19" s="41"/>
      <c r="E19" s="52"/>
      <c r="F19" s="199"/>
      <c r="G19" s="10"/>
      <c r="H19" s="13">
        <v>16</v>
      </c>
      <c r="I19" s="30">
        <v>15711</v>
      </c>
      <c r="J19" s="30">
        <v>16143</v>
      </c>
      <c r="K19" s="30">
        <v>16620</v>
      </c>
      <c r="L19" s="2">
        <v>17109</v>
      </c>
      <c r="M19" s="30">
        <v>17532</v>
      </c>
      <c r="N19" s="30">
        <v>18015</v>
      </c>
      <c r="O19" s="31">
        <v>18195</v>
      </c>
      <c r="P19" s="31"/>
      <c r="Q19" s="31">
        <v>18378</v>
      </c>
      <c r="R19" s="31">
        <v>18783</v>
      </c>
      <c r="S19" s="32">
        <v>100</v>
      </c>
      <c r="T19" s="32">
        <v>0</v>
      </c>
      <c r="U19" s="38">
        <v>19005</v>
      </c>
      <c r="V19" s="57">
        <v>19281</v>
      </c>
      <c r="W19" s="32">
        <v>20181</v>
      </c>
      <c r="X19" s="63"/>
      <c r="Y19" s="63"/>
      <c r="Z19" s="74"/>
      <c r="AA19" s="68"/>
      <c r="AB19" s="87" t="s">
        <v>63</v>
      </c>
      <c r="AC19" s="105">
        <v>24030</v>
      </c>
      <c r="AD19" s="98"/>
      <c r="AE19" s="13">
        <v>16</v>
      </c>
      <c r="AF19" s="90">
        <v>6</v>
      </c>
      <c r="AG19" s="103">
        <v>21981</v>
      </c>
      <c r="AH19" s="97"/>
      <c r="AM19" s="98"/>
      <c r="AN19" s="62"/>
      <c r="AT19" s="94"/>
      <c r="AU19" s="94"/>
      <c r="AW19" s="94"/>
      <c r="AX19" s="94"/>
    </row>
    <row r="20" spans="2:50" ht="13.5" thickBot="1" x14ac:dyDescent="0.25">
      <c r="B20" s="197"/>
      <c r="C20" s="40"/>
      <c r="D20" s="45"/>
      <c r="E20" s="52"/>
      <c r="F20" s="200"/>
      <c r="G20" s="10"/>
      <c r="H20" s="13">
        <v>17</v>
      </c>
      <c r="I20" s="30">
        <v>16047</v>
      </c>
      <c r="J20" s="30">
        <v>16488</v>
      </c>
      <c r="K20" s="30">
        <v>16974</v>
      </c>
      <c r="L20" s="2">
        <v>17475</v>
      </c>
      <c r="M20" s="30">
        <v>17907</v>
      </c>
      <c r="N20" s="30">
        <v>18399</v>
      </c>
      <c r="O20" s="31">
        <v>18582</v>
      </c>
      <c r="P20" s="31"/>
      <c r="Q20" s="31">
        <v>18768</v>
      </c>
      <c r="R20" s="31">
        <v>19182</v>
      </c>
      <c r="S20" s="32">
        <v>100</v>
      </c>
      <c r="T20" s="32">
        <v>0</v>
      </c>
      <c r="U20" s="38">
        <v>19374</v>
      </c>
      <c r="V20" s="57">
        <v>19623</v>
      </c>
      <c r="W20" s="32">
        <v>20472</v>
      </c>
      <c r="X20" s="63"/>
      <c r="Y20" s="63"/>
      <c r="Z20" s="74"/>
      <c r="AA20" s="70"/>
      <c r="AB20" s="87" t="s">
        <v>64</v>
      </c>
      <c r="AC20" s="105">
        <v>24462</v>
      </c>
      <c r="AD20" s="98"/>
      <c r="AE20" s="13">
        <v>17</v>
      </c>
      <c r="AF20" s="90">
        <v>6</v>
      </c>
      <c r="AG20" s="103">
        <v>21981</v>
      </c>
      <c r="AH20" s="97"/>
      <c r="AM20" s="98"/>
      <c r="AN20" s="62"/>
      <c r="AT20" s="94"/>
      <c r="AU20" s="94"/>
      <c r="AW20" s="94"/>
      <c r="AX20" s="94"/>
    </row>
    <row r="21" spans="2:50" ht="14.25" customHeight="1" thickBot="1" x14ac:dyDescent="0.25">
      <c r="B21" s="43"/>
      <c r="C21" s="44"/>
      <c r="D21" s="204" t="s">
        <v>7</v>
      </c>
      <c r="E21" s="52"/>
      <c r="F21" s="7"/>
      <c r="G21" s="11"/>
      <c r="H21" s="13" t="s">
        <v>42</v>
      </c>
      <c r="I21" s="30">
        <v>16332</v>
      </c>
      <c r="J21" s="30">
        <v>16782</v>
      </c>
      <c r="K21" s="30">
        <v>17277</v>
      </c>
      <c r="L21" s="2">
        <v>17787</v>
      </c>
      <c r="M21" s="30">
        <v>18228</v>
      </c>
      <c r="N21" s="30">
        <v>18729</v>
      </c>
      <c r="O21" s="31">
        <v>18915</v>
      </c>
      <c r="P21" s="31"/>
      <c r="Q21" s="31">
        <v>19104</v>
      </c>
      <c r="R21" s="31">
        <v>19524</v>
      </c>
      <c r="S21" s="32">
        <v>100</v>
      </c>
      <c r="T21" s="32">
        <v>0</v>
      </c>
      <c r="U21" s="38">
        <v>19719</v>
      </c>
      <c r="V21" s="57">
        <v>19917</v>
      </c>
      <c r="W21" s="101">
        <v>20667</v>
      </c>
      <c r="X21" s="110"/>
      <c r="Y21" s="110"/>
      <c r="Z21" s="75"/>
      <c r="AA21" s="201" t="s">
        <v>28</v>
      </c>
      <c r="AB21" s="86">
        <v>13</v>
      </c>
      <c r="AC21" s="103">
        <v>24903</v>
      </c>
      <c r="AD21" s="97"/>
      <c r="AE21" s="13" t="s">
        <v>42</v>
      </c>
      <c r="AF21" s="90">
        <v>7</v>
      </c>
      <c r="AG21" s="103">
        <v>22377</v>
      </c>
      <c r="AH21" s="97"/>
      <c r="AM21" s="97"/>
      <c r="AN21" s="62"/>
      <c r="AT21" s="94"/>
      <c r="AU21" s="94"/>
      <c r="AW21" s="94"/>
      <c r="AX21" s="94"/>
    </row>
    <row r="22" spans="2:50" x14ac:dyDescent="0.2">
      <c r="B22" s="43"/>
      <c r="C22" s="44"/>
      <c r="D22" s="205"/>
      <c r="E22" s="52"/>
      <c r="F22" s="7"/>
      <c r="G22" s="207" t="s">
        <v>27</v>
      </c>
      <c r="H22" s="13">
        <v>19</v>
      </c>
      <c r="I22" s="30">
        <v>16887</v>
      </c>
      <c r="J22" s="30">
        <v>17352</v>
      </c>
      <c r="K22" s="30">
        <v>17865</v>
      </c>
      <c r="L22" s="2">
        <v>18393</v>
      </c>
      <c r="M22" s="30">
        <v>18849</v>
      </c>
      <c r="N22" s="30">
        <v>19368</v>
      </c>
      <c r="O22" s="31">
        <v>19563</v>
      </c>
      <c r="P22" s="31"/>
      <c r="Q22" s="31">
        <v>19758</v>
      </c>
      <c r="R22" s="31">
        <v>20193</v>
      </c>
      <c r="S22" s="32">
        <v>100</v>
      </c>
      <c r="T22" s="32">
        <v>0</v>
      </c>
      <c r="U22" s="38">
        <v>20394</v>
      </c>
      <c r="V22" s="57">
        <v>20598</v>
      </c>
      <c r="W22" s="32">
        <v>21198</v>
      </c>
      <c r="X22" s="63"/>
      <c r="Y22" s="63"/>
      <c r="Z22" s="75"/>
      <c r="AA22" s="202"/>
      <c r="AB22" s="86">
        <v>14</v>
      </c>
      <c r="AC22" s="103">
        <v>25353</v>
      </c>
      <c r="AD22" s="97"/>
      <c r="AE22" s="13">
        <v>19</v>
      </c>
      <c r="AF22" s="90">
        <v>8</v>
      </c>
      <c r="AG22" s="103">
        <v>22779</v>
      </c>
      <c r="AH22" s="97"/>
      <c r="AM22" s="97"/>
      <c r="AN22" s="62"/>
      <c r="AT22" s="94"/>
      <c r="AU22" s="94"/>
      <c r="AW22" s="94"/>
      <c r="AX22" s="94"/>
    </row>
    <row r="23" spans="2:50" ht="13.5" thickBot="1" x14ac:dyDescent="0.25">
      <c r="B23" s="43"/>
      <c r="C23" s="44"/>
      <c r="D23" s="205"/>
      <c r="E23" s="52"/>
      <c r="F23" s="7"/>
      <c r="G23" s="208"/>
      <c r="H23" s="13">
        <v>20</v>
      </c>
      <c r="I23" s="30">
        <v>17448</v>
      </c>
      <c r="J23" s="30">
        <v>17928</v>
      </c>
      <c r="K23" s="30">
        <v>18456</v>
      </c>
      <c r="L23" s="2">
        <v>18999</v>
      </c>
      <c r="M23" s="30">
        <v>19470</v>
      </c>
      <c r="N23" s="30">
        <v>20004</v>
      </c>
      <c r="O23" s="31">
        <v>20205</v>
      </c>
      <c r="P23" s="31"/>
      <c r="Q23" s="31">
        <v>20406</v>
      </c>
      <c r="R23" s="31">
        <v>20856</v>
      </c>
      <c r="S23" s="32">
        <v>100</v>
      </c>
      <c r="T23" s="32">
        <v>0</v>
      </c>
      <c r="U23" s="38">
        <v>21066</v>
      </c>
      <c r="V23" s="57">
        <v>21276</v>
      </c>
      <c r="W23" s="32">
        <v>21702</v>
      </c>
      <c r="X23" s="63"/>
      <c r="Y23" s="63"/>
      <c r="Z23" s="75"/>
      <c r="AA23" s="203"/>
      <c r="AB23" s="86">
        <v>15</v>
      </c>
      <c r="AC23" s="103">
        <v>25809</v>
      </c>
      <c r="AD23" s="97"/>
      <c r="AE23" s="13">
        <v>20</v>
      </c>
      <c r="AF23" s="90">
        <v>9</v>
      </c>
      <c r="AG23" s="103">
        <v>23187</v>
      </c>
      <c r="AH23" s="97"/>
      <c r="AM23" s="97"/>
      <c r="AN23" s="62"/>
      <c r="AT23" s="94"/>
      <c r="AU23" s="94"/>
      <c r="AW23" s="94"/>
      <c r="AX23" s="94"/>
    </row>
    <row r="24" spans="2:50" ht="13.5" thickBot="1" x14ac:dyDescent="0.25">
      <c r="B24" s="43"/>
      <c r="C24" s="44"/>
      <c r="D24" s="210"/>
      <c r="E24" s="52"/>
      <c r="F24" s="7"/>
      <c r="G24" s="211"/>
      <c r="H24" s="13">
        <v>21</v>
      </c>
      <c r="I24" s="30">
        <v>18027</v>
      </c>
      <c r="J24" s="30">
        <v>18522</v>
      </c>
      <c r="K24" s="30">
        <v>19068</v>
      </c>
      <c r="L24" s="2">
        <v>19632</v>
      </c>
      <c r="M24" s="30">
        <v>20118</v>
      </c>
      <c r="N24" s="30">
        <v>20670</v>
      </c>
      <c r="O24" s="31">
        <v>20877</v>
      </c>
      <c r="P24" s="31"/>
      <c r="Q24" s="31">
        <v>21087</v>
      </c>
      <c r="R24" s="31">
        <v>21552</v>
      </c>
      <c r="S24" s="32">
        <v>100</v>
      </c>
      <c r="T24" s="32">
        <v>0</v>
      </c>
      <c r="U24" s="38">
        <v>21768</v>
      </c>
      <c r="V24" s="57">
        <v>21984</v>
      </c>
      <c r="W24" s="32">
        <v>22425</v>
      </c>
      <c r="X24" s="63"/>
      <c r="Y24" s="63"/>
      <c r="Z24" s="74"/>
      <c r="AA24" s="68"/>
      <c r="AB24" s="87" t="s">
        <v>65</v>
      </c>
      <c r="AC24" s="105">
        <v>26274</v>
      </c>
      <c r="AD24" s="98"/>
      <c r="AE24" s="13">
        <v>21</v>
      </c>
      <c r="AF24" s="90">
        <v>10</v>
      </c>
      <c r="AG24" s="103">
        <v>23607</v>
      </c>
      <c r="AH24" s="97"/>
      <c r="AM24" s="98"/>
      <c r="AN24" s="62"/>
      <c r="AT24" s="94"/>
      <c r="AU24" s="94"/>
      <c r="AW24" s="94"/>
      <c r="AX24" s="94"/>
    </row>
    <row r="25" spans="2:50" ht="14.25" customHeight="1" thickBot="1" x14ac:dyDescent="0.25">
      <c r="B25" s="195" t="s">
        <v>8</v>
      </c>
      <c r="C25" s="46"/>
      <c r="D25" s="47"/>
      <c r="E25" s="52"/>
      <c r="F25" s="8"/>
      <c r="G25" s="10"/>
      <c r="H25" s="13" t="s">
        <v>43</v>
      </c>
      <c r="I25" s="30">
        <v>18456</v>
      </c>
      <c r="J25" s="30">
        <v>18963</v>
      </c>
      <c r="K25" s="30">
        <v>19521</v>
      </c>
      <c r="L25" s="2">
        <v>20097</v>
      </c>
      <c r="M25" s="30">
        <v>20595</v>
      </c>
      <c r="N25" s="30">
        <v>21162</v>
      </c>
      <c r="O25" s="31">
        <v>21375</v>
      </c>
      <c r="P25" s="31"/>
      <c r="Q25" s="31">
        <v>21588</v>
      </c>
      <c r="R25" s="31">
        <v>22062</v>
      </c>
      <c r="S25" s="32">
        <v>100</v>
      </c>
      <c r="T25" s="32">
        <v>0</v>
      </c>
      <c r="U25" s="38">
        <v>22284</v>
      </c>
      <c r="V25" s="57">
        <v>22506</v>
      </c>
      <c r="W25" s="101">
        <v>22956</v>
      </c>
      <c r="X25" s="110"/>
      <c r="Y25" s="110"/>
      <c r="Z25" s="74"/>
      <c r="AA25" s="70"/>
      <c r="AB25" s="87" t="s">
        <v>66</v>
      </c>
      <c r="AC25" s="105">
        <v>26745</v>
      </c>
      <c r="AD25" s="98"/>
      <c r="AE25" s="13" t="s">
        <v>43</v>
      </c>
      <c r="AF25" s="90">
        <v>12</v>
      </c>
      <c r="AG25" s="103">
        <v>24462</v>
      </c>
      <c r="AH25" s="97"/>
      <c r="AM25" s="98"/>
      <c r="AN25" s="62"/>
    </row>
    <row r="26" spans="2:50" x14ac:dyDescent="0.2">
      <c r="B26" s="196"/>
      <c r="C26" s="46"/>
      <c r="D26" s="47"/>
      <c r="E26" s="52"/>
      <c r="F26" s="198" t="s">
        <v>28</v>
      </c>
      <c r="G26" s="10"/>
      <c r="H26" s="13">
        <v>23</v>
      </c>
      <c r="I26" s="30">
        <v>18954</v>
      </c>
      <c r="J26" s="30">
        <v>19476</v>
      </c>
      <c r="K26" s="30">
        <v>20052</v>
      </c>
      <c r="L26" s="2">
        <v>20643</v>
      </c>
      <c r="M26" s="30">
        <v>21153</v>
      </c>
      <c r="N26" s="30">
        <v>21735</v>
      </c>
      <c r="O26" s="31">
        <v>21951</v>
      </c>
      <c r="P26" s="31"/>
      <c r="Q26" s="31">
        <v>22170</v>
      </c>
      <c r="R26" s="31">
        <v>22659</v>
      </c>
      <c r="S26" s="32">
        <v>100</v>
      </c>
      <c r="T26" s="32">
        <v>0</v>
      </c>
      <c r="U26" s="38">
        <v>22887</v>
      </c>
      <c r="V26" s="57">
        <v>23115</v>
      </c>
      <c r="W26" s="32">
        <v>23577</v>
      </c>
      <c r="X26" s="63"/>
      <c r="Y26" s="63"/>
      <c r="Z26" s="74"/>
      <c r="AA26" s="201" t="s">
        <v>29</v>
      </c>
      <c r="AB26" s="86">
        <v>18</v>
      </c>
      <c r="AC26" s="103">
        <v>27228</v>
      </c>
      <c r="AD26" s="97"/>
      <c r="AE26" s="13">
        <v>23</v>
      </c>
      <c r="AF26" s="90">
        <v>13</v>
      </c>
      <c r="AG26" s="103">
        <v>24903</v>
      </c>
      <c r="AH26" s="97"/>
      <c r="AM26" s="97"/>
      <c r="AN26" s="62"/>
    </row>
    <row r="27" spans="2:50" x14ac:dyDescent="0.2">
      <c r="B27" s="196"/>
      <c r="C27" s="46"/>
      <c r="D27" s="47"/>
      <c r="E27" s="52"/>
      <c r="F27" s="199"/>
      <c r="G27" s="10"/>
      <c r="H27" s="13">
        <v>24</v>
      </c>
      <c r="I27" s="30">
        <v>19521</v>
      </c>
      <c r="J27" s="30">
        <v>20058</v>
      </c>
      <c r="K27" s="30">
        <v>20649</v>
      </c>
      <c r="L27" s="2">
        <v>21258</v>
      </c>
      <c r="M27" s="30">
        <v>21783</v>
      </c>
      <c r="N27" s="30">
        <v>22383</v>
      </c>
      <c r="O27" s="31">
        <v>22608</v>
      </c>
      <c r="P27" s="31"/>
      <c r="Q27" s="31">
        <v>22833</v>
      </c>
      <c r="R27" s="31">
        <v>23334</v>
      </c>
      <c r="S27" s="32">
        <v>100</v>
      </c>
      <c r="T27" s="32">
        <v>3</v>
      </c>
      <c r="U27" s="38">
        <v>23568</v>
      </c>
      <c r="V27" s="57">
        <v>23802</v>
      </c>
      <c r="W27" s="32">
        <v>24279</v>
      </c>
      <c r="X27" s="63"/>
      <c r="Y27" s="63"/>
      <c r="Z27" s="74"/>
      <c r="AA27" s="202"/>
      <c r="AB27" s="86">
        <v>19</v>
      </c>
      <c r="AC27" s="103">
        <v>27717</v>
      </c>
      <c r="AD27" s="97"/>
      <c r="AE27" s="13">
        <v>24</v>
      </c>
      <c r="AF27" s="90">
        <v>14</v>
      </c>
      <c r="AG27" s="103">
        <v>25353</v>
      </c>
      <c r="AH27" s="97"/>
      <c r="AM27" s="97"/>
      <c r="AN27" s="62"/>
    </row>
    <row r="28" spans="2:50" ht="13.5" thickBot="1" x14ac:dyDescent="0.25">
      <c r="B28" s="197"/>
      <c r="C28" s="46"/>
      <c r="D28" s="47"/>
      <c r="E28" s="52"/>
      <c r="F28" s="200"/>
      <c r="G28" s="12"/>
      <c r="H28" s="13">
        <v>25</v>
      </c>
      <c r="I28" s="30">
        <v>20097</v>
      </c>
      <c r="J28" s="30">
        <v>20649</v>
      </c>
      <c r="K28" s="30">
        <v>21258</v>
      </c>
      <c r="L28" s="2">
        <v>21885</v>
      </c>
      <c r="M28" s="30">
        <v>22428</v>
      </c>
      <c r="N28" s="30">
        <v>23046</v>
      </c>
      <c r="O28" s="31">
        <v>23277</v>
      </c>
      <c r="P28" s="31"/>
      <c r="Q28" s="31">
        <v>23511</v>
      </c>
      <c r="R28" s="31">
        <v>24027</v>
      </c>
      <c r="S28" s="32">
        <v>100</v>
      </c>
      <c r="T28" s="32">
        <v>6</v>
      </c>
      <c r="U28" s="38">
        <v>24267</v>
      </c>
      <c r="V28" s="57">
        <v>24510</v>
      </c>
      <c r="W28" s="32">
        <v>24999</v>
      </c>
      <c r="X28" s="63"/>
      <c r="Y28" s="63"/>
      <c r="Z28" s="74"/>
      <c r="AA28" s="203"/>
      <c r="AB28" s="86">
        <v>20</v>
      </c>
      <c r="AC28" s="103">
        <v>28215</v>
      </c>
      <c r="AD28" s="97"/>
      <c r="AE28" s="13">
        <v>25</v>
      </c>
      <c r="AF28" s="90">
        <v>15</v>
      </c>
      <c r="AG28" s="103">
        <v>25809</v>
      </c>
      <c r="AH28" s="97"/>
      <c r="AM28" s="97"/>
      <c r="AN28" s="62"/>
    </row>
    <row r="29" spans="2:50" ht="14.25" customHeight="1" x14ac:dyDescent="0.2">
      <c r="B29" s="43"/>
      <c r="C29" s="44"/>
      <c r="D29" s="204" t="s">
        <v>9</v>
      </c>
      <c r="E29" s="52"/>
      <c r="F29" s="7"/>
      <c r="G29" s="201" t="s">
        <v>29</v>
      </c>
      <c r="H29" s="13">
        <v>26</v>
      </c>
      <c r="I29" s="30">
        <v>20697</v>
      </c>
      <c r="J29" s="30">
        <v>21267</v>
      </c>
      <c r="K29" s="30">
        <v>21894</v>
      </c>
      <c r="L29" s="2">
        <v>22539</v>
      </c>
      <c r="M29" s="30">
        <v>23097</v>
      </c>
      <c r="N29" s="30">
        <v>23733</v>
      </c>
      <c r="O29" s="31">
        <v>23970</v>
      </c>
      <c r="P29" s="31"/>
      <c r="Q29" s="31">
        <v>24210</v>
      </c>
      <c r="R29" s="31">
        <v>24744</v>
      </c>
      <c r="S29" s="32">
        <v>100</v>
      </c>
      <c r="T29" s="32">
        <v>11.348000000000013</v>
      </c>
      <c r="U29" s="38">
        <v>24990</v>
      </c>
      <c r="V29" s="57">
        <v>25242</v>
      </c>
      <c r="W29" s="32">
        <v>25746</v>
      </c>
      <c r="X29" s="63"/>
      <c r="Y29" s="63"/>
      <c r="Z29" s="74"/>
      <c r="AA29" s="68"/>
      <c r="AB29" s="87" t="s">
        <v>68</v>
      </c>
      <c r="AC29" s="105">
        <v>28725</v>
      </c>
      <c r="AD29" s="98"/>
      <c r="AE29" s="13">
        <v>26</v>
      </c>
      <c r="AF29" s="90">
        <v>18</v>
      </c>
      <c r="AG29" s="103">
        <v>27228</v>
      </c>
      <c r="AH29" s="97"/>
      <c r="AM29" s="98"/>
      <c r="AN29" s="62"/>
    </row>
    <row r="30" spans="2:50" ht="13.5" thickBot="1" x14ac:dyDescent="0.25">
      <c r="B30" s="43"/>
      <c r="C30" s="44"/>
      <c r="D30" s="205"/>
      <c r="E30" s="52"/>
      <c r="F30" s="7"/>
      <c r="G30" s="202"/>
      <c r="H30" s="13">
        <v>27</v>
      </c>
      <c r="I30" s="30">
        <v>21333</v>
      </c>
      <c r="J30" s="30">
        <v>21921</v>
      </c>
      <c r="K30" s="30">
        <v>22569</v>
      </c>
      <c r="L30" s="2">
        <v>23235</v>
      </c>
      <c r="M30" s="30">
        <v>23811</v>
      </c>
      <c r="N30" s="30">
        <v>24465</v>
      </c>
      <c r="O30" s="31">
        <v>24711</v>
      </c>
      <c r="P30" s="31"/>
      <c r="Q30" s="31">
        <v>24957</v>
      </c>
      <c r="R30" s="31">
        <v>25506</v>
      </c>
      <c r="S30" s="32">
        <v>100</v>
      </c>
      <c r="T30" s="32">
        <v>14.777000000000015</v>
      </c>
      <c r="U30" s="38">
        <v>25761</v>
      </c>
      <c r="V30" s="57">
        <v>26019</v>
      </c>
      <c r="W30" s="32">
        <v>26538</v>
      </c>
      <c r="X30" s="63"/>
      <c r="Y30" s="63"/>
      <c r="Z30" s="76"/>
      <c r="AA30" s="69"/>
      <c r="AB30" s="87" t="s">
        <v>43</v>
      </c>
      <c r="AC30" s="105">
        <v>29241</v>
      </c>
      <c r="AD30" s="98"/>
      <c r="AE30" s="13">
        <v>27</v>
      </c>
      <c r="AF30" s="90">
        <v>19</v>
      </c>
      <c r="AG30" s="103">
        <v>27717</v>
      </c>
      <c r="AH30" s="97"/>
      <c r="AM30" s="98"/>
      <c r="AN30" s="62"/>
    </row>
    <row r="31" spans="2:50" ht="13.5" thickBot="1" x14ac:dyDescent="0.25">
      <c r="B31" s="43"/>
      <c r="C31" s="44"/>
      <c r="D31" s="210"/>
      <c r="E31" s="52"/>
      <c r="F31" s="6"/>
      <c r="G31" s="203"/>
      <c r="H31" s="13">
        <v>28</v>
      </c>
      <c r="I31" s="30">
        <v>21981</v>
      </c>
      <c r="J31" s="30">
        <v>22584</v>
      </c>
      <c r="K31" s="30">
        <v>23250</v>
      </c>
      <c r="L31" s="2">
        <v>23937</v>
      </c>
      <c r="M31" s="30">
        <v>24528</v>
      </c>
      <c r="N31" s="30">
        <v>25203</v>
      </c>
      <c r="O31" s="31">
        <v>25455</v>
      </c>
      <c r="P31" s="31"/>
      <c r="Q31" s="31">
        <v>25710</v>
      </c>
      <c r="R31" s="31">
        <v>26277</v>
      </c>
      <c r="S31" s="32">
        <v>100</v>
      </c>
      <c r="T31" s="32">
        <v>18.246500000000012</v>
      </c>
      <c r="U31" s="38">
        <v>26541</v>
      </c>
      <c r="V31" s="57">
        <v>26805</v>
      </c>
      <c r="W31" s="32">
        <v>27342</v>
      </c>
      <c r="X31" s="63"/>
      <c r="Y31" s="63"/>
      <c r="Z31" s="198" t="s">
        <v>30</v>
      </c>
      <c r="AA31" s="69"/>
      <c r="AB31" s="86">
        <v>23</v>
      </c>
      <c r="AC31" s="103">
        <v>29766</v>
      </c>
      <c r="AD31" s="97"/>
      <c r="AE31" s="13">
        <v>28</v>
      </c>
      <c r="AF31" s="90">
        <v>20</v>
      </c>
      <c r="AG31" s="103">
        <v>28215</v>
      </c>
      <c r="AH31" s="97"/>
      <c r="AM31" s="97"/>
      <c r="AN31" s="62"/>
    </row>
    <row r="32" spans="2:50" x14ac:dyDescent="0.2">
      <c r="B32" s="195" t="s">
        <v>10</v>
      </c>
      <c r="C32" s="46"/>
      <c r="D32" s="47"/>
      <c r="E32" s="52"/>
      <c r="F32" s="198" t="s">
        <v>30</v>
      </c>
      <c r="G32" s="10"/>
      <c r="H32" s="13">
        <v>29</v>
      </c>
      <c r="I32" s="30">
        <v>22797</v>
      </c>
      <c r="J32" s="30">
        <v>23424</v>
      </c>
      <c r="K32" s="30">
        <v>24114</v>
      </c>
      <c r="L32" s="2">
        <v>24825</v>
      </c>
      <c r="M32" s="30">
        <v>25440</v>
      </c>
      <c r="N32" s="30">
        <v>26139</v>
      </c>
      <c r="O32" s="31">
        <v>26400</v>
      </c>
      <c r="P32" s="31"/>
      <c r="Q32" s="31">
        <v>26664</v>
      </c>
      <c r="R32" s="31">
        <v>27252</v>
      </c>
      <c r="S32" s="32">
        <v>100</v>
      </c>
      <c r="T32" s="32">
        <v>22.634000000000015</v>
      </c>
      <c r="U32" s="38">
        <v>27525</v>
      </c>
      <c r="V32" s="57">
        <v>27801</v>
      </c>
      <c r="W32" s="32">
        <v>28356</v>
      </c>
      <c r="X32" s="63"/>
      <c r="Y32" s="63"/>
      <c r="Z32" s="199"/>
      <c r="AA32" s="69"/>
      <c r="AB32" s="86">
        <v>24</v>
      </c>
      <c r="AC32" s="103">
        <v>30213</v>
      </c>
      <c r="AD32" s="97"/>
      <c r="AE32" s="13">
        <v>29</v>
      </c>
      <c r="AF32" s="90">
        <v>23</v>
      </c>
      <c r="AG32" s="103">
        <v>29766</v>
      </c>
      <c r="AH32" s="97"/>
      <c r="AM32" s="97"/>
      <c r="AN32" s="62"/>
    </row>
    <row r="33" spans="2:40" ht="15" customHeight="1" thickBot="1" x14ac:dyDescent="0.25">
      <c r="B33" s="196"/>
      <c r="C33" s="46"/>
      <c r="D33" s="47"/>
      <c r="E33" s="52"/>
      <c r="F33" s="199"/>
      <c r="G33" s="10"/>
      <c r="H33" s="13">
        <v>30</v>
      </c>
      <c r="I33" s="30">
        <v>23508</v>
      </c>
      <c r="J33" s="30">
        <v>24153</v>
      </c>
      <c r="K33" s="30">
        <v>24867</v>
      </c>
      <c r="L33" s="2">
        <v>25602</v>
      </c>
      <c r="M33" s="30">
        <v>26235</v>
      </c>
      <c r="N33" s="30">
        <v>26955</v>
      </c>
      <c r="O33" s="31">
        <v>27225</v>
      </c>
      <c r="P33" s="31"/>
      <c r="Q33" s="31">
        <v>27498</v>
      </c>
      <c r="R33" s="31">
        <v>28104</v>
      </c>
      <c r="S33" s="32">
        <v>100</v>
      </c>
      <c r="T33" s="32">
        <v>26.468000000000018</v>
      </c>
      <c r="U33" s="38">
        <v>28386</v>
      </c>
      <c r="V33" s="57">
        <v>28668</v>
      </c>
      <c r="W33" s="32">
        <v>29241</v>
      </c>
      <c r="X33" s="63"/>
      <c r="Y33" s="63"/>
      <c r="Z33" s="200"/>
      <c r="AA33" s="70"/>
      <c r="AB33" s="86">
        <v>25</v>
      </c>
      <c r="AC33" s="103">
        <v>30708</v>
      </c>
      <c r="AD33" s="97"/>
      <c r="AE33" s="13">
        <v>30</v>
      </c>
      <c r="AF33" s="90">
        <v>24</v>
      </c>
      <c r="AG33" s="103">
        <v>30213</v>
      </c>
      <c r="AH33" s="97"/>
      <c r="AM33" s="97"/>
      <c r="AN33" s="62"/>
    </row>
    <row r="34" spans="2:40" ht="15.75" customHeight="1" thickBot="1" x14ac:dyDescent="0.25">
      <c r="B34" s="197"/>
      <c r="C34" s="46"/>
      <c r="D34" s="47"/>
      <c r="E34" s="52"/>
      <c r="F34" s="200"/>
      <c r="G34" s="11"/>
      <c r="H34" s="13">
        <v>31</v>
      </c>
      <c r="I34" s="30">
        <v>24201</v>
      </c>
      <c r="J34" s="30">
        <v>24867</v>
      </c>
      <c r="K34" s="30">
        <v>25602</v>
      </c>
      <c r="L34" s="2">
        <v>26358</v>
      </c>
      <c r="M34" s="30">
        <v>27009</v>
      </c>
      <c r="N34" s="30">
        <v>27753</v>
      </c>
      <c r="O34" s="31">
        <v>28032</v>
      </c>
      <c r="P34" s="31"/>
      <c r="Q34" s="31">
        <v>28311</v>
      </c>
      <c r="R34" s="31">
        <v>28935</v>
      </c>
      <c r="S34" s="32">
        <v>100</v>
      </c>
      <c r="T34" s="32">
        <v>30.20750000000001</v>
      </c>
      <c r="U34" s="38">
        <v>29223</v>
      </c>
      <c r="V34" s="57">
        <v>29517</v>
      </c>
      <c r="W34" s="32">
        <v>30108</v>
      </c>
      <c r="X34" s="63"/>
      <c r="Y34" s="63"/>
      <c r="Z34" s="77"/>
      <c r="AA34" s="201" t="s">
        <v>31</v>
      </c>
      <c r="AB34" s="86">
        <v>26</v>
      </c>
      <c r="AC34" s="103">
        <v>31548</v>
      </c>
      <c r="AD34" s="97"/>
      <c r="AE34" s="13">
        <v>31</v>
      </c>
      <c r="AF34" s="90">
        <v>25</v>
      </c>
      <c r="AG34" s="103">
        <v>30708</v>
      </c>
      <c r="AH34" s="97"/>
      <c r="AM34" s="97"/>
      <c r="AN34" s="62"/>
    </row>
    <row r="35" spans="2:40" ht="15.75" customHeight="1" thickBot="1" x14ac:dyDescent="0.25">
      <c r="B35" s="43"/>
      <c r="C35" s="46"/>
      <c r="D35" s="204" t="s">
        <v>11</v>
      </c>
      <c r="E35" s="52"/>
      <c r="F35" s="7"/>
      <c r="G35" s="207" t="s">
        <v>31</v>
      </c>
      <c r="H35" s="13">
        <v>32</v>
      </c>
      <c r="I35" s="30">
        <v>24870</v>
      </c>
      <c r="J35" s="30">
        <v>25554</v>
      </c>
      <c r="K35" s="30">
        <v>26307</v>
      </c>
      <c r="L35" s="2">
        <v>27084</v>
      </c>
      <c r="M35" s="30">
        <v>27753</v>
      </c>
      <c r="N35" s="30">
        <v>28515</v>
      </c>
      <c r="O35" s="31">
        <v>28800</v>
      </c>
      <c r="P35" s="31"/>
      <c r="Q35" s="31">
        <v>29088</v>
      </c>
      <c r="R35" s="31">
        <v>29727</v>
      </c>
      <c r="S35" s="32">
        <v>100</v>
      </c>
      <c r="T35" s="32">
        <v>33.771500000000003</v>
      </c>
      <c r="U35" s="38">
        <v>30024</v>
      </c>
      <c r="V35" s="57">
        <v>30324</v>
      </c>
      <c r="W35" s="32">
        <v>30930</v>
      </c>
      <c r="X35" s="63"/>
      <c r="Y35" s="63"/>
      <c r="Z35" s="78"/>
      <c r="AA35" s="202"/>
      <c r="AB35" s="86">
        <v>27</v>
      </c>
      <c r="AC35" s="103">
        <v>32430</v>
      </c>
      <c r="AD35" s="97"/>
      <c r="AE35" s="13">
        <v>32</v>
      </c>
      <c r="AF35" s="90">
        <v>26</v>
      </c>
      <c r="AG35" s="103">
        <v>31548</v>
      </c>
      <c r="AH35" s="97"/>
      <c r="AM35" s="97"/>
      <c r="AN35" s="62"/>
    </row>
    <row r="36" spans="2:40" ht="15.75" customHeight="1" thickBot="1" x14ac:dyDescent="0.25">
      <c r="B36" s="195" t="s">
        <v>12</v>
      </c>
      <c r="C36" s="46"/>
      <c r="D36" s="205"/>
      <c r="E36" s="52"/>
      <c r="F36" s="6"/>
      <c r="G36" s="208"/>
      <c r="H36" s="13">
        <v>33</v>
      </c>
      <c r="I36" s="30">
        <v>25560</v>
      </c>
      <c r="J36" s="30">
        <v>26262</v>
      </c>
      <c r="K36" s="30">
        <v>27036</v>
      </c>
      <c r="L36" s="2">
        <v>27834</v>
      </c>
      <c r="M36" s="30">
        <v>28524</v>
      </c>
      <c r="N36" s="30">
        <v>29307</v>
      </c>
      <c r="O36" s="31">
        <v>29601</v>
      </c>
      <c r="P36" s="31"/>
      <c r="Q36" s="31">
        <v>29898</v>
      </c>
      <c r="R36" s="31">
        <v>30555</v>
      </c>
      <c r="S36" s="32">
        <v>100</v>
      </c>
      <c r="T36" s="32">
        <v>37.497500000000002</v>
      </c>
      <c r="U36" s="38">
        <v>30861</v>
      </c>
      <c r="V36" s="57">
        <v>31170</v>
      </c>
      <c r="W36" s="32">
        <v>31794</v>
      </c>
      <c r="X36" s="63"/>
      <c r="Y36" s="63"/>
      <c r="Z36" s="198" t="s">
        <v>32</v>
      </c>
      <c r="AA36" s="203"/>
      <c r="AB36" s="86">
        <v>28</v>
      </c>
      <c r="AC36" s="103">
        <v>33291</v>
      </c>
      <c r="AD36" s="97"/>
      <c r="AE36" s="13">
        <v>33</v>
      </c>
      <c r="AF36" s="90">
        <v>27</v>
      </c>
      <c r="AG36" s="103">
        <v>32430</v>
      </c>
      <c r="AH36" s="97"/>
      <c r="AM36" s="97"/>
      <c r="AN36" s="62"/>
    </row>
    <row r="37" spans="2:40" ht="15.75" customHeight="1" thickBot="1" x14ac:dyDescent="0.25">
      <c r="B37" s="196"/>
      <c r="C37" s="46"/>
      <c r="D37" s="210"/>
      <c r="E37" s="52"/>
      <c r="F37" s="198" t="s">
        <v>32</v>
      </c>
      <c r="G37" s="211"/>
      <c r="H37" s="13">
        <v>34</v>
      </c>
      <c r="I37" s="30">
        <v>26241</v>
      </c>
      <c r="J37" s="30">
        <v>26964</v>
      </c>
      <c r="K37" s="30">
        <v>27759</v>
      </c>
      <c r="L37" s="2">
        <v>28578</v>
      </c>
      <c r="M37" s="30">
        <v>29286</v>
      </c>
      <c r="N37" s="30">
        <v>30090</v>
      </c>
      <c r="O37" s="31">
        <v>30390</v>
      </c>
      <c r="P37" s="31"/>
      <c r="Q37" s="31">
        <v>30693</v>
      </c>
      <c r="R37" s="31">
        <v>31368</v>
      </c>
      <c r="S37" s="32">
        <v>100</v>
      </c>
      <c r="T37" s="32">
        <v>41.156000000000006</v>
      </c>
      <c r="U37" s="38">
        <v>31683</v>
      </c>
      <c r="V37" s="57">
        <v>31998</v>
      </c>
      <c r="W37" s="32">
        <v>32637</v>
      </c>
      <c r="X37" s="63"/>
      <c r="Y37" s="63"/>
      <c r="Z37" s="199"/>
      <c r="AA37" s="12"/>
      <c r="AB37" s="86">
        <v>29</v>
      </c>
      <c r="AC37" s="103">
        <v>33945</v>
      </c>
      <c r="AD37" s="97"/>
      <c r="AE37" s="13">
        <v>34</v>
      </c>
      <c r="AF37" s="90">
        <v>28</v>
      </c>
      <c r="AG37" s="103">
        <v>33291</v>
      </c>
      <c r="AH37" s="97"/>
      <c r="AM37" s="97"/>
      <c r="AN37" s="62"/>
    </row>
    <row r="38" spans="2:40" ht="13.5" thickBot="1" x14ac:dyDescent="0.25">
      <c r="B38" s="196"/>
      <c r="C38" s="46"/>
      <c r="D38" s="204" t="s">
        <v>13</v>
      </c>
      <c r="E38" s="52"/>
      <c r="F38" s="199"/>
      <c r="G38" s="11"/>
      <c r="H38" s="13">
        <v>35</v>
      </c>
      <c r="I38" s="30">
        <v>26760</v>
      </c>
      <c r="J38" s="30">
        <v>27495</v>
      </c>
      <c r="K38" s="30">
        <v>28305</v>
      </c>
      <c r="L38" s="2">
        <v>29139</v>
      </c>
      <c r="M38" s="30">
        <v>29859</v>
      </c>
      <c r="N38" s="30">
        <v>30681</v>
      </c>
      <c r="O38" s="31">
        <v>30987</v>
      </c>
      <c r="P38" s="31"/>
      <c r="Q38" s="31">
        <v>31296</v>
      </c>
      <c r="R38" s="31">
        <v>31986</v>
      </c>
      <c r="S38" s="32">
        <v>100</v>
      </c>
      <c r="T38" s="32">
        <v>43.937000000000012</v>
      </c>
      <c r="U38" s="38">
        <v>32307</v>
      </c>
      <c r="V38" s="57">
        <v>32628</v>
      </c>
      <c r="W38" s="32">
        <v>33282</v>
      </c>
      <c r="X38" s="63"/>
      <c r="Y38" s="63"/>
      <c r="Z38" s="200"/>
      <c r="AA38" s="207" t="s">
        <v>33</v>
      </c>
      <c r="AB38" s="86">
        <v>30</v>
      </c>
      <c r="AC38" s="103">
        <v>34794</v>
      </c>
      <c r="AD38" s="97"/>
      <c r="AE38" s="13">
        <v>35</v>
      </c>
      <c r="AF38" s="90">
        <v>29</v>
      </c>
      <c r="AG38" s="103">
        <v>33945</v>
      </c>
      <c r="AH38" s="97"/>
      <c r="AM38" s="97"/>
      <c r="AN38" s="62"/>
    </row>
    <row r="39" spans="2:40" ht="15.75" customHeight="1" thickBot="1" x14ac:dyDescent="0.25">
      <c r="B39" s="197"/>
      <c r="C39" s="46"/>
      <c r="D39" s="205"/>
      <c r="E39" s="52"/>
      <c r="F39" s="200"/>
      <c r="G39" s="207" t="s">
        <v>33</v>
      </c>
      <c r="H39" s="13">
        <v>36</v>
      </c>
      <c r="I39" s="30">
        <v>27426</v>
      </c>
      <c r="J39" s="30">
        <v>28179</v>
      </c>
      <c r="K39" s="30">
        <v>29010</v>
      </c>
      <c r="L39" s="2">
        <v>29865</v>
      </c>
      <c r="M39" s="30">
        <v>30603</v>
      </c>
      <c r="N39" s="30">
        <v>31446</v>
      </c>
      <c r="O39" s="31">
        <v>31761</v>
      </c>
      <c r="P39" s="31"/>
      <c r="Q39" s="31">
        <v>32079</v>
      </c>
      <c r="R39" s="31">
        <v>32784</v>
      </c>
      <c r="S39" s="32">
        <v>100</v>
      </c>
      <c r="T39" s="32">
        <v>47.52800000000002</v>
      </c>
      <c r="U39" s="38">
        <v>33111</v>
      </c>
      <c r="V39" s="57">
        <v>33444</v>
      </c>
      <c r="W39" s="32">
        <v>34113</v>
      </c>
      <c r="X39" s="63"/>
      <c r="Y39" s="63"/>
      <c r="Z39" s="71"/>
      <c r="AA39" s="208"/>
      <c r="AB39" s="86">
        <v>31</v>
      </c>
      <c r="AC39" s="103">
        <v>35724</v>
      </c>
      <c r="AD39" s="97"/>
      <c r="AE39" s="13">
        <v>36</v>
      </c>
      <c r="AF39" s="90">
        <v>30</v>
      </c>
      <c r="AG39" s="103">
        <v>34794</v>
      </c>
      <c r="AH39" s="97"/>
      <c r="AM39" s="97"/>
      <c r="AN39" s="62"/>
    </row>
    <row r="40" spans="2:40" ht="13.5" thickBot="1" x14ac:dyDescent="0.25">
      <c r="B40" s="43"/>
      <c r="C40" s="46"/>
      <c r="D40" s="205"/>
      <c r="E40" s="52"/>
      <c r="F40" s="7"/>
      <c r="G40" s="208"/>
      <c r="H40" s="13">
        <v>37</v>
      </c>
      <c r="I40" s="30">
        <v>28155</v>
      </c>
      <c r="J40" s="30">
        <v>28929</v>
      </c>
      <c r="K40" s="30">
        <v>29781</v>
      </c>
      <c r="L40" s="2">
        <v>30660</v>
      </c>
      <c r="M40" s="30">
        <v>31419</v>
      </c>
      <c r="N40" s="30">
        <v>32283</v>
      </c>
      <c r="O40" s="31">
        <v>32607</v>
      </c>
      <c r="P40" s="31"/>
      <c r="Q40" s="31">
        <v>32934</v>
      </c>
      <c r="R40" s="31">
        <v>33660</v>
      </c>
      <c r="S40" s="32">
        <v>100</v>
      </c>
      <c r="T40" s="32">
        <v>51.470000000000027</v>
      </c>
      <c r="U40" s="38">
        <v>33996</v>
      </c>
      <c r="V40" s="57">
        <v>34338</v>
      </c>
      <c r="W40" s="32">
        <v>35025</v>
      </c>
      <c r="X40" s="63"/>
      <c r="Y40" s="63"/>
      <c r="Z40" s="79"/>
      <c r="AA40" s="211"/>
      <c r="AB40" s="86">
        <v>32</v>
      </c>
      <c r="AC40" s="103">
        <v>36711</v>
      </c>
      <c r="AD40" s="97"/>
      <c r="AE40" s="13">
        <v>37</v>
      </c>
      <c r="AF40" s="90">
        <v>31</v>
      </c>
      <c r="AG40" s="103">
        <v>35724</v>
      </c>
      <c r="AH40" s="97"/>
      <c r="AM40" s="97"/>
      <c r="AN40" s="62"/>
    </row>
    <row r="41" spans="2:40" ht="15.75" customHeight="1" thickBot="1" x14ac:dyDescent="0.25">
      <c r="B41" s="195" t="s">
        <v>14</v>
      </c>
      <c r="C41" s="46"/>
      <c r="D41" s="210"/>
      <c r="E41" s="52"/>
      <c r="F41" s="8"/>
      <c r="G41" s="211"/>
      <c r="H41" s="13">
        <v>38</v>
      </c>
      <c r="I41" s="30">
        <v>28935</v>
      </c>
      <c r="J41" s="30">
        <v>29730</v>
      </c>
      <c r="K41" s="30">
        <v>30606</v>
      </c>
      <c r="L41" s="2">
        <v>31509</v>
      </c>
      <c r="M41" s="30">
        <v>32289</v>
      </c>
      <c r="N41" s="30">
        <v>33177</v>
      </c>
      <c r="O41" s="31">
        <v>33510</v>
      </c>
      <c r="P41" s="31"/>
      <c r="Q41" s="31">
        <v>33846</v>
      </c>
      <c r="R41" s="31">
        <v>34590</v>
      </c>
      <c r="S41" s="32">
        <v>100</v>
      </c>
      <c r="T41" s="32">
        <v>55.65500000000003</v>
      </c>
      <c r="U41" s="38">
        <v>34935</v>
      </c>
      <c r="V41" s="57">
        <v>35286</v>
      </c>
      <c r="W41" s="32">
        <v>35991</v>
      </c>
      <c r="X41" s="63"/>
      <c r="Y41" s="63"/>
      <c r="Z41" s="198" t="s">
        <v>34</v>
      </c>
      <c r="AA41" s="68"/>
      <c r="AB41" s="86">
        <v>33</v>
      </c>
      <c r="AC41" s="103">
        <v>37842</v>
      </c>
      <c r="AD41" s="97"/>
      <c r="AE41" s="13">
        <v>38</v>
      </c>
      <c r="AF41" s="90">
        <v>32</v>
      </c>
      <c r="AG41" s="103">
        <v>36711</v>
      </c>
      <c r="AH41" s="97"/>
      <c r="AM41" s="97"/>
      <c r="AN41" s="62"/>
    </row>
    <row r="42" spans="2:40" ht="15" customHeight="1" x14ac:dyDescent="0.2">
      <c r="B42" s="196"/>
      <c r="C42" s="46"/>
      <c r="D42" s="48"/>
      <c r="E42" s="52"/>
      <c r="F42" s="198" t="s">
        <v>34</v>
      </c>
      <c r="G42" s="10"/>
      <c r="H42" s="13">
        <v>39</v>
      </c>
      <c r="I42" s="30">
        <v>29829</v>
      </c>
      <c r="J42" s="30">
        <v>30648</v>
      </c>
      <c r="K42" s="30">
        <v>31551</v>
      </c>
      <c r="L42" s="2">
        <v>32481</v>
      </c>
      <c r="M42" s="30">
        <v>33285</v>
      </c>
      <c r="N42" s="30">
        <v>34200</v>
      </c>
      <c r="O42" s="31">
        <v>34542</v>
      </c>
      <c r="P42" s="31"/>
      <c r="Q42" s="31">
        <v>34887</v>
      </c>
      <c r="R42" s="31">
        <v>35655</v>
      </c>
      <c r="S42" s="32">
        <v>100</v>
      </c>
      <c r="T42" s="32">
        <v>60.447500000000019</v>
      </c>
      <c r="U42" s="38">
        <v>36012</v>
      </c>
      <c r="V42" s="57">
        <v>36372</v>
      </c>
      <c r="W42" s="32">
        <v>37098</v>
      </c>
      <c r="X42" s="63"/>
      <c r="Y42" s="63"/>
      <c r="Z42" s="199"/>
      <c r="AA42" s="69"/>
      <c r="AB42" s="86">
        <v>34</v>
      </c>
      <c r="AC42" s="103">
        <v>38799</v>
      </c>
      <c r="AD42" s="97"/>
      <c r="AE42" s="13">
        <v>39</v>
      </c>
      <c r="AF42" s="90">
        <v>33</v>
      </c>
      <c r="AG42" s="103">
        <v>37842</v>
      </c>
      <c r="AH42" s="97"/>
      <c r="AM42" s="97"/>
      <c r="AN42" s="62"/>
    </row>
    <row r="43" spans="2:40" ht="15.75" customHeight="1" thickBot="1" x14ac:dyDescent="0.25">
      <c r="B43" s="196"/>
      <c r="C43" s="46"/>
      <c r="D43" s="45"/>
      <c r="E43" s="52"/>
      <c r="F43" s="199"/>
      <c r="G43" s="10"/>
      <c r="H43" s="13">
        <v>40</v>
      </c>
      <c r="I43" s="30">
        <v>30582</v>
      </c>
      <c r="J43" s="30">
        <v>31422</v>
      </c>
      <c r="K43" s="30">
        <v>32349</v>
      </c>
      <c r="L43" s="2">
        <v>33303</v>
      </c>
      <c r="M43" s="30">
        <v>34128</v>
      </c>
      <c r="N43" s="30">
        <v>35067</v>
      </c>
      <c r="O43" s="31">
        <v>35418</v>
      </c>
      <c r="P43" s="31"/>
      <c r="Q43" s="31">
        <v>35772</v>
      </c>
      <c r="R43" s="31">
        <v>36558</v>
      </c>
      <c r="S43" s="32">
        <v>100</v>
      </c>
      <c r="T43" s="32">
        <v>64.511000000000024</v>
      </c>
      <c r="U43" s="38">
        <v>36924</v>
      </c>
      <c r="V43" s="57">
        <v>37293</v>
      </c>
      <c r="W43" s="32">
        <v>38040</v>
      </c>
      <c r="X43" s="63"/>
      <c r="Y43" s="63"/>
      <c r="Z43" s="200"/>
      <c r="AA43" s="80"/>
      <c r="AB43" s="86">
        <v>35</v>
      </c>
      <c r="AC43" s="103">
        <v>39774</v>
      </c>
      <c r="AD43" s="97"/>
      <c r="AE43" s="13">
        <v>40</v>
      </c>
      <c r="AF43" s="90">
        <v>34</v>
      </c>
      <c r="AG43" s="103">
        <v>38799</v>
      </c>
      <c r="AH43" s="97"/>
      <c r="AM43" s="97"/>
      <c r="AN43" s="62"/>
    </row>
    <row r="44" spans="2:40" ht="17.25" customHeight="1" thickBot="1" x14ac:dyDescent="0.25">
      <c r="B44" s="197"/>
      <c r="C44" s="49"/>
      <c r="D44" s="204" t="s">
        <v>15</v>
      </c>
      <c r="E44" s="52"/>
      <c r="F44" s="200"/>
      <c r="G44" s="12"/>
      <c r="H44" s="13">
        <v>41</v>
      </c>
      <c r="I44" s="30">
        <v>31347</v>
      </c>
      <c r="J44" s="30">
        <v>32208</v>
      </c>
      <c r="K44" s="30">
        <v>33159</v>
      </c>
      <c r="L44" s="2">
        <v>34137</v>
      </c>
      <c r="M44" s="30">
        <v>34983</v>
      </c>
      <c r="N44" s="30">
        <v>35946</v>
      </c>
      <c r="O44" s="31">
        <v>36306</v>
      </c>
      <c r="P44" s="31"/>
      <c r="Q44" s="31">
        <v>36669</v>
      </c>
      <c r="R44" s="31">
        <v>37476</v>
      </c>
      <c r="S44" s="32">
        <v>100</v>
      </c>
      <c r="T44" s="32">
        <v>68.642000000000024</v>
      </c>
      <c r="U44" s="38">
        <v>37851</v>
      </c>
      <c r="V44" s="57">
        <v>38229</v>
      </c>
      <c r="W44" s="32">
        <v>38994</v>
      </c>
      <c r="X44" s="63"/>
      <c r="Y44" s="63"/>
      <c r="Z44" s="71"/>
      <c r="AA44" s="207" t="s">
        <v>35</v>
      </c>
      <c r="AB44" s="86">
        <v>36</v>
      </c>
      <c r="AC44" s="103">
        <v>40728</v>
      </c>
      <c r="AD44" s="97"/>
      <c r="AE44" s="13">
        <v>41</v>
      </c>
      <c r="AF44" s="90">
        <v>35</v>
      </c>
      <c r="AG44" s="103">
        <v>39774</v>
      </c>
      <c r="AH44" s="97"/>
      <c r="AM44" s="97"/>
      <c r="AN44" s="62"/>
    </row>
    <row r="45" spans="2:40" ht="15" customHeight="1" x14ac:dyDescent="0.2">
      <c r="B45" s="43"/>
      <c r="C45" s="49"/>
      <c r="D45" s="205"/>
      <c r="E45" s="52"/>
      <c r="F45" s="7"/>
      <c r="G45" s="207" t="s">
        <v>35</v>
      </c>
      <c r="H45" s="13">
        <v>42</v>
      </c>
      <c r="I45" s="30">
        <v>32106</v>
      </c>
      <c r="J45" s="30">
        <v>32988</v>
      </c>
      <c r="K45" s="30">
        <v>33960</v>
      </c>
      <c r="L45" s="2">
        <v>34962</v>
      </c>
      <c r="M45" s="30">
        <v>35826</v>
      </c>
      <c r="N45" s="30">
        <v>36810</v>
      </c>
      <c r="O45" s="31">
        <v>37179</v>
      </c>
      <c r="P45" s="31"/>
      <c r="Q45" s="31">
        <v>37551</v>
      </c>
      <c r="R45" s="31">
        <v>38376</v>
      </c>
      <c r="S45" s="32">
        <v>100</v>
      </c>
      <c r="T45" s="32">
        <v>72.692000000000007</v>
      </c>
      <c r="U45" s="38">
        <v>38760</v>
      </c>
      <c r="V45" s="57">
        <v>39147</v>
      </c>
      <c r="W45" s="32">
        <v>39930</v>
      </c>
      <c r="X45" s="63"/>
      <c r="Y45" s="63"/>
      <c r="Z45" s="72"/>
      <c r="AA45" s="208"/>
      <c r="AB45" s="86">
        <v>37</v>
      </c>
      <c r="AC45" s="103">
        <v>41706</v>
      </c>
      <c r="AD45" s="97"/>
      <c r="AE45" s="13">
        <v>42</v>
      </c>
      <c r="AF45" s="90">
        <v>36</v>
      </c>
      <c r="AG45" s="103">
        <v>40728</v>
      </c>
      <c r="AH45" s="97"/>
      <c r="AM45" s="97"/>
      <c r="AN45" s="62"/>
    </row>
    <row r="46" spans="2:40" ht="16.5" customHeight="1" thickBot="1" x14ac:dyDescent="0.25">
      <c r="B46" s="43"/>
      <c r="C46" s="49"/>
      <c r="D46" s="205"/>
      <c r="E46" s="52"/>
      <c r="F46" s="7"/>
      <c r="G46" s="208"/>
      <c r="H46" s="13">
        <v>43</v>
      </c>
      <c r="I46" s="30">
        <v>32874</v>
      </c>
      <c r="J46" s="30">
        <v>33777</v>
      </c>
      <c r="K46" s="30">
        <v>34773</v>
      </c>
      <c r="L46" s="2">
        <v>35799</v>
      </c>
      <c r="M46" s="30">
        <v>36684</v>
      </c>
      <c r="N46" s="30">
        <v>37692</v>
      </c>
      <c r="O46" s="31">
        <v>38070</v>
      </c>
      <c r="P46" s="31"/>
      <c r="Q46" s="31">
        <v>38451</v>
      </c>
      <c r="R46" s="31">
        <v>39297</v>
      </c>
      <c r="S46" s="32">
        <v>100</v>
      </c>
      <c r="T46" s="32">
        <v>76.836500000000029</v>
      </c>
      <c r="U46" s="38">
        <v>39690</v>
      </c>
      <c r="V46" s="57">
        <v>40086</v>
      </c>
      <c r="W46" s="32">
        <v>40887</v>
      </c>
      <c r="X46" s="63"/>
      <c r="Y46" s="63"/>
      <c r="Z46" s="79"/>
      <c r="AA46" s="211"/>
      <c r="AB46" s="86">
        <v>38</v>
      </c>
      <c r="AC46" s="103">
        <v>42681</v>
      </c>
      <c r="AD46" s="97"/>
      <c r="AE46" s="13">
        <v>43</v>
      </c>
      <c r="AF46" s="90">
        <v>37</v>
      </c>
      <c r="AG46" s="103">
        <v>41706</v>
      </c>
      <c r="AH46" s="97"/>
      <c r="AM46" s="97"/>
      <c r="AN46" s="62"/>
    </row>
    <row r="47" spans="2:40" ht="13.5" thickBot="1" x14ac:dyDescent="0.25">
      <c r="B47" s="195" t="s">
        <v>16</v>
      </c>
      <c r="C47" s="46"/>
      <c r="D47" s="210"/>
      <c r="E47" s="52"/>
      <c r="F47" s="6"/>
      <c r="G47" s="211"/>
      <c r="H47" s="13">
        <v>44</v>
      </c>
      <c r="I47" s="30">
        <v>33642</v>
      </c>
      <c r="J47" s="30">
        <v>34566</v>
      </c>
      <c r="K47" s="30">
        <v>35586</v>
      </c>
      <c r="L47" s="2">
        <v>36636</v>
      </c>
      <c r="M47" s="30">
        <v>37542</v>
      </c>
      <c r="N47" s="30">
        <v>38574</v>
      </c>
      <c r="O47" s="31">
        <v>38961</v>
      </c>
      <c r="P47" s="31"/>
      <c r="Q47" s="31">
        <v>39351</v>
      </c>
      <c r="R47" s="31">
        <v>40218</v>
      </c>
      <c r="S47" s="32">
        <v>100</v>
      </c>
      <c r="T47" s="32">
        <v>80.981000000000023</v>
      </c>
      <c r="U47" s="38">
        <v>40620</v>
      </c>
      <c r="V47" s="57">
        <v>41025</v>
      </c>
      <c r="W47" s="32">
        <v>41847</v>
      </c>
      <c r="X47" s="63"/>
      <c r="Y47" s="63"/>
      <c r="Z47" s="198" t="s">
        <v>36</v>
      </c>
      <c r="AA47" s="83"/>
      <c r="AB47" s="86">
        <v>39</v>
      </c>
      <c r="AC47" s="103">
        <v>43590</v>
      </c>
      <c r="AD47" s="97"/>
      <c r="AE47" s="13">
        <v>44</v>
      </c>
      <c r="AF47" s="90">
        <v>38</v>
      </c>
      <c r="AG47" s="103">
        <v>42681</v>
      </c>
      <c r="AH47" s="97"/>
      <c r="AM47" s="97"/>
      <c r="AN47" s="62"/>
    </row>
    <row r="48" spans="2:40" ht="13.5" thickBot="1" x14ac:dyDescent="0.25">
      <c r="B48" s="196"/>
      <c r="C48" s="46"/>
      <c r="D48" s="45"/>
      <c r="E48" s="52"/>
      <c r="F48" s="198" t="s">
        <v>36</v>
      </c>
      <c r="G48" s="10"/>
      <c r="H48" s="13">
        <v>45</v>
      </c>
      <c r="I48" s="30">
        <v>34359</v>
      </c>
      <c r="J48" s="30">
        <v>35304</v>
      </c>
      <c r="K48" s="30">
        <v>36345</v>
      </c>
      <c r="L48" s="2">
        <v>37416</v>
      </c>
      <c r="M48" s="30">
        <v>38343</v>
      </c>
      <c r="N48" s="30">
        <v>39396</v>
      </c>
      <c r="O48" s="31">
        <v>39789</v>
      </c>
      <c r="P48" s="31"/>
      <c r="Q48" s="31">
        <v>40188</v>
      </c>
      <c r="R48" s="31">
        <v>41073</v>
      </c>
      <c r="S48" s="32">
        <v>100</v>
      </c>
      <c r="T48" s="32">
        <v>84.82850000000002</v>
      </c>
      <c r="U48" s="38">
        <v>41484</v>
      </c>
      <c r="V48" s="57">
        <v>41898</v>
      </c>
      <c r="W48" s="32">
        <v>42734</v>
      </c>
      <c r="X48" s="63"/>
      <c r="Y48" s="63"/>
      <c r="Z48" s="199"/>
      <c r="AA48" s="84"/>
      <c r="AB48" s="86">
        <v>40</v>
      </c>
      <c r="AC48" s="103">
        <v>44607</v>
      </c>
      <c r="AD48" s="97"/>
      <c r="AE48" s="13">
        <v>45</v>
      </c>
      <c r="AF48" s="90">
        <v>39</v>
      </c>
      <c r="AG48" s="103">
        <v>43590</v>
      </c>
      <c r="AH48" s="97"/>
      <c r="AM48" s="97"/>
      <c r="AN48" s="62"/>
    </row>
    <row r="49" spans="2:40" ht="13.5" thickBot="1" x14ac:dyDescent="0.25">
      <c r="B49" s="196"/>
      <c r="C49" s="46"/>
      <c r="D49" s="204" t="s">
        <v>17</v>
      </c>
      <c r="E49" s="52"/>
      <c r="F49" s="199"/>
      <c r="G49" s="11"/>
      <c r="H49" s="13">
        <v>46</v>
      </c>
      <c r="I49" s="30">
        <v>35157</v>
      </c>
      <c r="J49" s="30">
        <v>36123</v>
      </c>
      <c r="K49" s="30">
        <v>37188</v>
      </c>
      <c r="L49" s="2">
        <v>38286</v>
      </c>
      <c r="M49" s="30">
        <v>39234</v>
      </c>
      <c r="N49" s="30">
        <v>40314</v>
      </c>
      <c r="O49" s="31">
        <v>40716</v>
      </c>
      <c r="P49" s="31"/>
      <c r="Q49" s="31">
        <v>41124</v>
      </c>
      <c r="R49" s="31">
        <v>42030</v>
      </c>
      <c r="S49" s="32">
        <v>100</v>
      </c>
      <c r="T49" s="32">
        <v>89.135000000000019</v>
      </c>
      <c r="U49" s="38">
        <v>42450</v>
      </c>
      <c r="V49" s="57">
        <v>42876</v>
      </c>
      <c r="W49" s="32">
        <v>43734</v>
      </c>
      <c r="X49" s="63"/>
      <c r="Y49" s="63"/>
      <c r="Z49" s="200"/>
      <c r="AA49" s="207" t="s">
        <v>37</v>
      </c>
      <c r="AB49" s="86">
        <v>41</v>
      </c>
      <c r="AC49" s="103">
        <v>45585</v>
      </c>
      <c r="AD49" s="97"/>
      <c r="AE49" s="13">
        <v>46</v>
      </c>
      <c r="AF49" s="90">
        <v>40</v>
      </c>
      <c r="AG49" s="103">
        <v>44607</v>
      </c>
      <c r="AH49" s="97"/>
      <c r="AM49" s="97"/>
      <c r="AN49" s="62"/>
    </row>
    <row r="50" spans="2:40" ht="13.5" thickBot="1" x14ac:dyDescent="0.25">
      <c r="B50" s="197"/>
      <c r="C50" s="46"/>
      <c r="D50" s="205"/>
      <c r="E50" s="52"/>
      <c r="F50" s="200"/>
      <c r="G50" s="207" t="s">
        <v>37</v>
      </c>
      <c r="H50" s="13">
        <v>47</v>
      </c>
      <c r="I50" s="30">
        <v>35928</v>
      </c>
      <c r="J50" s="30">
        <v>36915</v>
      </c>
      <c r="K50" s="30">
        <v>38004</v>
      </c>
      <c r="L50" s="2">
        <v>39126</v>
      </c>
      <c r="M50" s="30">
        <v>40095</v>
      </c>
      <c r="N50" s="30">
        <v>41199</v>
      </c>
      <c r="O50" s="31">
        <v>41610</v>
      </c>
      <c r="P50" s="31"/>
      <c r="Q50" s="31">
        <v>42027</v>
      </c>
      <c r="R50" s="31">
        <v>42951</v>
      </c>
      <c r="S50" s="32">
        <v>100</v>
      </c>
      <c r="T50" s="32">
        <v>93.279500000000013</v>
      </c>
      <c r="U50" s="38">
        <v>43380</v>
      </c>
      <c r="V50" s="57">
        <v>43815</v>
      </c>
      <c r="W50" s="32">
        <v>44691</v>
      </c>
      <c r="X50" s="63"/>
      <c r="Y50" s="63"/>
      <c r="Z50" s="71"/>
      <c r="AA50" s="208"/>
      <c r="AB50" s="86">
        <v>42</v>
      </c>
      <c r="AC50" s="103">
        <v>46560</v>
      </c>
      <c r="AD50" s="97"/>
      <c r="AE50" s="13">
        <v>47</v>
      </c>
      <c r="AF50" s="90">
        <v>41</v>
      </c>
      <c r="AG50" s="103">
        <v>45585</v>
      </c>
      <c r="AH50" s="97"/>
      <c r="AM50" s="97"/>
      <c r="AN50" s="62"/>
    </row>
    <row r="51" spans="2:40" ht="13.5" thickBot="1" x14ac:dyDescent="0.25">
      <c r="B51" s="43"/>
      <c r="C51" s="44"/>
      <c r="D51" s="205"/>
      <c r="E51" s="52"/>
      <c r="F51" s="7"/>
      <c r="G51" s="208"/>
      <c r="H51" s="13">
        <v>48</v>
      </c>
      <c r="I51" s="30">
        <v>36696</v>
      </c>
      <c r="J51" s="30">
        <v>37704</v>
      </c>
      <c r="K51" s="30">
        <v>38817</v>
      </c>
      <c r="L51" s="2">
        <v>39963</v>
      </c>
      <c r="M51" s="30">
        <v>40953</v>
      </c>
      <c r="N51" s="30">
        <v>42078</v>
      </c>
      <c r="O51" s="31">
        <v>42498</v>
      </c>
      <c r="P51" s="31"/>
      <c r="Q51" s="31">
        <v>42924</v>
      </c>
      <c r="R51" s="31">
        <v>43869</v>
      </c>
      <c r="S51" s="32">
        <v>100</v>
      </c>
      <c r="T51" s="32">
        <v>97.410500000000013</v>
      </c>
      <c r="U51" s="38">
        <v>44307</v>
      </c>
      <c r="V51" s="57">
        <v>44751</v>
      </c>
      <c r="W51" s="32">
        <v>45645</v>
      </c>
      <c r="X51" s="63"/>
      <c r="Y51" s="63"/>
      <c r="Z51" s="72"/>
      <c r="AA51" s="211"/>
      <c r="AB51" s="86">
        <v>43</v>
      </c>
      <c r="AC51" s="103">
        <v>47511</v>
      </c>
      <c r="AD51" s="97"/>
      <c r="AE51" s="13">
        <v>48</v>
      </c>
      <c r="AF51" s="90">
        <v>42</v>
      </c>
      <c r="AG51" s="103">
        <v>46560</v>
      </c>
      <c r="AH51" s="97"/>
      <c r="AM51" s="97"/>
      <c r="AN51" s="62"/>
    </row>
    <row r="52" spans="2:40" ht="13.5" thickBot="1" x14ac:dyDescent="0.25">
      <c r="B52" s="43"/>
      <c r="C52" s="44"/>
      <c r="D52" s="210"/>
      <c r="E52" s="52"/>
      <c r="F52" s="7"/>
      <c r="G52" s="211"/>
      <c r="H52" s="13">
        <v>49</v>
      </c>
      <c r="I52" s="30">
        <v>37449</v>
      </c>
      <c r="J52" s="30">
        <v>38478</v>
      </c>
      <c r="K52" s="30">
        <v>39612</v>
      </c>
      <c r="L52" s="2">
        <v>40782</v>
      </c>
      <c r="M52" s="30">
        <v>41790</v>
      </c>
      <c r="N52" s="30">
        <v>42939</v>
      </c>
      <c r="O52" s="31">
        <v>43368</v>
      </c>
      <c r="P52" s="31"/>
      <c r="Q52" s="31">
        <v>43803</v>
      </c>
      <c r="R52" s="31">
        <v>44766</v>
      </c>
      <c r="S52" s="32">
        <v>100</v>
      </c>
      <c r="T52" s="32">
        <v>101.44700000000003</v>
      </c>
      <c r="U52" s="38">
        <v>45213</v>
      </c>
      <c r="V52" s="57">
        <v>45666</v>
      </c>
      <c r="W52" s="32">
        <v>46578</v>
      </c>
      <c r="X52" s="63"/>
      <c r="Y52" s="63"/>
      <c r="Z52" s="72"/>
      <c r="AA52" s="68"/>
      <c r="AB52" s="87" t="s">
        <v>69</v>
      </c>
      <c r="AC52" s="105">
        <v>48492</v>
      </c>
      <c r="AD52" s="98"/>
      <c r="AE52" s="13">
        <v>49</v>
      </c>
      <c r="AF52" s="90">
        <v>43</v>
      </c>
      <c r="AG52" s="103">
        <v>47511</v>
      </c>
      <c r="AH52" s="97"/>
      <c r="AM52" s="98"/>
      <c r="AN52" s="62"/>
    </row>
    <row r="53" spans="2:40" ht="13.5" thickBot="1" x14ac:dyDescent="0.25">
      <c r="B53" s="195" t="s">
        <v>18</v>
      </c>
      <c r="C53" s="46"/>
      <c r="D53" s="47"/>
      <c r="E53" s="52"/>
      <c r="F53" s="8"/>
      <c r="G53" s="10"/>
      <c r="H53" s="13" t="s">
        <v>44</v>
      </c>
      <c r="I53" s="30">
        <v>38988</v>
      </c>
      <c r="J53" s="30">
        <v>40059</v>
      </c>
      <c r="K53" s="30">
        <v>41241</v>
      </c>
      <c r="L53" s="2">
        <v>42459</v>
      </c>
      <c r="M53" s="30">
        <v>43509</v>
      </c>
      <c r="N53" s="30">
        <v>44706</v>
      </c>
      <c r="O53" s="31">
        <v>45153</v>
      </c>
      <c r="P53" s="31"/>
      <c r="Q53" s="31">
        <v>45606</v>
      </c>
      <c r="R53" s="31">
        <v>46608</v>
      </c>
      <c r="S53" s="32">
        <v>0</v>
      </c>
      <c r="T53" s="32">
        <v>0</v>
      </c>
      <c r="U53" s="38">
        <v>47073</v>
      </c>
      <c r="V53" s="57">
        <v>47544</v>
      </c>
      <c r="W53" s="101">
        <v>48495</v>
      </c>
      <c r="X53" s="110"/>
      <c r="Y53" s="110"/>
      <c r="Z53" s="72"/>
      <c r="AA53" s="80"/>
      <c r="AB53" s="87" t="s">
        <v>70</v>
      </c>
      <c r="AC53" s="105">
        <v>49464</v>
      </c>
      <c r="AD53" s="98"/>
      <c r="AE53" s="13" t="s">
        <v>44</v>
      </c>
      <c r="AF53" s="90">
        <v>45</v>
      </c>
      <c r="AG53" s="103">
        <v>49464</v>
      </c>
      <c r="AH53" s="97"/>
      <c r="AM53" s="98"/>
      <c r="AN53" s="62"/>
    </row>
    <row r="54" spans="2:40" x14ac:dyDescent="0.2">
      <c r="B54" s="196"/>
      <c r="C54" s="46"/>
      <c r="D54" s="47"/>
      <c r="E54" s="52"/>
      <c r="F54" s="198" t="s">
        <v>38</v>
      </c>
      <c r="G54" s="10"/>
      <c r="H54" s="13">
        <v>51</v>
      </c>
      <c r="I54" s="30">
        <v>39762</v>
      </c>
      <c r="J54" s="30">
        <v>40854</v>
      </c>
      <c r="K54" s="30">
        <v>42060</v>
      </c>
      <c r="L54" s="2">
        <v>43302</v>
      </c>
      <c r="M54" s="30">
        <v>44373</v>
      </c>
      <c r="N54" s="30">
        <v>45594</v>
      </c>
      <c r="O54" s="31">
        <v>46050</v>
      </c>
      <c r="P54" s="31"/>
      <c r="Q54" s="31">
        <v>46512</v>
      </c>
      <c r="R54" s="31">
        <v>47535</v>
      </c>
      <c r="S54" s="32">
        <v>0</v>
      </c>
      <c r="T54" s="32">
        <v>0</v>
      </c>
      <c r="U54" s="38">
        <v>48009</v>
      </c>
      <c r="V54" s="57">
        <v>48489</v>
      </c>
      <c r="W54" s="32">
        <v>49458</v>
      </c>
      <c r="X54" s="63"/>
      <c r="Y54" s="63"/>
      <c r="Z54" s="81"/>
      <c r="AA54" s="201" t="s">
        <v>38</v>
      </c>
      <c r="AB54" s="86">
        <v>46</v>
      </c>
      <c r="AC54" s="103">
        <v>50448</v>
      </c>
      <c r="AD54" s="97"/>
      <c r="AE54" s="13">
        <v>51</v>
      </c>
      <c r="AF54" s="90">
        <v>46</v>
      </c>
      <c r="AG54" s="103">
        <v>50448</v>
      </c>
      <c r="AH54" s="97"/>
      <c r="AM54" s="97"/>
      <c r="AN54" s="62"/>
    </row>
    <row r="55" spans="2:40" x14ac:dyDescent="0.2">
      <c r="B55" s="196"/>
      <c r="C55" s="46"/>
      <c r="D55" s="47"/>
      <c r="E55" s="52"/>
      <c r="F55" s="199"/>
      <c r="G55" s="10"/>
      <c r="H55" s="13">
        <v>52</v>
      </c>
      <c r="I55" s="30">
        <v>40548</v>
      </c>
      <c r="J55" s="30">
        <v>41664</v>
      </c>
      <c r="K55" s="30">
        <v>42894</v>
      </c>
      <c r="L55" s="2">
        <v>44160</v>
      </c>
      <c r="M55" s="30">
        <v>45252</v>
      </c>
      <c r="N55" s="30">
        <v>46497</v>
      </c>
      <c r="O55" s="31">
        <v>46962</v>
      </c>
      <c r="P55" s="31"/>
      <c r="Q55" s="31">
        <v>47433</v>
      </c>
      <c r="R55" s="31">
        <v>48477</v>
      </c>
      <c r="S55" s="32">
        <v>0</v>
      </c>
      <c r="T55" s="32">
        <v>0</v>
      </c>
      <c r="U55" s="38">
        <v>48963</v>
      </c>
      <c r="V55" s="57">
        <v>49452</v>
      </c>
      <c r="W55" s="32">
        <v>50442</v>
      </c>
      <c r="X55" s="63"/>
      <c r="Y55" s="63"/>
      <c r="Z55" s="81"/>
      <c r="AA55" s="202"/>
      <c r="AB55" s="86">
        <v>47</v>
      </c>
      <c r="AC55" s="103">
        <v>51450</v>
      </c>
      <c r="AD55" s="97"/>
      <c r="AE55" s="13">
        <v>52</v>
      </c>
      <c r="AF55" s="90">
        <v>47</v>
      </c>
      <c r="AG55" s="103">
        <v>51450</v>
      </c>
      <c r="AH55" s="97"/>
      <c r="AM55" s="97"/>
      <c r="AN55" s="62"/>
    </row>
    <row r="56" spans="2:40" ht="13.5" thickBot="1" x14ac:dyDescent="0.25">
      <c r="B56" s="197"/>
      <c r="C56" s="46"/>
      <c r="D56" s="47"/>
      <c r="E56" s="52"/>
      <c r="F56" s="200"/>
      <c r="G56" s="10"/>
      <c r="H56" s="13">
        <v>53</v>
      </c>
      <c r="I56" s="30">
        <v>41367</v>
      </c>
      <c r="J56" s="30">
        <v>42504</v>
      </c>
      <c r="K56" s="30">
        <v>43758</v>
      </c>
      <c r="L56" s="2">
        <v>45048</v>
      </c>
      <c r="M56" s="30">
        <v>46164</v>
      </c>
      <c r="N56" s="30">
        <v>47433</v>
      </c>
      <c r="O56" s="31">
        <v>47907</v>
      </c>
      <c r="P56" s="31"/>
      <c r="Q56" s="31">
        <v>48387</v>
      </c>
      <c r="R56" s="31">
        <v>49452</v>
      </c>
      <c r="S56" s="32">
        <v>0</v>
      </c>
      <c r="T56" s="32">
        <v>0</v>
      </c>
      <c r="U56" s="38">
        <v>49947</v>
      </c>
      <c r="V56" s="57">
        <v>50445</v>
      </c>
      <c r="W56" s="32">
        <v>51453</v>
      </c>
      <c r="X56" s="63"/>
      <c r="Y56" s="63"/>
      <c r="Z56" s="81"/>
      <c r="AA56" s="203"/>
      <c r="AB56" s="86">
        <v>48</v>
      </c>
      <c r="AC56" s="103">
        <v>52482</v>
      </c>
      <c r="AD56" s="97"/>
      <c r="AE56" s="13">
        <v>53</v>
      </c>
      <c r="AF56" s="90">
        <v>48</v>
      </c>
      <c r="AG56" s="103">
        <v>52482</v>
      </c>
      <c r="AH56" s="97"/>
      <c r="AM56" s="97"/>
      <c r="AN56" s="62"/>
    </row>
    <row r="57" spans="2:40" ht="13.5" thickBot="1" x14ac:dyDescent="0.25">
      <c r="B57" s="43"/>
      <c r="C57" s="44"/>
      <c r="D57" s="204" t="s">
        <v>19</v>
      </c>
      <c r="E57" s="52"/>
      <c r="F57" s="7"/>
      <c r="G57" s="11"/>
      <c r="H57" s="13" t="s">
        <v>45</v>
      </c>
      <c r="I57" s="30">
        <v>43032</v>
      </c>
      <c r="J57" s="30">
        <v>44214</v>
      </c>
      <c r="K57" s="30">
        <v>45519</v>
      </c>
      <c r="L57" s="2">
        <v>46863</v>
      </c>
      <c r="M57" s="30">
        <v>48024</v>
      </c>
      <c r="N57" s="30">
        <v>49344</v>
      </c>
      <c r="O57" s="31">
        <v>49836</v>
      </c>
      <c r="P57" s="31"/>
      <c r="Q57" s="31">
        <v>50334</v>
      </c>
      <c r="R57" s="31">
        <v>51441</v>
      </c>
      <c r="S57" s="32">
        <v>0</v>
      </c>
      <c r="T57" s="32">
        <v>0</v>
      </c>
      <c r="U57" s="38">
        <v>51954</v>
      </c>
      <c r="V57" s="57">
        <v>52476</v>
      </c>
      <c r="W57" s="101">
        <v>53525</v>
      </c>
      <c r="X57" s="110"/>
      <c r="Y57" s="110"/>
      <c r="Z57" s="72"/>
      <c r="AA57" s="68"/>
      <c r="AB57" s="87" t="s">
        <v>71</v>
      </c>
      <c r="AC57" s="105">
        <v>53544</v>
      </c>
      <c r="AD57" s="98"/>
      <c r="AE57" s="13" t="s">
        <v>45</v>
      </c>
      <c r="AF57" s="90">
        <v>50</v>
      </c>
      <c r="AG57" s="103">
        <v>54597</v>
      </c>
      <c r="AH57" s="97"/>
      <c r="AM57" s="98"/>
      <c r="AN57" s="62"/>
    </row>
    <row r="58" spans="2:40" ht="13.5" thickBot="1" x14ac:dyDescent="0.25">
      <c r="B58" s="43"/>
      <c r="C58" s="44"/>
      <c r="D58" s="205"/>
      <c r="E58" s="52"/>
      <c r="F58" s="7"/>
      <c r="G58" s="207" t="s">
        <v>39</v>
      </c>
      <c r="H58" s="13">
        <v>55</v>
      </c>
      <c r="I58" s="30">
        <v>43854</v>
      </c>
      <c r="J58" s="30">
        <v>45060</v>
      </c>
      <c r="K58" s="30">
        <v>46389</v>
      </c>
      <c r="L58" s="2">
        <v>47757</v>
      </c>
      <c r="M58" s="30">
        <v>48939</v>
      </c>
      <c r="N58" s="30">
        <v>50286</v>
      </c>
      <c r="O58" s="31">
        <v>50790</v>
      </c>
      <c r="P58" s="31"/>
      <c r="Q58" s="31">
        <v>51297</v>
      </c>
      <c r="R58" s="31">
        <v>52425</v>
      </c>
      <c r="S58" s="32">
        <v>0</v>
      </c>
      <c r="T58" s="32">
        <v>0</v>
      </c>
      <c r="U58" s="38">
        <v>52950</v>
      </c>
      <c r="V58" s="57">
        <v>53478</v>
      </c>
      <c r="W58" s="32">
        <v>54549</v>
      </c>
      <c r="X58" s="63"/>
      <c r="Y58" s="63"/>
      <c r="Z58" s="72"/>
      <c r="AA58" s="80"/>
      <c r="AB58" s="87" t="s">
        <v>44</v>
      </c>
      <c r="AC58" s="105">
        <v>54597</v>
      </c>
      <c r="AD58" s="98"/>
      <c r="AE58" s="13">
        <v>55</v>
      </c>
      <c r="AF58" s="90">
        <v>51</v>
      </c>
      <c r="AG58" s="103">
        <v>55638</v>
      </c>
      <c r="AH58" s="97"/>
      <c r="AM58" s="98"/>
      <c r="AN58" s="62"/>
    </row>
    <row r="59" spans="2:40" x14ac:dyDescent="0.2">
      <c r="B59" s="43"/>
      <c r="C59" s="44"/>
      <c r="D59" s="205"/>
      <c r="E59" s="52"/>
      <c r="F59" s="7"/>
      <c r="G59" s="208"/>
      <c r="H59" s="13">
        <v>56</v>
      </c>
      <c r="I59" s="30">
        <v>44676</v>
      </c>
      <c r="J59" s="30">
        <v>45906</v>
      </c>
      <c r="K59" s="30">
        <v>47259</v>
      </c>
      <c r="L59" s="2">
        <v>48654</v>
      </c>
      <c r="M59" s="30">
        <v>49857</v>
      </c>
      <c r="N59" s="30">
        <v>51228</v>
      </c>
      <c r="O59" s="31">
        <v>51741</v>
      </c>
      <c r="P59" s="31"/>
      <c r="Q59" s="31">
        <v>52257</v>
      </c>
      <c r="R59" s="31">
        <v>53406</v>
      </c>
      <c r="S59" s="33">
        <v>0</v>
      </c>
      <c r="T59" s="33">
        <v>0</v>
      </c>
      <c r="U59" s="38">
        <v>53940</v>
      </c>
      <c r="V59" s="57">
        <v>54480</v>
      </c>
      <c r="W59" s="32">
        <v>55569</v>
      </c>
      <c r="X59" s="63"/>
      <c r="Y59" s="63"/>
      <c r="Z59" s="72"/>
      <c r="AA59" s="207" t="s">
        <v>39</v>
      </c>
      <c r="AB59" s="86">
        <v>51</v>
      </c>
      <c r="AC59" s="106">
        <v>55638</v>
      </c>
      <c r="AD59" s="59"/>
      <c r="AE59" s="13">
        <v>56</v>
      </c>
      <c r="AF59" s="90">
        <v>52</v>
      </c>
      <c r="AG59" s="103">
        <v>56682</v>
      </c>
      <c r="AH59" s="97"/>
      <c r="AM59" s="59"/>
      <c r="AN59" s="62"/>
    </row>
    <row r="60" spans="2:40" ht="13.5" thickBot="1" x14ac:dyDescent="0.25">
      <c r="B60" s="50"/>
      <c r="C60" s="51"/>
      <c r="D60" s="206"/>
      <c r="E60" s="52"/>
      <c r="F60" s="9"/>
      <c r="G60" s="209"/>
      <c r="H60" s="14">
        <v>57</v>
      </c>
      <c r="I60" s="34">
        <v>45507</v>
      </c>
      <c r="J60" s="34">
        <v>46758</v>
      </c>
      <c r="K60" s="34">
        <v>48138</v>
      </c>
      <c r="L60" s="5">
        <v>49557</v>
      </c>
      <c r="M60" s="34">
        <v>50784</v>
      </c>
      <c r="N60" s="34">
        <v>52182</v>
      </c>
      <c r="O60" s="35">
        <v>52704</v>
      </c>
      <c r="P60" s="35"/>
      <c r="Q60" s="35">
        <v>53232</v>
      </c>
      <c r="R60" s="35">
        <v>54402</v>
      </c>
      <c r="S60" s="36">
        <v>0</v>
      </c>
      <c r="T60" s="36">
        <v>0</v>
      </c>
      <c r="U60" s="39">
        <v>54945</v>
      </c>
      <c r="V60" s="58">
        <v>55494</v>
      </c>
      <c r="W60" s="36">
        <v>56604</v>
      </c>
      <c r="X60" s="63"/>
      <c r="Y60" s="63"/>
      <c r="Z60" s="72"/>
      <c r="AA60" s="208"/>
      <c r="AB60" s="86">
        <v>52</v>
      </c>
      <c r="AC60" s="106">
        <v>56682</v>
      </c>
      <c r="AD60" s="59"/>
      <c r="AE60" s="14">
        <v>57</v>
      </c>
      <c r="AF60" s="91">
        <v>53</v>
      </c>
      <c r="AG60" s="104">
        <v>57735</v>
      </c>
      <c r="AH60" s="97"/>
      <c r="AM60" s="59"/>
      <c r="AN60" s="62"/>
    </row>
    <row r="61" spans="2:40" ht="15.75" thickBot="1" x14ac:dyDescent="0.3">
      <c r="U61" s="21"/>
      <c r="V61" s="21"/>
      <c r="W61" s="19"/>
      <c r="X61" s="19"/>
      <c r="Y61" s="19"/>
      <c r="Z61" s="82"/>
      <c r="AA61" s="209"/>
      <c r="AB61" s="88">
        <v>53</v>
      </c>
      <c r="AC61" s="107">
        <v>57735</v>
      </c>
      <c r="AD61" s="59"/>
      <c r="AE61" s="19"/>
      <c r="AM61" s="59"/>
      <c r="AN61" s="62"/>
    </row>
    <row r="62" spans="2:40" ht="15" x14ac:dyDescent="0.25">
      <c r="U62" s="21"/>
      <c r="V62" s="21"/>
      <c r="W62" s="19"/>
      <c r="X62" s="19"/>
      <c r="Y62" s="19"/>
      <c r="Z62" s="19"/>
      <c r="AA62" s="19"/>
      <c r="AB62" s="19"/>
      <c r="AC62" s="19"/>
      <c r="AD62" s="19"/>
      <c r="AE62" s="19"/>
      <c r="AK62" s="61"/>
      <c r="AL62" s="59"/>
      <c r="AM62" s="59"/>
    </row>
    <row r="63" spans="2:40" ht="15" x14ac:dyDescent="0.25">
      <c r="F63" s="92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92"/>
      <c r="AI63" s="92"/>
      <c r="AK63" s="61"/>
      <c r="AL63" s="59"/>
      <c r="AM63" s="59"/>
    </row>
    <row r="64" spans="2:40" ht="15" x14ac:dyDescent="0.25"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K64" s="61"/>
      <c r="AL64" s="59"/>
      <c r="AM64" s="59"/>
    </row>
    <row r="65" spans="21:39" ht="15" x14ac:dyDescent="0.25"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K65" s="61"/>
      <c r="AL65" s="59"/>
      <c r="AM65" s="59"/>
    </row>
    <row r="66" spans="21:39" ht="15" x14ac:dyDescent="0.25"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K66" s="61"/>
      <c r="AL66" s="59"/>
      <c r="AM66" s="59"/>
    </row>
    <row r="67" spans="21:39" ht="15" x14ac:dyDescent="0.25"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K67" s="61"/>
      <c r="AL67" s="59"/>
      <c r="AM67" s="59"/>
    </row>
    <row r="68" spans="21:39" ht="15" x14ac:dyDescent="0.25"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K68" s="61"/>
      <c r="AL68" s="59"/>
      <c r="AM68" s="59"/>
    </row>
    <row r="69" spans="21:39" ht="15" x14ac:dyDescent="0.25"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K69" s="61"/>
      <c r="AL69" s="59"/>
      <c r="AM69" s="59"/>
    </row>
    <row r="70" spans="21:39" ht="15" x14ac:dyDescent="0.25"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K70" s="61"/>
      <c r="AL70" s="59"/>
      <c r="AM70" s="59"/>
    </row>
    <row r="71" spans="21:39" ht="15" x14ac:dyDescent="0.25"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K71" s="61"/>
      <c r="AL71" s="59"/>
      <c r="AM71" s="59"/>
    </row>
    <row r="72" spans="21:39" ht="15" x14ac:dyDescent="0.25"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K72" s="61"/>
      <c r="AL72" s="59"/>
      <c r="AM72" s="59"/>
    </row>
    <row r="73" spans="21:39" ht="15" x14ac:dyDescent="0.25"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K73" s="61"/>
      <c r="AL73" s="59"/>
      <c r="AM73" s="59"/>
    </row>
  </sheetData>
  <mergeCells count="64">
    <mergeCell ref="F1:AC1"/>
    <mergeCell ref="F3:W5"/>
    <mergeCell ref="Z3:AC5"/>
    <mergeCell ref="AE3:AG5"/>
    <mergeCell ref="AT5:AU5"/>
    <mergeCell ref="AE6:AE8"/>
    <mergeCell ref="AF6:AF8"/>
    <mergeCell ref="AG6:AG8"/>
    <mergeCell ref="B7:B14"/>
    <mergeCell ref="F8:F9"/>
    <mergeCell ref="AA9:AA10"/>
    <mergeCell ref="G10:G11"/>
    <mergeCell ref="Z10:Z11"/>
    <mergeCell ref="AA11:AA12"/>
    <mergeCell ref="F12:F14"/>
    <mergeCell ref="B6:D6"/>
    <mergeCell ref="F6:G6"/>
    <mergeCell ref="Z6:AA8"/>
    <mergeCell ref="AB6:AB8"/>
    <mergeCell ref="AC6:AC8"/>
    <mergeCell ref="Z13:Z14"/>
    <mergeCell ref="D14:D16"/>
    <mergeCell ref="G14:G16"/>
    <mergeCell ref="AA16:AA18"/>
    <mergeCell ref="B17:B20"/>
    <mergeCell ref="F18:F20"/>
    <mergeCell ref="D21:D24"/>
    <mergeCell ref="AA21:AA23"/>
    <mergeCell ref="G22:G24"/>
    <mergeCell ref="B25:B28"/>
    <mergeCell ref="F26:F28"/>
    <mergeCell ref="AA26:AA28"/>
    <mergeCell ref="AA34:AA36"/>
    <mergeCell ref="D35:D37"/>
    <mergeCell ref="G35:G37"/>
    <mergeCell ref="B36:B39"/>
    <mergeCell ref="Z36:Z38"/>
    <mergeCell ref="F37:F39"/>
    <mergeCell ref="D38:D41"/>
    <mergeCell ref="AA38:AA40"/>
    <mergeCell ref="G39:G41"/>
    <mergeCell ref="B41:B44"/>
    <mergeCell ref="Z41:Z43"/>
    <mergeCell ref="F42:F44"/>
    <mergeCell ref="D44:D47"/>
    <mergeCell ref="AA44:AA46"/>
    <mergeCell ref="G45:G47"/>
    <mergeCell ref="B47:B50"/>
    <mergeCell ref="D29:D31"/>
    <mergeCell ref="G29:G31"/>
    <mergeCell ref="Z31:Z33"/>
    <mergeCell ref="B32:B34"/>
    <mergeCell ref="F32:F34"/>
    <mergeCell ref="Z47:Z49"/>
    <mergeCell ref="F48:F50"/>
    <mergeCell ref="D49:D52"/>
    <mergeCell ref="AA49:AA51"/>
    <mergeCell ref="G50:G52"/>
    <mergeCell ref="B53:B56"/>
    <mergeCell ref="F54:F56"/>
    <mergeCell ref="AA54:AA56"/>
    <mergeCell ref="D57:D60"/>
    <mergeCell ref="G58:G60"/>
    <mergeCell ref="AA59:AA61"/>
  </mergeCells>
  <pageMargins left="0.25" right="0.25" top="0.75" bottom="0.75" header="0.3" footer="0.3"/>
  <pageSetup paperSize="9" scale="73" orientation="portrait" r:id="rId1"/>
  <headerFooter alignWithMargins="0"/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9676-96DF-4E67-A426-0548ED1EE526}">
  <dimension ref="C2:O82"/>
  <sheetViews>
    <sheetView tabSelected="1" topLeftCell="B31" workbookViewId="0">
      <selection activeCell="E11" sqref="E11"/>
    </sheetView>
  </sheetViews>
  <sheetFormatPr defaultRowHeight="12.75" x14ac:dyDescent="0.2"/>
  <cols>
    <col min="4" max="4" width="16.85546875" customWidth="1"/>
    <col min="5" max="5" width="21.5703125" customWidth="1"/>
    <col min="6" max="8" width="0" hidden="1" customWidth="1"/>
  </cols>
  <sheetData>
    <row r="2" spans="3:15" ht="18" x14ac:dyDescent="0.25">
      <c r="C2" s="163" t="s">
        <v>114</v>
      </c>
    </row>
    <row r="3" spans="3:15" ht="13.5" thickBot="1" x14ac:dyDescent="0.25">
      <c r="O3" s="21"/>
    </row>
    <row r="4" spans="3:15" x14ac:dyDescent="0.2">
      <c r="C4" s="212" t="s">
        <v>79</v>
      </c>
      <c r="D4" s="230"/>
      <c r="E4" s="215" t="s">
        <v>60</v>
      </c>
      <c r="F4" s="218" t="s">
        <v>95</v>
      </c>
      <c r="G4" s="218" t="s">
        <v>100</v>
      </c>
      <c r="H4" s="244" t="s">
        <v>109</v>
      </c>
      <c r="I4" s="240" t="s">
        <v>113</v>
      </c>
      <c r="J4" s="240" t="s">
        <v>115</v>
      </c>
      <c r="O4" s="21"/>
    </row>
    <row r="5" spans="3:15" x14ac:dyDescent="0.2">
      <c r="C5" s="213"/>
      <c r="D5" s="231"/>
      <c r="E5" s="216"/>
      <c r="F5" s="219"/>
      <c r="G5" s="219"/>
      <c r="H5" s="245"/>
      <c r="I5" s="240"/>
      <c r="J5" s="240"/>
      <c r="O5" s="21"/>
    </row>
    <row r="6" spans="3:15" ht="13.5" thickBot="1" x14ac:dyDescent="0.25">
      <c r="C6" s="214"/>
      <c r="D6" s="232"/>
      <c r="E6" s="217"/>
      <c r="F6" s="219"/>
      <c r="G6" s="219"/>
      <c r="H6" s="245"/>
      <c r="I6" s="240"/>
      <c r="J6" s="240"/>
    </row>
    <row r="7" spans="3:15" ht="25.5" x14ac:dyDescent="0.2">
      <c r="C7" s="74"/>
      <c r="D7" s="241" t="s">
        <v>80</v>
      </c>
      <c r="E7" s="141" t="s">
        <v>81</v>
      </c>
      <c r="F7" s="167">
        <v>21228</v>
      </c>
      <c r="G7" s="177">
        <v>23457</v>
      </c>
      <c r="H7" s="180" t="s">
        <v>110</v>
      </c>
      <c r="I7" s="179" t="s">
        <v>110</v>
      </c>
      <c r="J7" s="179" t="s">
        <v>110</v>
      </c>
      <c r="L7" s="164"/>
      <c r="O7" s="21"/>
    </row>
    <row r="8" spans="3:15" ht="13.5" thickBot="1" x14ac:dyDescent="0.25">
      <c r="C8" s="74"/>
      <c r="D8" s="242"/>
      <c r="E8" s="189">
        <v>2</v>
      </c>
      <c r="F8" s="190">
        <v>21399</v>
      </c>
      <c r="G8" s="191">
        <v>23628</v>
      </c>
      <c r="H8" s="192">
        <v>25854</v>
      </c>
      <c r="I8" s="193">
        <v>27345</v>
      </c>
      <c r="J8" s="193">
        <v>28221</v>
      </c>
      <c r="K8" s="194" t="s">
        <v>119</v>
      </c>
      <c r="L8" s="21"/>
      <c r="O8" s="21"/>
    </row>
    <row r="9" spans="3:15" ht="13.5" thickBot="1" x14ac:dyDescent="0.25">
      <c r="C9" s="241" t="s">
        <v>25</v>
      </c>
      <c r="D9" s="243"/>
      <c r="E9" s="143">
        <v>3</v>
      </c>
      <c r="F9" s="157">
        <v>21783</v>
      </c>
      <c r="G9" s="178">
        <v>24012</v>
      </c>
      <c r="H9" s="181">
        <v>26238</v>
      </c>
      <c r="I9" s="183">
        <v>27729</v>
      </c>
      <c r="J9" s="183">
        <v>28617</v>
      </c>
      <c r="L9" s="21"/>
      <c r="O9" s="21"/>
    </row>
    <row r="10" spans="3:15" ht="13.5" thickBot="1" x14ac:dyDescent="0.25">
      <c r="C10" s="242"/>
      <c r="D10" s="77"/>
      <c r="E10" s="143">
        <v>4</v>
      </c>
      <c r="F10" s="157">
        <v>22179</v>
      </c>
      <c r="G10" s="178">
        <v>24408</v>
      </c>
      <c r="H10" s="181">
        <v>26634</v>
      </c>
      <c r="I10" s="183">
        <v>28125</v>
      </c>
      <c r="J10" s="183">
        <v>29025</v>
      </c>
      <c r="L10" s="21"/>
    </row>
    <row r="11" spans="3:15" ht="13.5" thickBot="1" x14ac:dyDescent="0.25">
      <c r="C11" s="243"/>
      <c r="D11" s="241" t="s">
        <v>26</v>
      </c>
      <c r="E11" s="143">
        <v>5</v>
      </c>
      <c r="F11" s="157">
        <v>22575</v>
      </c>
      <c r="G11" s="178">
        <v>24804</v>
      </c>
      <c r="H11" s="181">
        <v>27030</v>
      </c>
      <c r="I11" s="183">
        <v>28521</v>
      </c>
      <c r="J11" s="183">
        <v>29436</v>
      </c>
      <c r="K11" s="21"/>
      <c r="L11" s="21"/>
      <c r="O11" s="21"/>
    </row>
    <row r="12" spans="3:15" x14ac:dyDescent="0.2">
      <c r="C12" s="150"/>
      <c r="D12" s="242"/>
      <c r="E12" s="143">
        <v>6</v>
      </c>
      <c r="F12" s="157">
        <v>22983</v>
      </c>
      <c r="G12" s="178">
        <v>25212</v>
      </c>
      <c r="H12" s="181">
        <v>27438</v>
      </c>
      <c r="I12" s="183">
        <v>28929</v>
      </c>
      <c r="J12" s="183">
        <v>29856</v>
      </c>
      <c r="L12" s="21"/>
      <c r="O12" s="21"/>
    </row>
    <row r="13" spans="3:15" ht="13.5" thickBot="1" x14ac:dyDescent="0.25">
      <c r="C13" s="151"/>
      <c r="D13" s="243"/>
      <c r="E13" s="143">
        <v>7</v>
      </c>
      <c r="F13" s="157">
        <v>23400</v>
      </c>
      <c r="G13" s="178">
        <v>25629</v>
      </c>
      <c r="H13" s="181">
        <v>27855</v>
      </c>
      <c r="I13" s="183">
        <v>29346</v>
      </c>
      <c r="J13" s="183">
        <v>30288</v>
      </c>
      <c r="K13" s="21"/>
      <c r="L13" s="21"/>
      <c r="O13" s="21"/>
    </row>
    <row r="14" spans="3:15" x14ac:dyDescent="0.2">
      <c r="C14" s="74"/>
      <c r="D14" s="241" t="s">
        <v>27</v>
      </c>
      <c r="E14" s="143">
        <v>8</v>
      </c>
      <c r="F14" s="157">
        <v>23817</v>
      </c>
      <c r="G14" s="178">
        <v>26046</v>
      </c>
      <c r="H14" s="181">
        <v>28272</v>
      </c>
      <c r="I14" s="183">
        <v>29763</v>
      </c>
      <c r="J14" s="183">
        <v>30717</v>
      </c>
      <c r="K14" s="21"/>
      <c r="L14" s="21"/>
    </row>
    <row r="15" spans="3:15" x14ac:dyDescent="0.2">
      <c r="C15" s="74"/>
      <c r="D15" s="242"/>
      <c r="E15" s="143">
        <v>9</v>
      </c>
      <c r="F15" s="157">
        <v>24243</v>
      </c>
      <c r="G15" s="178">
        <v>26472</v>
      </c>
      <c r="H15" s="181">
        <v>28698</v>
      </c>
      <c r="I15" s="183">
        <v>30189</v>
      </c>
      <c r="J15" s="183">
        <v>31158</v>
      </c>
      <c r="K15" s="21"/>
      <c r="L15" s="21"/>
      <c r="O15" s="21"/>
    </row>
    <row r="16" spans="3:15" ht="13.5" thickBot="1" x14ac:dyDescent="0.25">
      <c r="C16" s="74"/>
      <c r="D16" s="243"/>
      <c r="E16" s="143">
        <v>10</v>
      </c>
      <c r="F16" s="157">
        <v>24684</v>
      </c>
      <c r="G16" s="178">
        <v>26913</v>
      </c>
      <c r="H16" s="181">
        <v>29139</v>
      </c>
      <c r="I16" s="183">
        <v>30630</v>
      </c>
      <c r="J16" s="183">
        <v>31611</v>
      </c>
      <c r="L16" s="21"/>
      <c r="O16" s="21"/>
    </row>
    <row r="17" spans="3:15" x14ac:dyDescent="0.2">
      <c r="C17" s="74"/>
      <c r="D17" s="68"/>
      <c r="E17" s="87" t="s">
        <v>63</v>
      </c>
      <c r="F17" s="156">
        <v>25128</v>
      </c>
      <c r="G17" s="156">
        <v>27357</v>
      </c>
      <c r="H17" s="182">
        <v>29583</v>
      </c>
      <c r="I17" s="184">
        <v>31074</v>
      </c>
      <c r="J17" s="184">
        <v>32070</v>
      </c>
      <c r="K17" s="21"/>
      <c r="L17" s="21"/>
      <c r="O17" s="21"/>
    </row>
    <row r="18" spans="3:15" ht="13.5" thickBot="1" x14ac:dyDescent="0.25">
      <c r="C18" s="74"/>
      <c r="D18" s="70"/>
      <c r="E18" s="87" t="s">
        <v>64</v>
      </c>
      <c r="F18" s="156">
        <v>25578</v>
      </c>
      <c r="G18" s="156">
        <v>27807</v>
      </c>
      <c r="H18" s="182">
        <v>30033</v>
      </c>
      <c r="I18" s="184">
        <v>31524</v>
      </c>
      <c r="J18" s="184">
        <v>32535</v>
      </c>
      <c r="K18" s="21"/>
      <c r="L18" s="21"/>
    </row>
    <row r="19" spans="3:15" x14ac:dyDescent="0.2">
      <c r="C19" s="75"/>
      <c r="D19" s="201" t="s">
        <v>28</v>
      </c>
      <c r="E19" s="143">
        <v>13</v>
      </c>
      <c r="F19" s="157">
        <v>26040</v>
      </c>
      <c r="G19" s="157">
        <v>28269</v>
      </c>
      <c r="H19" s="178">
        <v>30495</v>
      </c>
      <c r="I19" s="183">
        <v>31986</v>
      </c>
      <c r="J19" s="183">
        <v>33012</v>
      </c>
      <c r="K19" s="21"/>
      <c r="L19" s="21"/>
      <c r="O19" s="21"/>
    </row>
    <row r="20" spans="3:15" x14ac:dyDescent="0.2">
      <c r="C20" s="75"/>
      <c r="D20" s="202"/>
      <c r="E20" s="143">
        <v>14</v>
      </c>
      <c r="F20" s="157">
        <v>26508</v>
      </c>
      <c r="G20" s="157">
        <v>28737</v>
      </c>
      <c r="H20" s="178">
        <v>30963</v>
      </c>
      <c r="I20" s="183">
        <v>32454</v>
      </c>
      <c r="J20" s="183">
        <v>33495</v>
      </c>
      <c r="L20" s="21"/>
      <c r="O20" s="21"/>
    </row>
    <row r="21" spans="3:15" ht="13.5" thickBot="1" x14ac:dyDescent="0.25">
      <c r="C21" s="75"/>
      <c r="D21" s="203"/>
      <c r="E21" s="143">
        <v>15</v>
      </c>
      <c r="F21" s="157">
        <v>26985</v>
      </c>
      <c r="G21" s="157">
        <v>29214</v>
      </c>
      <c r="H21" s="178">
        <v>31440</v>
      </c>
      <c r="I21" s="183">
        <v>32931</v>
      </c>
      <c r="J21" s="183">
        <v>33987</v>
      </c>
      <c r="K21" s="21"/>
      <c r="L21" s="21"/>
      <c r="O21" s="21"/>
    </row>
    <row r="22" spans="3:15" x14ac:dyDescent="0.2">
      <c r="C22" s="74"/>
      <c r="D22" s="68"/>
      <c r="E22" s="87" t="s">
        <v>65</v>
      </c>
      <c r="F22" s="156">
        <v>27471</v>
      </c>
      <c r="G22" s="156">
        <v>29700</v>
      </c>
      <c r="H22" s="182">
        <v>31926</v>
      </c>
      <c r="I22" s="184">
        <v>33417</v>
      </c>
      <c r="J22" s="184">
        <v>34488</v>
      </c>
      <c r="K22" s="21"/>
      <c r="L22" s="21"/>
    </row>
    <row r="23" spans="3:15" ht="13.5" thickBot="1" x14ac:dyDescent="0.25">
      <c r="C23" s="74"/>
      <c r="D23" s="70"/>
      <c r="E23" s="87" t="s">
        <v>66</v>
      </c>
      <c r="F23" s="156">
        <v>27966</v>
      </c>
      <c r="G23" s="156">
        <v>30195</v>
      </c>
      <c r="H23" s="182">
        <v>32421</v>
      </c>
      <c r="I23" s="184">
        <v>33912</v>
      </c>
      <c r="J23" s="184">
        <v>34998</v>
      </c>
      <c r="K23" s="21"/>
      <c r="L23" s="21"/>
      <c r="O23" s="21"/>
    </row>
    <row r="24" spans="3:15" x14ac:dyDescent="0.2">
      <c r="C24" s="74"/>
      <c r="D24" s="201" t="s">
        <v>29</v>
      </c>
      <c r="E24" s="143">
        <v>18</v>
      </c>
      <c r="F24" s="157">
        <v>28470</v>
      </c>
      <c r="G24" s="157">
        <v>30699</v>
      </c>
      <c r="H24" s="178">
        <v>32925</v>
      </c>
      <c r="I24" s="183">
        <v>34416</v>
      </c>
      <c r="J24" s="183">
        <v>35520</v>
      </c>
      <c r="L24" s="21"/>
      <c r="O24" s="21"/>
    </row>
    <row r="25" spans="3:15" x14ac:dyDescent="0.2">
      <c r="C25" s="74"/>
      <c r="D25" s="202"/>
      <c r="E25" s="143">
        <v>19</v>
      </c>
      <c r="F25" s="157">
        <v>28983</v>
      </c>
      <c r="G25" s="157">
        <v>31212</v>
      </c>
      <c r="H25" s="178">
        <v>33438</v>
      </c>
      <c r="I25" s="183">
        <v>34929</v>
      </c>
      <c r="J25" s="183">
        <v>36048</v>
      </c>
      <c r="K25" s="21"/>
      <c r="O25" s="21"/>
    </row>
    <row r="26" spans="3:15" ht="13.5" thickBot="1" x14ac:dyDescent="0.25">
      <c r="C26" s="74"/>
      <c r="D26" s="203"/>
      <c r="E26" s="143">
        <v>20</v>
      </c>
      <c r="F26" s="157">
        <v>29502</v>
      </c>
      <c r="G26" s="157">
        <v>31731</v>
      </c>
      <c r="H26" s="178">
        <v>33957</v>
      </c>
      <c r="I26" s="183">
        <v>35448</v>
      </c>
      <c r="J26" s="183">
        <v>36585</v>
      </c>
      <c r="K26" s="21"/>
      <c r="L26" s="21"/>
    </row>
    <row r="27" spans="3:15" x14ac:dyDescent="0.2">
      <c r="C27" s="74"/>
      <c r="D27" s="68"/>
      <c r="E27" s="87" t="s">
        <v>68</v>
      </c>
      <c r="F27" s="156">
        <v>30036</v>
      </c>
      <c r="G27" s="156">
        <v>32265</v>
      </c>
      <c r="H27" s="182">
        <v>34491</v>
      </c>
      <c r="I27" s="184">
        <v>35982</v>
      </c>
      <c r="J27" s="184">
        <v>37134</v>
      </c>
      <c r="K27" s="21"/>
      <c r="L27" s="21"/>
      <c r="O27" s="21"/>
    </row>
    <row r="28" spans="3:15" ht="13.5" thickBot="1" x14ac:dyDescent="0.25">
      <c r="C28" s="76"/>
      <c r="D28" s="69"/>
      <c r="E28" s="87" t="s">
        <v>43</v>
      </c>
      <c r="F28" s="156">
        <v>30576</v>
      </c>
      <c r="G28" s="156">
        <v>32805</v>
      </c>
      <c r="H28" s="182">
        <v>35031</v>
      </c>
      <c r="I28" s="184">
        <v>36522</v>
      </c>
      <c r="J28" s="184">
        <v>37692</v>
      </c>
      <c r="L28" s="21"/>
      <c r="O28" s="21"/>
    </row>
    <row r="29" spans="3:15" x14ac:dyDescent="0.2">
      <c r="C29" s="198" t="s">
        <v>30</v>
      </c>
      <c r="D29" s="69"/>
      <c r="E29" s="143">
        <v>23</v>
      </c>
      <c r="F29" s="157">
        <v>31122</v>
      </c>
      <c r="G29" s="157">
        <v>33351</v>
      </c>
      <c r="H29" s="178">
        <v>35577</v>
      </c>
      <c r="I29" s="183">
        <v>37068</v>
      </c>
      <c r="J29" s="183">
        <v>38256</v>
      </c>
      <c r="K29" s="21"/>
      <c r="O29" s="21"/>
    </row>
    <row r="30" spans="3:15" x14ac:dyDescent="0.2">
      <c r="C30" s="199"/>
      <c r="D30" s="69"/>
      <c r="E30" s="143">
        <v>24</v>
      </c>
      <c r="F30" s="157">
        <v>31590</v>
      </c>
      <c r="G30" s="157">
        <v>33819</v>
      </c>
      <c r="H30" s="178">
        <v>36045</v>
      </c>
      <c r="I30" s="183">
        <v>37536</v>
      </c>
      <c r="J30" s="183">
        <v>38739</v>
      </c>
      <c r="K30" s="21"/>
      <c r="L30" s="21"/>
    </row>
    <row r="31" spans="3:15" ht="13.5" thickBot="1" x14ac:dyDescent="0.25">
      <c r="C31" s="200"/>
      <c r="D31" s="70"/>
      <c r="E31" s="143">
        <v>25</v>
      </c>
      <c r="F31" s="157">
        <v>32112</v>
      </c>
      <c r="G31" s="157">
        <v>34341</v>
      </c>
      <c r="H31" s="178">
        <v>36567</v>
      </c>
      <c r="I31" s="183">
        <v>38058</v>
      </c>
      <c r="J31" s="183">
        <v>39276</v>
      </c>
      <c r="K31" s="21"/>
      <c r="L31" s="21"/>
      <c r="O31" s="21"/>
    </row>
    <row r="32" spans="3:15" x14ac:dyDescent="0.2">
      <c r="C32" s="77"/>
      <c r="D32" s="201" t="s">
        <v>31</v>
      </c>
      <c r="E32" s="143">
        <v>26</v>
      </c>
      <c r="F32" s="157">
        <v>32988</v>
      </c>
      <c r="G32" s="157">
        <v>35217</v>
      </c>
      <c r="H32" s="178">
        <v>37443</v>
      </c>
      <c r="I32" s="183">
        <v>38934</v>
      </c>
      <c r="J32" s="183">
        <v>40182</v>
      </c>
      <c r="L32" s="21"/>
      <c r="O32" s="21"/>
    </row>
    <row r="33" spans="3:15" ht="13.5" thickBot="1" x14ac:dyDescent="0.25">
      <c r="C33" s="78"/>
      <c r="D33" s="202"/>
      <c r="E33" s="143">
        <v>27</v>
      </c>
      <c r="F33" s="157">
        <v>33909</v>
      </c>
      <c r="G33" s="157">
        <v>36138</v>
      </c>
      <c r="H33" s="178">
        <v>38364</v>
      </c>
      <c r="I33" s="183">
        <v>39855</v>
      </c>
      <c r="J33" s="183">
        <v>41133</v>
      </c>
      <c r="K33" s="21"/>
      <c r="O33" s="21"/>
    </row>
    <row r="34" spans="3:15" ht="13.5" thickBot="1" x14ac:dyDescent="0.25">
      <c r="C34" s="198" t="s">
        <v>32</v>
      </c>
      <c r="D34" s="203"/>
      <c r="E34" s="143">
        <v>28</v>
      </c>
      <c r="F34" s="157">
        <v>34809</v>
      </c>
      <c r="G34" s="157">
        <v>37038</v>
      </c>
      <c r="H34" s="178">
        <v>39264</v>
      </c>
      <c r="I34" s="183">
        <v>40755</v>
      </c>
      <c r="J34" s="183">
        <v>42060</v>
      </c>
      <c r="K34" s="21"/>
      <c r="L34" s="21"/>
    </row>
    <row r="35" spans="3:15" ht="13.5" thickBot="1" x14ac:dyDescent="0.25">
      <c r="C35" s="199"/>
      <c r="D35" s="12"/>
      <c r="E35" s="143">
        <v>29</v>
      </c>
      <c r="F35" s="157">
        <v>35496</v>
      </c>
      <c r="G35" s="157">
        <v>37725</v>
      </c>
      <c r="H35" s="178">
        <v>39951</v>
      </c>
      <c r="I35" s="183">
        <v>41442</v>
      </c>
      <c r="J35" s="183">
        <v>42771</v>
      </c>
      <c r="K35" s="21"/>
      <c r="L35" s="21"/>
      <c r="O35" s="21"/>
    </row>
    <row r="36" spans="3:15" ht="13.5" thickBot="1" x14ac:dyDescent="0.25">
      <c r="C36" s="200"/>
      <c r="D36" s="207" t="s">
        <v>33</v>
      </c>
      <c r="E36" s="143">
        <v>30</v>
      </c>
      <c r="F36" s="157">
        <v>36378</v>
      </c>
      <c r="G36" s="157">
        <v>38607</v>
      </c>
      <c r="H36" s="178">
        <v>40833</v>
      </c>
      <c r="I36" s="183">
        <v>42324</v>
      </c>
      <c r="J36" s="183">
        <v>43680</v>
      </c>
      <c r="L36" s="21"/>
      <c r="O36" s="21"/>
    </row>
    <row r="37" spans="3:15" x14ac:dyDescent="0.2">
      <c r="C37" s="71"/>
      <c r="D37" s="208"/>
      <c r="E37" s="143">
        <v>31</v>
      </c>
      <c r="F37" s="157">
        <v>37353</v>
      </c>
      <c r="G37" s="157">
        <v>39582</v>
      </c>
      <c r="H37" s="178">
        <v>41808</v>
      </c>
      <c r="I37" s="183">
        <v>43299</v>
      </c>
      <c r="J37" s="183">
        <v>44685</v>
      </c>
      <c r="K37" s="21"/>
      <c r="O37" s="21"/>
    </row>
    <row r="38" spans="3:15" ht="13.5" thickBot="1" x14ac:dyDescent="0.25">
      <c r="C38" s="79"/>
      <c r="D38" s="211"/>
      <c r="E38" s="143">
        <v>32</v>
      </c>
      <c r="F38" s="157">
        <v>38385</v>
      </c>
      <c r="G38" s="157">
        <v>40614</v>
      </c>
      <c r="H38" s="178">
        <v>42840</v>
      </c>
      <c r="I38" s="183">
        <v>44331</v>
      </c>
      <c r="J38" s="183">
        <v>45750</v>
      </c>
      <c r="K38" s="21"/>
    </row>
    <row r="39" spans="3:15" x14ac:dyDescent="0.2">
      <c r="C39" s="198" t="s">
        <v>34</v>
      </c>
      <c r="D39" s="68"/>
      <c r="E39" s="143">
        <v>33</v>
      </c>
      <c r="F39" s="157">
        <v>39564</v>
      </c>
      <c r="G39" s="157">
        <v>41793</v>
      </c>
      <c r="H39" s="178">
        <v>44019</v>
      </c>
      <c r="I39" s="183">
        <v>45510</v>
      </c>
      <c r="J39" s="183">
        <v>46968</v>
      </c>
      <c r="K39" s="21"/>
      <c r="O39" s="21"/>
    </row>
    <row r="40" spans="3:15" x14ac:dyDescent="0.2">
      <c r="C40" s="199"/>
      <c r="D40" s="69"/>
      <c r="E40" s="143">
        <v>34</v>
      </c>
      <c r="F40" s="157">
        <v>40566</v>
      </c>
      <c r="G40" s="157">
        <v>42795</v>
      </c>
      <c r="H40" s="178">
        <v>45021</v>
      </c>
      <c r="I40" s="183">
        <v>46512</v>
      </c>
      <c r="J40" s="183">
        <v>48003</v>
      </c>
      <c r="O40" s="21"/>
    </row>
    <row r="41" spans="3:15" ht="13.5" thickBot="1" x14ac:dyDescent="0.25">
      <c r="C41" s="200"/>
      <c r="D41" s="80"/>
      <c r="E41" s="143">
        <v>35</v>
      </c>
      <c r="F41" s="157">
        <v>41586</v>
      </c>
      <c r="G41" s="157">
        <v>43815</v>
      </c>
      <c r="H41" s="178">
        <v>46041</v>
      </c>
      <c r="I41" s="183">
        <v>47532</v>
      </c>
      <c r="J41" s="183">
        <v>49056</v>
      </c>
      <c r="K41" s="21"/>
      <c r="O41" s="21"/>
    </row>
    <row r="42" spans="3:15" x14ac:dyDescent="0.2">
      <c r="C42" s="71"/>
      <c r="D42" s="207" t="s">
        <v>35</v>
      </c>
      <c r="E42" s="143">
        <v>36</v>
      </c>
      <c r="F42" s="157">
        <v>42585</v>
      </c>
      <c r="G42" s="157">
        <v>44814</v>
      </c>
      <c r="H42" s="178">
        <v>47040</v>
      </c>
      <c r="I42" s="183">
        <v>48531</v>
      </c>
      <c r="J42" s="183">
        <v>50085</v>
      </c>
      <c r="K42" s="21"/>
    </row>
    <row r="43" spans="3:15" x14ac:dyDescent="0.2">
      <c r="C43" s="72"/>
      <c r="D43" s="208"/>
      <c r="E43" s="143">
        <v>37</v>
      </c>
      <c r="F43" s="157">
        <v>43605</v>
      </c>
      <c r="G43" s="157">
        <v>45834</v>
      </c>
      <c r="H43" s="178">
        <v>48060</v>
      </c>
      <c r="I43" s="183">
        <v>49551</v>
      </c>
      <c r="J43" s="183">
        <v>51138</v>
      </c>
      <c r="K43" s="21"/>
      <c r="O43" s="21"/>
    </row>
    <row r="44" spans="3:15" ht="13.5" thickBot="1" x14ac:dyDescent="0.25">
      <c r="C44" s="79"/>
      <c r="D44" s="211"/>
      <c r="E44" s="143">
        <v>38</v>
      </c>
      <c r="F44" s="157">
        <v>44628</v>
      </c>
      <c r="G44" s="157">
        <v>46857</v>
      </c>
      <c r="H44" s="178">
        <v>49083</v>
      </c>
      <c r="I44" s="183">
        <v>50574</v>
      </c>
      <c r="J44" s="183">
        <v>52194</v>
      </c>
      <c r="O44" s="21"/>
    </row>
    <row r="45" spans="3:15" x14ac:dyDescent="0.2">
      <c r="C45" s="198" t="s">
        <v>36</v>
      </c>
      <c r="D45" s="83"/>
      <c r="E45" s="143">
        <v>39</v>
      </c>
      <c r="F45" s="157">
        <v>45576</v>
      </c>
      <c r="G45" s="157">
        <v>47805</v>
      </c>
      <c r="H45" s="178">
        <v>50031</v>
      </c>
      <c r="I45" s="183">
        <v>51522</v>
      </c>
      <c r="J45" s="183">
        <v>53172</v>
      </c>
      <c r="K45" s="21"/>
      <c r="O45" s="21"/>
    </row>
    <row r="46" spans="3:15" ht="13.5" thickBot="1" x14ac:dyDescent="0.25">
      <c r="C46" s="199"/>
      <c r="D46" s="84"/>
      <c r="E46" s="143">
        <v>40</v>
      </c>
      <c r="F46" s="157">
        <v>46638</v>
      </c>
      <c r="G46" s="157">
        <v>48867</v>
      </c>
      <c r="H46" s="178">
        <v>51093</v>
      </c>
      <c r="I46" s="183">
        <v>52584</v>
      </c>
      <c r="J46" s="183">
        <v>54267</v>
      </c>
      <c r="K46" s="21"/>
    </row>
    <row r="47" spans="3:15" ht="13.5" thickBot="1" x14ac:dyDescent="0.25">
      <c r="C47" s="200"/>
      <c r="D47" s="207" t="s">
        <v>37</v>
      </c>
      <c r="E47" s="143">
        <v>41</v>
      </c>
      <c r="F47" s="157">
        <v>47661</v>
      </c>
      <c r="G47" s="157">
        <v>49890</v>
      </c>
      <c r="H47" s="178">
        <v>52116</v>
      </c>
      <c r="I47" s="183">
        <v>53607</v>
      </c>
      <c r="J47" s="183">
        <v>55323</v>
      </c>
      <c r="K47" s="21"/>
      <c r="O47" s="21"/>
    </row>
    <row r="48" spans="3:15" x14ac:dyDescent="0.2">
      <c r="C48" s="71"/>
      <c r="D48" s="208"/>
      <c r="E48" s="143">
        <v>42</v>
      </c>
      <c r="F48" s="157">
        <v>48681</v>
      </c>
      <c r="G48" s="157">
        <v>50910</v>
      </c>
      <c r="H48" s="178">
        <v>53136</v>
      </c>
      <c r="I48" s="183">
        <v>54627</v>
      </c>
      <c r="J48" s="183">
        <v>56376</v>
      </c>
      <c r="K48" s="21"/>
      <c r="O48" s="21"/>
    </row>
    <row r="49" spans="3:15" ht="13.5" thickBot="1" x14ac:dyDescent="0.25">
      <c r="C49" s="72"/>
      <c r="D49" s="211"/>
      <c r="E49" s="143">
        <v>43</v>
      </c>
      <c r="F49" s="157">
        <v>49674</v>
      </c>
      <c r="G49" s="157">
        <v>51903</v>
      </c>
      <c r="H49" s="178">
        <v>54129</v>
      </c>
      <c r="I49" s="183">
        <v>55620</v>
      </c>
      <c r="J49" s="183">
        <v>57402</v>
      </c>
      <c r="K49" s="21"/>
      <c r="O49" s="21"/>
    </row>
    <row r="50" spans="3:15" x14ac:dyDescent="0.2">
      <c r="C50" s="72"/>
      <c r="D50" s="68"/>
      <c r="E50" s="87" t="s">
        <v>69</v>
      </c>
      <c r="F50" s="156">
        <v>50700</v>
      </c>
      <c r="G50" s="156">
        <v>52929</v>
      </c>
      <c r="H50" s="182">
        <v>55155</v>
      </c>
      <c r="I50" s="184">
        <v>56646</v>
      </c>
      <c r="J50" s="184">
        <v>58461</v>
      </c>
      <c r="K50" s="21"/>
    </row>
    <row r="51" spans="3:15" ht="13.5" thickBot="1" x14ac:dyDescent="0.25">
      <c r="C51" s="72"/>
      <c r="D51" s="80"/>
      <c r="E51" s="87" t="s">
        <v>70</v>
      </c>
      <c r="F51" s="156">
        <v>51717</v>
      </c>
      <c r="G51" s="156">
        <v>53946</v>
      </c>
      <c r="H51" s="182">
        <v>56172</v>
      </c>
      <c r="I51" s="184">
        <v>57663</v>
      </c>
      <c r="J51" s="184">
        <v>59511</v>
      </c>
      <c r="K51" s="21"/>
    </row>
    <row r="52" spans="3:15" x14ac:dyDescent="0.2">
      <c r="C52" s="145"/>
      <c r="D52" s="201" t="s">
        <v>38</v>
      </c>
      <c r="E52" s="143">
        <v>46</v>
      </c>
      <c r="F52" s="157">
        <v>52746</v>
      </c>
      <c r="G52" s="157">
        <v>54975</v>
      </c>
      <c r="H52" s="178">
        <v>57201</v>
      </c>
      <c r="I52" s="185">
        <v>58692</v>
      </c>
      <c r="J52" s="185">
        <v>60573</v>
      </c>
      <c r="K52" s="21"/>
    </row>
    <row r="53" spans="3:15" x14ac:dyDescent="0.2">
      <c r="C53" s="145"/>
      <c r="D53" s="202"/>
      <c r="E53" s="143">
        <v>47</v>
      </c>
      <c r="F53" s="157">
        <v>53793</v>
      </c>
      <c r="G53" s="157">
        <v>56022</v>
      </c>
      <c r="H53" s="178">
        <v>58248</v>
      </c>
      <c r="I53" s="185">
        <v>59739</v>
      </c>
      <c r="J53" s="185">
        <v>61653</v>
      </c>
      <c r="K53" s="21"/>
    </row>
    <row r="54" spans="3:15" ht="13.5" thickBot="1" x14ac:dyDescent="0.25">
      <c r="C54" s="145"/>
      <c r="D54" s="203"/>
      <c r="E54" s="143">
        <v>48</v>
      </c>
      <c r="F54" s="157">
        <v>54873</v>
      </c>
      <c r="G54" s="157">
        <v>57102</v>
      </c>
      <c r="H54" s="178">
        <v>59328</v>
      </c>
      <c r="I54" s="185">
        <v>60819</v>
      </c>
      <c r="J54" s="185">
        <v>62766</v>
      </c>
      <c r="K54" s="21"/>
    </row>
    <row r="55" spans="3:15" x14ac:dyDescent="0.2">
      <c r="C55" s="72"/>
      <c r="D55" s="68"/>
      <c r="E55" s="87" t="s">
        <v>71</v>
      </c>
      <c r="F55" s="156">
        <v>55980</v>
      </c>
      <c r="G55" s="156">
        <v>58209</v>
      </c>
      <c r="H55" s="182">
        <v>60468</v>
      </c>
      <c r="I55" s="184">
        <v>61980</v>
      </c>
      <c r="J55" s="184">
        <v>63966</v>
      </c>
      <c r="K55" s="21"/>
    </row>
    <row r="56" spans="3:15" ht="13.5" thickBot="1" x14ac:dyDescent="0.25">
      <c r="C56" s="72"/>
      <c r="D56" s="80"/>
      <c r="E56" s="87" t="s">
        <v>44</v>
      </c>
      <c r="F56" s="156">
        <v>57084</v>
      </c>
      <c r="G56" s="156">
        <v>59313</v>
      </c>
      <c r="H56" s="182">
        <v>61617</v>
      </c>
      <c r="I56" s="184">
        <v>63159</v>
      </c>
      <c r="J56" s="184">
        <v>65181</v>
      </c>
      <c r="K56" s="21"/>
    </row>
    <row r="57" spans="3:15" x14ac:dyDescent="0.2">
      <c r="C57" s="72"/>
      <c r="D57" s="207" t="s">
        <v>39</v>
      </c>
      <c r="E57" s="143">
        <v>51</v>
      </c>
      <c r="F57" s="157">
        <v>58173</v>
      </c>
      <c r="G57" s="157">
        <v>60402</v>
      </c>
      <c r="H57" s="178">
        <v>62748</v>
      </c>
      <c r="I57" s="183">
        <v>64317</v>
      </c>
      <c r="J57" s="183">
        <v>66378</v>
      </c>
      <c r="K57" s="21"/>
    </row>
    <row r="58" spans="3:15" x14ac:dyDescent="0.2">
      <c r="C58" s="72"/>
      <c r="D58" s="208"/>
      <c r="E58" s="143">
        <v>52</v>
      </c>
      <c r="F58" s="157">
        <v>59262</v>
      </c>
      <c r="G58" s="157">
        <v>61491</v>
      </c>
      <c r="H58" s="178">
        <v>63879</v>
      </c>
      <c r="I58" s="183">
        <v>65478</v>
      </c>
      <c r="J58" s="183">
        <v>67575</v>
      </c>
      <c r="K58" s="21"/>
    </row>
    <row r="59" spans="3:15" ht="13.5" thickBot="1" x14ac:dyDescent="0.25">
      <c r="C59" s="147"/>
      <c r="D59" s="209"/>
      <c r="E59" s="148">
        <v>53</v>
      </c>
      <c r="F59" s="157">
        <v>60366</v>
      </c>
      <c r="G59" s="157">
        <v>62595</v>
      </c>
      <c r="H59" s="178">
        <v>65025</v>
      </c>
      <c r="I59" s="183">
        <v>66651</v>
      </c>
      <c r="J59" s="183">
        <v>68784</v>
      </c>
      <c r="K59" s="21"/>
    </row>
    <row r="60" spans="3:15" x14ac:dyDescent="0.2">
      <c r="K60" s="21"/>
    </row>
    <row r="76" spans="11:11" x14ac:dyDescent="0.2">
      <c r="K76" s="21"/>
    </row>
    <row r="77" spans="11:11" x14ac:dyDescent="0.2">
      <c r="K77" s="21"/>
    </row>
    <row r="78" spans="11:11" x14ac:dyDescent="0.2">
      <c r="K78" s="21"/>
    </row>
    <row r="80" spans="11:11" x14ac:dyDescent="0.2">
      <c r="K80" s="21"/>
    </row>
    <row r="81" spans="11:11" x14ac:dyDescent="0.2">
      <c r="K81" s="21"/>
    </row>
    <row r="82" spans="11:11" x14ac:dyDescent="0.2">
      <c r="K82" s="21"/>
    </row>
  </sheetData>
  <mergeCells count="23">
    <mergeCell ref="J4:J6"/>
    <mergeCell ref="C4:D6"/>
    <mergeCell ref="H4:H6"/>
    <mergeCell ref="E4:E6"/>
    <mergeCell ref="F4:F6"/>
    <mergeCell ref="D52:D54"/>
    <mergeCell ref="D57:D59"/>
    <mergeCell ref="D14:D16"/>
    <mergeCell ref="D19:D21"/>
    <mergeCell ref="D24:D26"/>
    <mergeCell ref="D32:D34"/>
    <mergeCell ref="D36:D38"/>
    <mergeCell ref="I4:I6"/>
    <mergeCell ref="G4:G6"/>
    <mergeCell ref="C39:C41"/>
    <mergeCell ref="D42:D44"/>
    <mergeCell ref="C45:C47"/>
    <mergeCell ref="D47:D49"/>
    <mergeCell ref="C29:C31"/>
    <mergeCell ref="C34:C36"/>
    <mergeCell ref="D7:D9"/>
    <mergeCell ref="C9:C11"/>
    <mergeCell ref="D11:D13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R30"/>
  <sheetViews>
    <sheetView topLeftCell="C1" workbookViewId="0">
      <selection activeCell="K4" sqref="K4"/>
    </sheetView>
  </sheetViews>
  <sheetFormatPr defaultRowHeight="12.75" x14ac:dyDescent="0.2"/>
  <cols>
    <col min="4" max="4" width="15.85546875" bestFit="1" customWidth="1"/>
    <col min="5" max="5" width="11.5703125" customWidth="1"/>
    <col min="6" max="7" width="9.140625" customWidth="1"/>
    <col min="8" max="8" width="12.7109375" customWidth="1"/>
    <col min="9" max="9" width="21.42578125" customWidth="1"/>
    <col min="10" max="10" width="18.7109375" customWidth="1"/>
    <col min="11" max="11" width="20.5703125" customWidth="1"/>
    <col min="12" max="12" width="18.85546875" customWidth="1"/>
    <col min="13" max="13" width="16" style="1" customWidth="1"/>
    <col min="14" max="15" width="16" customWidth="1"/>
    <col min="16" max="16" width="11.42578125" customWidth="1"/>
    <col min="17" max="18" width="15.85546875" style="1" customWidth="1"/>
    <col min="19" max="19" width="13.140625" customWidth="1"/>
  </cols>
  <sheetData>
    <row r="3" spans="4:15" ht="18" x14ac:dyDescent="0.25">
      <c r="G3" s="163" t="s">
        <v>118</v>
      </c>
    </row>
    <row r="4" spans="4:15" ht="17.100000000000001" customHeight="1" x14ac:dyDescent="0.2"/>
    <row r="7" spans="4:15" ht="18" x14ac:dyDescent="0.25">
      <c r="D7" s="169"/>
      <c r="E7" s="246" t="s">
        <v>58</v>
      </c>
      <c r="F7" s="246"/>
      <c r="G7" s="168"/>
      <c r="H7" s="169"/>
      <c r="I7" s="168"/>
      <c r="J7" s="168"/>
      <c r="K7" s="168"/>
    </row>
    <row r="8" spans="4:15" ht="18" x14ac:dyDescent="0.25">
      <c r="D8" s="169"/>
      <c r="E8" s="246"/>
      <c r="F8" s="246"/>
      <c r="G8" s="168"/>
      <c r="H8" s="169"/>
      <c r="I8" s="168"/>
      <c r="J8" s="168"/>
      <c r="K8" s="168"/>
    </row>
    <row r="9" spans="4:15" ht="51" customHeight="1" x14ac:dyDescent="0.25">
      <c r="D9" s="169"/>
      <c r="E9" s="246"/>
      <c r="F9" s="246"/>
      <c r="G9" s="173"/>
      <c r="H9" s="174"/>
      <c r="I9" s="175" t="s">
        <v>106</v>
      </c>
      <c r="J9" s="175" t="s">
        <v>107</v>
      </c>
      <c r="K9" s="175" t="s">
        <v>108</v>
      </c>
      <c r="L9" s="175" t="s">
        <v>111</v>
      </c>
      <c r="M9" s="175" t="s">
        <v>116</v>
      </c>
    </row>
    <row r="10" spans="4:15" ht="18" x14ac:dyDescent="0.25">
      <c r="D10" s="171" t="s">
        <v>104</v>
      </c>
      <c r="E10" s="169" t="s">
        <v>80</v>
      </c>
      <c r="F10" s="169" t="s">
        <v>103</v>
      </c>
      <c r="G10" s="168"/>
      <c r="H10" s="170">
        <v>94986</v>
      </c>
      <c r="I10" s="172">
        <v>96411</v>
      </c>
      <c r="J10" s="176">
        <v>98336</v>
      </c>
      <c r="K10" s="176">
        <v>101778</v>
      </c>
      <c r="L10" s="176">
        <f>SUM(K10/100*2.5)+K10</f>
        <v>104322.45</v>
      </c>
      <c r="M10" s="176">
        <f t="shared" ref="M10:M24" si="0">SUM(L10/100*3.2)+L10</f>
        <v>107660.7684</v>
      </c>
    </row>
    <row r="11" spans="4:15" ht="18" x14ac:dyDescent="0.25">
      <c r="D11" s="171"/>
      <c r="E11" s="169"/>
      <c r="F11" s="169" t="s">
        <v>96</v>
      </c>
      <c r="G11" s="168"/>
      <c r="H11" s="170">
        <v>96896</v>
      </c>
      <c r="I11" s="172">
        <v>98350</v>
      </c>
      <c r="J11" s="176">
        <v>100275</v>
      </c>
      <c r="K11" s="176">
        <v>103785</v>
      </c>
      <c r="L11" s="176">
        <f t="shared" ref="L11:L24" si="1">SUM(K11/100*2.5)+K11</f>
        <v>106379.625</v>
      </c>
      <c r="M11" s="176">
        <f t="shared" si="0"/>
        <v>109783.773</v>
      </c>
      <c r="O11" s="21"/>
    </row>
    <row r="12" spans="4:15" ht="18" x14ac:dyDescent="0.25">
      <c r="D12" s="171"/>
      <c r="E12" s="169"/>
      <c r="F12" s="169" t="s">
        <v>97</v>
      </c>
      <c r="G12" s="168"/>
      <c r="H12" s="170">
        <v>98834</v>
      </c>
      <c r="I12" s="172">
        <v>100317</v>
      </c>
      <c r="J12" s="176">
        <v>102242</v>
      </c>
      <c r="K12" s="176">
        <v>105820</v>
      </c>
      <c r="L12" s="176">
        <f t="shared" si="1"/>
        <v>108465.5</v>
      </c>
      <c r="M12" s="176">
        <f t="shared" si="0"/>
        <v>111936.39599999999</v>
      </c>
      <c r="O12" s="21"/>
    </row>
    <row r="13" spans="4:15" ht="18" x14ac:dyDescent="0.25">
      <c r="D13" s="171" t="s">
        <v>104</v>
      </c>
      <c r="E13" s="169" t="s">
        <v>25</v>
      </c>
      <c r="F13" s="169" t="s">
        <v>103</v>
      </c>
      <c r="G13" s="168"/>
      <c r="H13" s="170">
        <v>104902</v>
      </c>
      <c r="I13" s="172">
        <v>106476</v>
      </c>
      <c r="J13" s="176">
        <v>108401</v>
      </c>
      <c r="K13" s="176">
        <v>112195</v>
      </c>
      <c r="L13" s="176">
        <f t="shared" si="1"/>
        <v>114999.875</v>
      </c>
      <c r="M13" s="176">
        <f t="shared" si="0"/>
        <v>118679.871</v>
      </c>
    </row>
    <row r="14" spans="4:15" ht="18" x14ac:dyDescent="0.25">
      <c r="D14" s="171"/>
      <c r="E14" s="169"/>
      <c r="F14" s="169" t="s">
        <v>96</v>
      </c>
      <c r="G14" s="168"/>
      <c r="H14" s="170">
        <v>107000</v>
      </c>
      <c r="I14" s="172">
        <v>108605</v>
      </c>
      <c r="J14" s="176">
        <v>110530</v>
      </c>
      <c r="K14" s="176">
        <v>114399</v>
      </c>
      <c r="L14" s="176">
        <f t="shared" si="1"/>
        <v>117258.97500000001</v>
      </c>
      <c r="M14" s="176">
        <f t="shared" si="0"/>
        <v>121011.26220000001</v>
      </c>
    </row>
    <row r="15" spans="4:15" ht="18" x14ac:dyDescent="0.25">
      <c r="D15" s="171"/>
      <c r="E15" s="169"/>
      <c r="F15" s="169" t="s">
        <v>97</v>
      </c>
      <c r="G15" s="168"/>
      <c r="H15" s="170">
        <v>109140</v>
      </c>
      <c r="I15" s="172">
        <v>110778</v>
      </c>
      <c r="J15" s="176">
        <v>112703</v>
      </c>
      <c r="K15" s="176">
        <v>116648</v>
      </c>
      <c r="L15" s="176">
        <f t="shared" si="1"/>
        <v>119564.2</v>
      </c>
      <c r="M15" s="176">
        <f t="shared" si="0"/>
        <v>123390.25439999999</v>
      </c>
    </row>
    <row r="16" spans="4:15" ht="18" x14ac:dyDescent="0.25">
      <c r="D16" s="171" t="s">
        <v>104</v>
      </c>
      <c r="E16" s="169" t="s">
        <v>26</v>
      </c>
      <c r="F16" s="169" t="s">
        <v>103</v>
      </c>
      <c r="G16" s="168"/>
      <c r="H16" s="170">
        <v>115000</v>
      </c>
      <c r="I16" s="172">
        <v>116725</v>
      </c>
      <c r="J16" s="176">
        <v>118650</v>
      </c>
      <c r="K16" s="176">
        <v>122803</v>
      </c>
      <c r="L16" s="176">
        <f t="shared" si="1"/>
        <v>125873.075</v>
      </c>
      <c r="M16" s="176">
        <f t="shared" si="0"/>
        <v>129901.0134</v>
      </c>
    </row>
    <row r="17" spans="4:13" ht="18" x14ac:dyDescent="0.25">
      <c r="D17" s="171"/>
      <c r="E17" s="169"/>
      <c r="F17" s="169" t="s">
        <v>96</v>
      </c>
      <c r="G17" s="168"/>
      <c r="H17" s="170">
        <v>117300</v>
      </c>
      <c r="I17" s="172">
        <v>119060</v>
      </c>
      <c r="J17" s="176">
        <v>120985</v>
      </c>
      <c r="K17" s="176">
        <v>125229</v>
      </c>
      <c r="L17" s="176">
        <f t="shared" si="1"/>
        <v>128359.72500000001</v>
      </c>
      <c r="M17" s="176">
        <f t="shared" si="0"/>
        <v>132467.23620000001</v>
      </c>
    </row>
    <row r="18" spans="4:13" ht="18" x14ac:dyDescent="0.25">
      <c r="D18" s="171"/>
      <c r="E18" s="169"/>
      <c r="F18" s="169" t="s">
        <v>97</v>
      </c>
      <c r="G18" s="168"/>
      <c r="H18" s="170">
        <v>119646</v>
      </c>
      <c r="I18" s="172">
        <v>121441</v>
      </c>
      <c r="J18" s="176">
        <v>123366</v>
      </c>
      <c r="K18" s="176">
        <v>127684</v>
      </c>
      <c r="L18" s="176">
        <f t="shared" si="1"/>
        <v>130876.1</v>
      </c>
      <c r="M18" s="176">
        <f t="shared" si="0"/>
        <v>135064.13520000002</v>
      </c>
    </row>
    <row r="19" spans="4:13" ht="36" x14ac:dyDescent="0.25">
      <c r="D19" s="171" t="s">
        <v>105</v>
      </c>
      <c r="E19" s="169" t="s">
        <v>27</v>
      </c>
      <c r="F19" s="169" t="s">
        <v>103</v>
      </c>
      <c r="G19" s="168"/>
      <c r="H19" s="170">
        <v>134750</v>
      </c>
      <c r="I19" s="172">
        <v>136772</v>
      </c>
      <c r="J19" s="176">
        <v>138697</v>
      </c>
      <c r="K19" s="176">
        <v>143551</v>
      </c>
      <c r="L19" s="176">
        <f t="shared" si="1"/>
        <v>147139.77499999999</v>
      </c>
      <c r="M19" s="176">
        <f t="shared" si="0"/>
        <v>151848.24779999998</v>
      </c>
    </row>
    <row r="20" spans="4:13" ht="18" x14ac:dyDescent="0.25">
      <c r="D20" s="171"/>
      <c r="E20" s="169"/>
      <c r="F20" s="169" t="s">
        <v>96</v>
      </c>
      <c r="G20" s="168"/>
      <c r="H20" s="170">
        <v>137445</v>
      </c>
      <c r="I20" s="172">
        <v>139507</v>
      </c>
      <c r="J20" s="176">
        <v>141432</v>
      </c>
      <c r="K20" s="176">
        <v>146382</v>
      </c>
      <c r="L20" s="176">
        <f t="shared" si="1"/>
        <v>150041.54999999999</v>
      </c>
      <c r="M20" s="176">
        <f t="shared" si="0"/>
        <v>154842.87959999999</v>
      </c>
    </row>
    <row r="21" spans="4:13" ht="18" x14ac:dyDescent="0.25">
      <c r="D21" s="171"/>
      <c r="E21" s="169"/>
      <c r="F21" s="169" t="s">
        <v>97</v>
      </c>
      <c r="G21" s="168"/>
      <c r="H21" s="170">
        <v>140194</v>
      </c>
      <c r="I21" s="172">
        <v>142297</v>
      </c>
      <c r="J21" s="176">
        <v>144222</v>
      </c>
      <c r="K21" s="176">
        <v>149270</v>
      </c>
      <c r="L21" s="176">
        <f t="shared" si="1"/>
        <v>153001.75</v>
      </c>
      <c r="M21" s="176">
        <f t="shared" si="0"/>
        <v>157897.80600000001</v>
      </c>
    </row>
    <row r="22" spans="4:13" ht="36" x14ac:dyDescent="0.25">
      <c r="D22" s="171" t="s">
        <v>105</v>
      </c>
      <c r="E22" s="169" t="s">
        <v>28</v>
      </c>
      <c r="F22" s="169" t="s">
        <v>103</v>
      </c>
      <c r="G22" s="168"/>
      <c r="H22" s="170">
        <v>141965</v>
      </c>
      <c r="I22" s="172">
        <v>144095</v>
      </c>
      <c r="J22" s="176">
        <v>146020</v>
      </c>
      <c r="K22" s="176">
        <v>151131</v>
      </c>
      <c r="L22" s="176">
        <f t="shared" si="1"/>
        <v>154909.27499999999</v>
      </c>
      <c r="M22" s="176">
        <f t="shared" si="0"/>
        <v>159866.37179999999</v>
      </c>
    </row>
    <row r="23" spans="4:13" ht="18" x14ac:dyDescent="0.25">
      <c r="D23" s="171"/>
      <c r="E23" s="169"/>
      <c r="F23" s="169" t="s">
        <v>96</v>
      </c>
      <c r="G23" s="168"/>
      <c r="H23" s="170">
        <v>144804</v>
      </c>
      <c r="I23" s="172">
        <v>146977</v>
      </c>
      <c r="J23" s="176">
        <v>148902</v>
      </c>
      <c r="K23" s="176">
        <v>154114</v>
      </c>
      <c r="L23" s="176">
        <f t="shared" si="1"/>
        <v>157966.85</v>
      </c>
      <c r="M23" s="176">
        <f t="shared" si="0"/>
        <v>163021.7892</v>
      </c>
    </row>
    <row r="24" spans="4:13" ht="18" x14ac:dyDescent="0.25">
      <c r="D24" s="171"/>
      <c r="E24" s="169"/>
      <c r="F24" s="169" t="s">
        <v>97</v>
      </c>
      <c r="G24" s="168"/>
      <c r="H24" s="170">
        <v>150547</v>
      </c>
      <c r="I24" s="172">
        <v>152806</v>
      </c>
      <c r="J24" s="176">
        <v>154731</v>
      </c>
      <c r="K24" s="176">
        <v>160147</v>
      </c>
      <c r="L24" s="176">
        <f t="shared" si="1"/>
        <v>164150.67499999999</v>
      </c>
      <c r="M24" s="176">
        <f t="shared" si="0"/>
        <v>169403.49659999998</v>
      </c>
    </row>
    <row r="26" spans="4:13" ht="15" x14ac:dyDescent="0.2">
      <c r="D26" s="162" t="s">
        <v>98</v>
      </c>
    </row>
    <row r="27" spans="4:13" ht="15" x14ac:dyDescent="0.2">
      <c r="D27" s="166" t="s">
        <v>101</v>
      </c>
      <c r="E27" s="165"/>
      <c r="F27" s="165"/>
    </row>
    <row r="28" spans="4:13" ht="15" x14ac:dyDescent="0.2">
      <c r="D28" s="166" t="s">
        <v>102</v>
      </c>
      <c r="E28" s="165"/>
      <c r="F28" s="165"/>
      <c r="G28" s="165"/>
    </row>
    <row r="29" spans="4:13" ht="15" x14ac:dyDescent="0.2">
      <c r="D29" s="186" t="s">
        <v>112</v>
      </c>
      <c r="E29" s="165"/>
      <c r="F29" s="165"/>
      <c r="G29" s="165"/>
      <c r="H29" s="165"/>
    </row>
    <row r="30" spans="4:13" ht="15.75" x14ac:dyDescent="0.25">
      <c r="D30" s="187" t="s">
        <v>117</v>
      </c>
      <c r="E30" s="188"/>
      <c r="F30" s="188"/>
      <c r="G30" s="188"/>
    </row>
  </sheetData>
  <mergeCells count="1">
    <mergeCell ref="E7:F9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70"/>
  <sheetViews>
    <sheetView workbookViewId="0">
      <selection activeCell="F14" sqref="F14"/>
    </sheetView>
  </sheetViews>
  <sheetFormatPr defaultRowHeight="12.75" x14ac:dyDescent="0.2"/>
  <sheetData>
    <row r="2" spans="3:11" ht="18" x14ac:dyDescent="0.25">
      <c r="C2" s="163" t="s">
        <v>99</v>
      </c>
    </row>
    <row r="3" spans="3:11" ht="13.5" thickBot="1" x14ac:dyDescent="0.25"/>
    <row r="4" spans="3:11" x14ac:dyDescent="0.2">
      <c r="C4" s="212" t="s">
        <v>79</v>
      </c>
      <c r="D4" s="230"/>
      <c r="E4" s="215" t="s">
        <v>60</v>
      </c>
      <c r="F4" s="218" t="s">
        <v>92</v>
      </c>
      <c r="G4" s="218" t="s">
        <v>95</v>
      </c>
    </row>
    <row r="5" spans="3:11" x14ac:dyDescent="0.2">
      <c r="C5" s="213"/>
      <c r="D5" s="231"/>
      <c r="E5" s="216"/>
      <c r="F5" s="219"/>
      <c r="G5" s="219"/>
    </row>
    <row r="6" spans="3:11" ht="13.5" thickBot="1" x14ac:dyDescent="0.25">
      <c r="C6" s="214"/>
      <c r="D6" s="232"/>
      <c r="E6" s="217"/>
      <c r="F6" s="220"/>
      <c r="G6" s="219"/>
    </row>
    <row r="7" spans="3:11" x14ac:dyDescent="0.2">
      <c r="C7" s="74"/>
      <c r="D7" s="241" t="s">
        <v>80</v>
      </c>
      <c r="E7" s="141" t="s">
        <v>81</v>
      </c>
      <c r="F7" s="158">
        <v>20658</v>
      </c>
      <c r="G7" s="157">
        <v>21228</v>
      </c>
      <c r="K7" s="21"/>
    </row>
    <row r="8" spans="3:11" ht="13.5" thickBot="1" x14ac:dyDescent="0.25">
      <c r="C8" s="74"/>
      <c r="D8" s="242"/>
      <c r="E8" s="143">
        <v>2</v>
      </c>
      <c r="F8" s="159">
        <v>21030</v>
      </c>
      <c r="G8" s="157">
        <v>21399</v>
      </c>
    </row>
    <row r="9" spans="3:11" ht="13.5" thickBot="1" x14ac:dyDescent="0.25">
      <c r="C9" s="241" t="s">
        <v>25</v>
      </c>
      <c r="D9" s="243"/>
      <c r="E9" s="143">
        <v>3</v>
      </c>
      <c r="F9" s="159">
        <v>21408</v>
      </c>
      <c r="G9" s="157">
        <v>21783</v>
      </c>
      <c r="K9" s="21"/>
    </row>
    <row r="10" spans="3:11" ht="13.5" thickBot="1" x14ac:dyDescent="0.25">
      <c r="C10" s="242"/>
      <c r="D10" s="77"/>
      <c r="E10" s="143">
        <v>4</v>
      </c>
      <c r="F10" s="159">
        <v>21795</v>
      </c>
      <c r="G10" s="157">
        <v>22179</v>
      </c>
      <c r="K10" s="21"/>
    </row>
    <row r="11" spans="3:11" ht="13.5" thickBot="1" x14ac:dyDescent="0.25">
      <c r="C11" s="243"/>
      <c r="D11" s="241" t="s">
        <v>26</v>
      </c>
      <c r="E11" s="143">
        <v>5</v>
      </c>
      <c r="F11" s="159">
        <v>22185</v>
      </c>
      <c r="G11" s="157">
        <v>22575</v>
      </c>
      <c r="K11" s="21"/>
    </row>
    <row r="12" spans="3:11" x14ac:dyDescent="0.2">
      <c r="C12" s="150"/>
      <c r="D12" s="242"/>
      <c r="E12" s="143">
        <v>6</v>
      </c>
      <c r="F12" s="159">
        <v>22587</v>
      </c>
      <c r="G12" s="157">
        <v>22983</v>
      </c>
    </row>
    <row r="13" spans="3:11" ht="13.5" thickBot="1" x14ac:dyDescent="0.25">
      <c r="C13" s="151"/>
      <c r="D13" s="243"/>
      <c r="E13" s="143">
        <v>7</v>
      </c>
      <c r="F13" s="159">
        <v>22995</v>
      </c>
      <c r="G13" s="157">
        <v>23400</v>
      </c>
      <c r="K13" s="21"/>
    </row>
    <row r="14" spans="3:11" x14ac:dyDescent="0.2">
      <c r="C14" s="74"/>
      <c r="D14" s="241" t="s">
        <v>27</v>
      </c>
      <c r="E14" s="143">
        <v>8</v>
      </c>
      <c r="F14" s="159">
        <v>23406</v>
      </c>
      <c r="G14" s="157">
        <v>23817</v>
      </c>
      <c r="K14" s="21"/>
    </row>
    <row r="15" spans="3:11" x14ac:dyDescent="0.2">
      <c r="C15" s="74"/>
      <c r="D15" s="242"/>
      <c r="E15" s="143">
        <v>9</v>
      </c>
      <c r="F15" s="159">
        <v>23826</v>
      </c>
      <c r="G15" s="157">
        <v>24243</v>
      </c>
      <c r="K15" s="21"/>
    </row>
    <row r="16" spans="3:11" ht="13.5" thickBot="1" x14ac:dyDescent="0.25">
      <c r="C16" s="74"/>
      <c r="D16" s="243"/>
      <c r="E16" s="143">
        <v>10</v>
      </c>
      <c r="F16" s="159">
        <v>24258</v>
      </c>
      <c r="G16" s="157">
        <v>24684</v>
      </c>
    </row>
    <row r="17" spans="3:11" x14ac:dyDescent="0.2">
      <c r="C17" s="74"/>
      <c r="D17" s="68"/>
      <c r="E17" s="87" t="s">
        <v>63</v>
      </c>
      <c r="F17" s="155">
        <v>24693</v>
      </c>
      <c r="G17" s="156">
        <v>25128</v>
      </c>
      <c r="K17" s="21"/>
    </row>
    <row r="18" spans="3:11" ht="13.5" thickBot="1" x14ac:dyDescent="0.25">
      <c r="C18" s="74"/>
      <c r="D18" s="70"/>
      <c r="E18" s="87" t="s">
        <v>64</v>
      </c>
      <c r="F18" s="155">
        <v>25137</v>
      </c>
      <c r="G18" s="156">
        <v>25578</v>
      </c>
      <c r="K18" s="21"/>
    </row>
    <row r="19" spans="3:11" x14ac:dyDescent="0.2">
      <c r="C19" s="75"/>
      <c r="D19" s="201" t="s">
        <v>28</v>
      </c>
      <c r="E19" s="143">
        <v>13</v>
      </c>
      <c r="F19" s="159">
        <v>25590</v>
      </c>
      <c r="G19" s="157">
        <v>26040</v>
      </c>
      <c r="K19" s="21"/>
    </row>
    <row r="20" spans="3:11" x14ac:dyDescent="0.2">
      <c r="C20" s="75"/>
      <c r="D20" s="202"/>
      <c r="E20" s="143">
        <v>14</v>
      </c>
      <c r="F20" s="159">
        <v>26052</v>
      </c>
      <c r="G20" s="157">
        <v>26508</v>
      </c>
    </row>
    <row r="21" spans="3:11" ht="13.5" thickBot="1" x14ac:dyDescent="0.25">
      <c r="C21" s="75"/>
      <c r="D21" s="203"/>
      <c r="E21" s="143">
        <v>15</v>
      </c>
      <c r="F21" s="159">
        <v>26520</v>
      </c>
      <c r="G21" s="157">
        <v>26985</v>
      </c>
      <c r="K21" s="21"/>
    </row>
    <row r="22" spans="3:11" x14ac:dyDescent="0.2">
      <c r="C22" s="74"/>
      <c r="D22" s="68"/>
      <c r="E22" s="87" t="s">
        <v>65</v>
      </c>
      <c r="F22" s="155">
        <v>26997</v>
      </c>
      <c r="G22" s="156">
        <v>27471</v>
      </c>
      <c r="K22" s="21"/>
    </row>
    <row r="23" spans="3:11" ht="13.5" thickBot="1" x14ac:dyDescent="0.25">
      <c r="C23" s="74"/>
      <c r="D23" s="70"/>
      <c r="E23" s="87" t="s">
        <v>66</v>
      </c>
      <c r="F23" s="155">
        <v>27483</v>
      </c>
      <c r="G23" s="156">
        <v>27966</v>
      </c>
      <c r="K23" s="21"/>
    </row>
    <row r="24" spans="3:11" x14ac:dyDescent="0.2">
      <c r="C24" s="74"/>
      <c r="D24" s="201" t="s">
        <v>29</v>
      </c>
      <c r="E24" s="143">
        <v>18</v>
      </c>
      <c r="F24" s="159">
        <v>27978</v>
      </c>
      <c r="G24" s="157">
        <v>28470</v>
      </c>
    </row>
    <row r="25" spans="3:11" x14ac:dyDescent="0.2">
      <c r="C25" s="74"/>
      <c r="D25" s="202"/>
      <c r="E25" s="143">
        <v>19</v>
      </c>
      <c r="F25" s="159">
        <v>28482</v>
      </c>
      <c r="G25" s="157">
        <v>28983</v>
      </c>
      <c r="K25" s="21"/>
    </row>
    <row r="26" spans="3:11" ht="13.5" thickBot="1" x14ac:dyDescent="0.25">
      <c r="C26" s="74"/>
      <c r="D26" s="203"/>
      <c r="E26" s="143">
        <v>20</v>
      </c>
      <c r="F26" s="159">
        <v>28992</v>
      </c>
      <c r="G26" s="157">
        <v>29502</v>
      </c>
      <c r="K26" s="21"/>
    </row>
    <row r="27" spans="3:11" x14ac:dyDescent="0.2">
      <c r="C27" s="74"/>
      <c r="D27" s="68"/>
      <c r="E27" s="87" t="s">
        <v>68</v>
      </c>
      <c r="F27" s="155">
        <v>29517</v>
      </c>
      <c r="G27" s="156">
        <v>30036</v>
      </c>
      <c r="K27" s="21"/>
    </row>
    <row r="28" spans="3:11" ht="13.5" thickBot="1" x14ac:dyDescent="0.25">
      <c r="C28" s="76"/>
      <c r="D28" s="69"/>
      <c r="E28" s="87" t="s">
        <v>43</v>
      </c>
      <c r="F28" s="155">
        <v>30048</v>
      </c>
      <c r="G28" s="156">
        <v>30576</v>
      </c>
    </row>
    <row r="29" spans="3:11" x14ac:dyDescent="0.2">
      <c r="C29" s="198" t="s">
        <v>30</v>
      </c>
      <c r="D29" s="69"/>
      <c r="E29" s="143">
        <v>23</v>
      </c>
      <c r="F29" s="159">
        <v>30585</v>
      </c>
      <c r="G29" s="157">
        <v>31122</v>
      </c>
      <c r="K29" s="21"/>
    </row>
    <row r="30" spans="3:11" x14ac:dyDescent="0.2">
      <c r="C30" s="199"/>
      <c r="D30" s="69"/>
      <c r="E30" s="143">
        <v>24</v>
      </c>
      <c r="F30" s="159">
        <v>31044</v>
      </c>
      <c r="G30" s="157">
        <v>31590</v>
      </c>
      <c r="K30" s="21"/>
    </row>
    <row r="31" spans="3:11" ht="13.5" thickBot="1" x14ac:dyDescent="0.25">
      <c r="C31" s="200"/>
      <c r="D31" s="70"/>
      <c r="E31" s="143">
        <v>25</v>
      </c>
      <c r="F31" s="159">
        <v>31557</v>
      </c>
      <c r="G31" s="157">
        <v>32112</v>
      </c>
      <c r="K31" s="21"/>
    </row>
    <row r="32" spans="3:11" x14ac:dyDescent="0.2">
      <c r="C32" s="77"/>
      <c r="D32" s="201" t="s">
        <v>31</v>
      </c>
      <c r="E32" s="143">
        <v>26</v>
      </c>
      <c r="F32" s="159">
        <v>32418</v>
      </c>
      <c r="G32" s="157">
        <v>32988</v>
      </c>
    </row>
    <row r="33" spans="3:11" ht="13.5" thickBot="1" x14ac:dyDescent="0.25">
      <c r="C33" s="78"/>
      <c r="D33" s="202"/>
      <c r="E33" s="143">
        <v>27</v>
      </c>
      <c r="F33" s="159">
        <v>33324</v>
      </c>
      <c r="G33" s="157">
        <v>33909</v>
      </c>
      <c r="K33" s="21"/>
    </row>
    <row r="34" spans="3:11" ht="13.5" thickBot="1" x14ac:dyDescent="0.25">
      <c r="C34" s="198" t="s">
        <v>32</v>
      </c>
      <c r="D34" s="203"/>
      <c r="E34" s="143">
        <v>28</v>
      </c>
      <c r="F34" s="159">
        <v>34209</v>
      </c>
      <c r="G34" s="157">
        <v>34809</v>
      </c>
      <c r="K34" s="21"/>
    </row>
    <row r="35" spans="3:11" ht="13.5" thickBot="1" x14ac:dyDescent="0.25">
      <c r="C35" s="199"/>
      <c r="D35" s="12"/>
      <c r="E35" s="143">
        <v>29</v>
      </c>
      <c r="F35" s="159">
        <v>34884</v>
      </c>
      <c r="G35" s="157">
        <v>35496</v>
      </c>
      <c r="K35" s="21"/>
    </row>
    <row r="36" spans="3:11" ht="13.5" thickBot="1" x14ac:dyDescent="0.25">
      <c r="C36" s="200"/>
      <c r="D36" s="207" t="s">
        <v>33</v>
      </c>
      <c r="E36" s="143">
        <v>30</v>
      </c>
      <c r="F36" s="159">
        <v>35751</v>
      </c>
      <c r="G36" s="157">
        <v>36378</v>
      </c>
    </row>
    <row r="37" spans="3:11" x14ac:dyDescent="0.2">
      <c r="C37" s="71"/>
      <c r="D37" s="208"/>
      <c r="E37" s="143">
        <v>31</v>
      </c>
      <c r="F37" s="159">
        <v>36708</v>
      </c>
      <c r="G37" s="157">
        <v>37353</v>
      </c>
      <c r="K37" s="21"/>
    </row>
    <row r="38" spans="3:11" ht="13.5" thickBot="1" x14ac:dyDescent="0.25">
      <c r="C38" s="79"/>
      <c r="D38" s="211"/>
      <c r="E38" s="143">
        <v>32</v>
      </c>
      <c r="F38" s="159">
        <v>37722</v>
      </c>
      <c r="G38" s="157">
        <v>38385</v>
      </c>
      <c r="K38" s="21"/>
    </row>
    <row r="39" spans="3:11" x14ac:dyDescent="0.2">
      <c r="C39" s="198" t="s">
        <v>34</v>
      </c>
      <c r="D39" s="68"/>
      <c r="E39" s="143">
        <v>33</v>
      </c>
      <c r="F39" s="159">
        <v>38883</v>
      </c>
      <c r="G39" s="157">
        <v>39564</v>
      </c>
      <c r="K39" s="21"/>
    </row>
    <row r="40" spans="3:11" x14ac:dyDescent="0.2">
      <c r="C40" s="199"/>
      <c r="D40" s="69"/>
      <c r="E40" s="143">
        <v>34</v>
      </c>
      <c r="F40" s="159">
        <v>39867</v>
      </c>
      <c r="G40" s="157">
        <v>40566</v>
      </c>
    </row>
    <row r="41" spans="3:11" ht="13.5" thickBot="1" x14ac:dyDescent="0.25">
      <c r="C41" s="200"/>
      <c r="D41" s="80"/>
      <c r="E41" s="143">
        <v>35</v>
      </c>
      <c r="F41" s="159">
        <v>40869</v>
      </c>
      <c r="G41" s="157">
        <v>41586</v>
      </c>
      <c r="K41" s="21"/>
    </row>
    <row r="42" spans="3:11" x14ac:dyDescent="0.2">
      <c r="C42" s="71"/>
      <c r="D42" s="207" t="s">
        <v>35</v>
      </c>
      <c r="E42" s="143">
        <v>36</v>
      </c>
      <c r="F42" s="159">
        <v>41850</v>
      </c>
      <c r="G42" s="157">
        <v>42585</v>
      </c>
      <c r="K42" s="21"/>
    </row>
    <row r="43" spans="3:11" x14ac:dyDescent="0.2">
      <c r="C43" s="72"/>
      <c r="D43" s="208"/>
      <c r="E43" s="143">
        <v>37</v>
      </c>
      <c r="F43" s="159">
        <v>42855</v>
      </c>
      <c r="G43" s="157">
        <v>43605</v>
      </c>
      <c r="K43" s="21"/>
    </row>
    <row r="44" spans="3:11" ht="13.5" thickBot="1" x14ac:dyDescent="0.25">
      <c r="C44" s="79"/>
      <c r="D44" s="211"/>
      <c r="E44" s="143">
        <v>38</v>
      </c>
      <c r="F44" s="159">
        <v>43860</v>
      </c>
      <c r="G44" s="157">
        <v>44628</v>
      </c>
    </row>
    <row r="45" spans="3:11" x14ac:dyDescent="0.2">
      <c r="C45" s="198" t="s">
        <v>36</v>
      </c>
      <c r="D45" s="83"/>
      <c r="E45" s="143">
        <v>39</v>
      </c>
      <c r="F45" s="159">
        <v>44790</v>
      </c>
      <c r="G45" s="157">
        <v>45576</v>
      </c>
      <c r="K45" s="21"/>
    </row>
    <row r="46" spans="3:11" ht="13.5" thickBot="1" x14ac:dyDescent="0.25">
      <c r="C46" s="199"/>
      <c r="D46" s="84"/>
      <c r="E46" s="143">
        <v>40</v>
      </c>
      <c r="F46" s="159">
        <v>45834</v>
      </c>
      <c r="G46" s="157">
        <v>46638</v>
      </c>
      <c r="K46" s="21"/>
    </row>
    <row r="47" spans="3:11" ht="13.5" thickBot="1" x14ac:dyDescent="0.25">
      <c r="C47" s="200"/>
      <c r="D47" s="207" t="s">
        <v>37</v>
      </c>
      <c r="E47" s="143">
        <v>41</v>
      </c>
      <c r="F47" s="159">
        <v>46839</v>
      </c>
      <c r="G47" s="157">
        <v>47661</v>
      </c>
      <c r="K47" s="21"/>
    </row>
    <row r="48" spans="3:11" x14ac:dyDescent="0.2">
      <c r="C48" s="71"/>
      <c r="D48" s="208"/>
      <c r="E48" s="143">
        <v>42</v>
      </c>
      <c r="F48" s="159">
        <v>47841</v>
      </c>
      <c r="G48" s="157">
        <v>48681</v>
      </c>
    </row>
    <row r="49" spans="3:11" ht="13.5" thickBot="1" x14ac:dyDescent="0.25">
      <c r="C49" s="72"/>
      <c r="D49" s="211"/>
      <c r="E49" s="143">
        <v>43</v>
      </c>
      <c r="F49" s="159">
        <v>48819</v>
      </c>
      <c r="G49" s="157">
        <v>49674</v>
      </c>
      <c r="K49" s="21"/>
    </row>
    <row r="50" spans="3:11" x14ac:dyDescent="0.2">
      <c r="C50" s="72"/>
      <c r="D50" s="68"/>
      <c r="E50" s="87" t="s">
        <v>69</v>
      </c>
      <c r="F50" s="155">
        <v>49827</v>
      </c>
      <c r="G50" s="156">
        <v>50700</v>
      </c>
      <c r="K50" s="21"/>
    </row>
    <row r="51" spans="3:11" ht="13.5" thickBot="1" x14ac:dyDescent="0.25">
      <c r="C51" s="72"/>
      <c r="D51" s="80"/>
      <c r="E51" s="87" t="s">
        <v>70</v>
      </c>
      <c r="F51" s="155">
        <v>50826</v>
      </c>
      <c r="G51" s="156">
        <v>51717</v>
      </c>
      <c r="K51" s="21"/>
    </row>
    <row r="52" spans="3:11" x14ac:dyDescent="0.2">
      <c r="C52" s="145"/>
      <c r="D52" s="201" t="s">
        <v>38</v>
      </c>
      <c r="E52" s="143">
        <v>46</v>
      </c>
      <c r="F52" s="159">
        <v>51837</v>
      </c>
      <c r="G52" s="157">
        <v>52746</v>
      </c>
    </row>
    <row r="53" spans="3:11" x14ac:dyDescent="0.2">
      <c r="C53" s="145"/>
      <c r="D53" s="202"/>
      <c r="E53" s="143">
        <v>47</v>
      </c>
      <c r="F53" s="159">
        <v>52866</v>
      </c>
      <c r="G53" s="157">
        <v>53793</v>
      </c>
      <c r="K53" s="21"/>
    </row>
    <row r="54" spans="3:11" ht="13.5" thickBot="1" x14ac:dyDescent="0.25">
      <c r="C54" s="145"/>
      <c r="D54" s="203"/>
      <c r="E54" s="143">
        <v>48</v>
      </c>
      <c r="F54" s="159">
        <v>53928</v>
      </c>
      <c r="G54" s="157">
        <v>54873</v>
      </c>
      <c r="K54" s="21"/>
    </row>
    <row r="55" spans="3:11" x14ac:dyDescent="0.2">
      <c r="C55" s="72"/>
      <c r="D55" s="68"/>
      <c r="E55" s="87" t="s">
        <v>71</v>
      </c>
      <c r="F55" s="155">
        <v>55017</v>
      </c>
      <c r="G55" s="156">
        <v>55980</v>
      </c>
      <c r="K55" s="21"/>
    </row>
    <row r="56" spans="3:11" ht="13.5" thickBot="1" x14ac:dyDescent="0.25">
      <c r="C56" s="72"/>
      <c r="D56" s="80"/>
      <c r="E56" s="87" t="s">
        <v>44</v>
      </c>
      <c r="F56" s="155">
        <v>56100</v>
      </c>
      <c r="G56" s="156">
        <v>57084</v>
      </c>
    </row>
    <row r="57" spans="3:11" x14ac:dyDescent="0.2">
      <c r="C57" s="72"/>
      <c r="D57" s="207" t="s">
        <v>39</v>
      </c>
      <c r="E57" s="143">
        <v>51</v>
      </c>
      <c r="F57" s="160">
        <v>57171</v>
      </c>
      <c r="G57" s="157">
        <v>58173</v>
      </c>
      <c r="K57" s="21"/>
    </row>
    <row r="58" spans="3:11" x14ac:dyDescent="0.2">
      <c r="C58" s="72"/>
      <c r="D58" s="208"/>
      <c r="E58" s="143">
        <v>52</v>
      </c>
      <c r="F58" s="160">
        <v>58242</v>
      </c>
      <c r="G58" s="157">
        <v>59262</v>
      </c>
      <c r="K58" s="21"/>
    </row>
    <row r="59" spans="3:11" ht="13.5" thickBot="1" x14ac:dyDescent="0.25">
      <c r="C59" s="147"/>
      <c r="D59" s="209"/>
      <c r="E59" s="148">
        <v>53</v>
      </c>
      <c r="F59" s="161">
        <v>59325</v>
      </c>
      <c r="G59" s="157">
        <v>60366</v>
      </c>
      <c r="K59" s="21"/>
    </row>
    <row r="61" spans="3:11" x14ac:dyDescent="0.2">
      <c r="C61" s="152" t="s">
        <v>82</v>
      </c>
    </row>
    <row r="62" spans="3:11" x14ac:dyDescent="0.2">
      <c r="C62" s="247" t="s">
        <v>83</v>
      </c>
      <c r="D62" s="247"/>
      <c r="E62" s="247"/>
      <c r="F62" s="247"/>
      <c r="G62" s="247"/>
      <c r="H62" s="247"/>
      <c r="I62" s="247"/>
      <c r="J62" s="247"/>
      <c r="K62" s="247"/>
    </row>
    <row r="63" spans="3:11" x14ac:dyDescent="0.2">
      <c r="C63" s="1" t="s">
        <v>84</v>
      </c>
    </row>
    <row r="64" spans="3:11" x14ac:dyDescent="0.2">
      <c r="C64" s="1" t="s">
        <v>85</v>
      </c>
      <c r="K64" s="21"/>
    </row>
    <row r="65" spans="3:11" x14ac:dyDescent="0.2">
      <c r="C65" s="1" t="s">
        <v>86</v>
      </c>
    </row>
    <row r="66" spans="3:11" x14ac:dyDescent="0.2">
      <c r="C66" s="1" t="s">
        <v>87</v>
      </c>
      <c r="K66" s="21"/>
    </row>
    <row r="67" spans="3:11" x14ac:dyDescent="0.2">
      <c r="C67" s="153" t="s">
        <v>88</v>
      </c>
    </row>
    <row r="68" spans="3:11" x14ac:dyDescent="0.2">
      <c r="C68" s="153" t="s">
        <v>89</v>
      </c>
      <c r="K68" s="21"/>
    </row>
    <row r="69" spans="3:11" x14ac:dyDescent="0.2">
      <c r="C69" s="1" t="s">
        <v>93</v>
      </c>
    </row>
    <row r="70" spans="3:11" x14ac:dyDescent="0.2">
      <c r="C70" s="1" t="s">
        <v>94</v>
      </c>
      <c r="K70" s="21"/>
    </row>
  </sheetData>
  <mergeCells count="21">
    <mergeCell ref="F4:F6"/>
    <mergeCell ref="G4:G6"/>
    <mergeCell ref="C62:K62"/>
    <mergeCell ref="D42:D44"/>
    <mergeCell ref="C45:C47"/>
    <mergeCell ref="D47:D49"/>
    <mergeCell ref="D52:D54"/>
    <mergeCell ref="D57:D59"/>
    <mergeCell ref="E4:E6"/>
    <mergeCell ref="D24:D26"/>
    <mergeCell ref="C29:C31"/>
    <mergeCell ref="D32:D34"/>
    <mergeCell ref="C34:C36"/>
    <mergeCell ref="D36:D38"/>
    <mergeCell ref="C39:C41"/>
    <mergeCell ref="C4:D6"/>
    <mergeCell ref="D7:D9"/>
    <mergeCell ref="C9:C11"/>
    <mergeCell ref="D11:D13"/>
    <mergeCell ref="D14:D16"/>
    <mergeCell ref="D19:D21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J130"/>
  <sheetViews>
    <sheetView zoomScale="110" zoomScaleNormal="110" workbookViewId="0">
      <selection activeCell="K19" sqref="K19"/>
    </sheetView>
  </sheetViews>
  <sheetFormatPr defaultRowHeight="12.75" x14ac:dyDescent="0.2"/>
  <cols>
    <col min="1" max="1" width="2.42578125" customWidth="1"/>
    <col min="10" max="10" width="17.140625" bestFit="1" customWidth="1"/>
  </cols>
  <sheetData>
    <row r="2" spans="3:7" ht="5.45" customHeight="1" x14ac:dyDescent="0.2"/>
    <row r="3" spans="3:7" ht="18.600000000000001" customHeight="1" x14ac:dyDescent="0.25">
      <c r="C3" s="154" t="s">
        <v>90</v>
      </c>
    </row>
    <row r="4" spans="3:7" ht="12.95" customHeight="1" thickBot="1" x14ac:dyDescent="0.25"/>
    <row r="5" spans="3:7" ht="12.6" customHeight="1" x14ac:dyDescent="0.2">
      <c r="C5" s="212" t="s">
        <v>79</v>
      </c>
      <c r="D5" s="230"/>
      <c r="E5" s="215" t="s">
        <v>60</v>
      </c>
      <c r="F5" s="218" t="s">
        <v>91</v>
      </c>
      <c r="G5" s="218" t="s">
        <v>92</v>
      </c>
    </row>
    <row r="6" spans="3:7" ht="12.6" customHeight="1" x14ac:dyDescent="0.2">
      <c r="C6" s="213"/>
      <c r="D6" s="231"/>
      <c r="E6" s="216"/>
      <c r="F6" s="219"/>
      <c r="G6" s="219"/>
    </row>
    <row r="7" spans="3:7" ht="12.95" customHeight="1" thickBot="1" x14ac:dyDescent="0.25">
      <c r="C7" s="214"/>
      <c r="D7" s="232"/>
      <c r="E7" s="217"/>
      <c r="F7" s="220"/>
      <c r="G7" s="220"/>
    </row>
    <row r="8" spans="3:7" x14ac:dyDescent="0.2">
      <c r="C8" s="74"/>
      <c r="D8" s="241" t="s">
        <v>80</v>
      </c>
      <c r="E8" s="141" t="s">
        <v>81</v>
      </c>
      <c r="F8" s="142">
        <v>20103</v>
      </c>
      <c r="G8" s="142">
        <v>20658</v>
      </c>
    </row>
    <row r="9" spans="3:7" ht="13.5" thickBot="1" x14ac:dyDescent="0.25">
      <c r="C9" s="74"/>
      <c r="D9" s="242"/>
      <c r="E9" s="143">
        <v>2</v>
      </c>
      <c r="F9" s="144">
        <v>20466</v>
      </c>
      <c r="G9" s="144">
        <v>21030</v>
      </c>
    </row>
    <row r="10" spans="3:7" ht="13.5" thickBot="1" x14ac:dyDescent="0.25">
      <c r="C10" s="241" t="s">
        <v>25</v>
      </c>
      <c r="D10" s="243"/>
      <c r="E10" s="143">
        <v>3</v>
      </c>
      <c r="F10" s="144">
        <v>20835</v>
      </c>
      <c r="G10" s="144">
        <v>21408</v>
      </c>
    </row>
    <row r="11" spans="3:7" ht="13.5" thickBot="1" x14ac:dyDescent="0.25">
      <c r="C11" s="242"/>
      <c r="D11" s="77"/>
      <c r="E11" s="143">
        <v>4</v>
      </c>
      <c r="F11" s="144">
        <v>21210</v>
      </c>
      <c r="G11" s="144">
        <v>21795</v>
      </c>
    </row>
    <row r="12" spans="3:7" ht="13.5" thickBot="1" x14ac:dyDescent="0.25">
      <c r="C12" s="243"/>
      <c r="D12" s="241" t="s">
        <v>26</v>
      </c>
      <c r="E12" s="143">
        <v>5</v>
      </c>
      <c r="F12" s="144">
        <v>21591</v>
      </c>
      <c r="G12" s="144">
        <v>22185</v>
      </c>
    </row>
    <row r="13" spans="3:7" x14ac:dyDescent="0.2">
      <c r="C13" s="150"/>
      <c r="D13" s="242"/>
      <c r="E13" s="143">
        <v>6</v>
      </c>
      <c r="F13" s="144">
        <v>21981</v>
      </c>
      <c r="G13" s="144">
        <v>22587</v>
      </c>
    </row>
    <row r="14" spans="3:7" ht="13.5" thickBot="1" x14ac:dyDescent="0.25">
      <c r="C14" s="151"/>
      <c r="D14" s="243"/>
      <c r="E14" s="143">
        <v>7</v>
      </c>
      <c r="F14" s="144">
        <v>22377</v>
      </c>
      <c r="G14" s="144">
        <v>22995</v>
      </c>
    </row>
    <row r="15" spans="3:7" x14ac:dyDescent="0.2">
      <c r="C15" s="74"/>
      <c r="D15" s="241" t="s">
        <v>27</v>
      </c>
      <c r="E15" s="143">
        <v>8</v>
      </c>
      <c r="F15" s="144">
        <v>22779</v>
      </c>
      <c r="G15" s="144">
        <v>23406</v>
      </c>
    </row>
    <row r="16" spans="3:7" x14ac:dyDescent="0.2">
      <c r="C16" s="74"/>
      <c r="D16" s="242"/>
      <c r="E16" s="143">
        <v>9</v>
      </c>
      <c r="F16" s="144">
        <v>23187</v>
      </c>
      <c r="G16" s="144">
        <v>23826</v>
      </c>
    </row>
    <row r="17" spans="3:7" ht="13.5" thickBot="1" x14ac:dyDescent="0.25">
      <c r="C17" s="74"/>
      <c r="D17" s="243"/>
      <c r="E17" s="143">
        <v>10</v>
      </c>
      <c r="F17" s="144">
        <v>23607</v>
      </c>
      <c r="G17" s="144">
        <v>24258</v>
      </c>
    </row>
    <row r="18" spans="3:7" x14ac:dyDescent="0.2">
      <c r="C18" s="74"/>
      <c r="D18" s="68"/>
      <c r="E18" s="87" t="s">
        <v>63</v>
      </c>
      <c r="F18" s="105">
        <v>24030</v>
      </c>
      <c r="G18" s="105">
        <v>24693</v>
      </c>
    </row>
    <row r="19" spans="3:7" ht="13.5" thickBot="1" x14ac:dyDescent="0.25">
      <c r="C19" s="74"/>
      <c r="D19" s="70"/>
      <c r="E19" s="87" t="s">
        <v>64</v>
      </c>
      <c r="F19" s="105">
        <v>24462</v>
      </c>
      <c r="G19" s="105">
        <v>25137</v>
      </c>
    </row>
    <row r="20" spans="3:7" x14ac:dyDescent="0.2">
      <c r="C20" s="75"/>
      <c r="D20" s="201" t="s">
        <v>28</v>
      </c>
      <c r="E20" s="143">
        <v>13</v>
      </c>
      <c r="F20" s="144">
        <v>24903</v>
      </c>
      <c r="G20" s="144">
        <v>25590</v>
      </c>
    </row>
    <row r="21" spans="3:7" x14ac:dyDescent="0.2">
      <c r="C21" s="75"/>
      <c r="D21" s="202"/>
      <c r="E21" s="143">
        <v>14</v>
      </c>
      <c r="F21" s="144">
        <v>25353</v>
      </c>
      <c r="G21" s="144">
        <v>26052</v>
      </c>
    </row>
    <row r="22" spans="3:7" ht="13.5" thickBot="1" x14ac:dyDescent="0.25">
      <c r="C22" s="75"/>
      <c r="D22" s="203"/>
      <c r="E22" s="143">
        <v>15</v>
      </c>
      <c r="F22" s="144">
        <v>25809</v>
      </c>
      <c r="G22" s="144">
        <v>26520</v>
      </c>
    </row>
    <row r="23" spans="3:7" x14ac:dyDescent="0.2">
      <c r="C23" s="74"/>
      <c r="D23" s="68"/>
      <c r="E23" s="87" t="s">
        <v>65</v>
      </c>
      <c r="F23" s="105">
        <v>26274</v>
      </c>
      <c r="G23" s="105">
        <v>26997</v>
      </c>
    </row>
    <row r="24" spans="3:7" ht="13.5" thickBot="1" x14ac:dyDescent="0.25">
      <c r="C24" s="74"/>
      <c r="D24" s="70"/>
      <c r="E24" s="87" t="s">
        <v>66</v>
      </c>
      <c r="F24" s="105">
        <v>26745</v>
      </c>
      <c r="G24" s="105">
        <v>27483</v>
      </c>
    </row>
    <row r="25" spans="3:7" x14ac:dyDescent="0.2">
      <c r="C25" s="74"/>
      <c r="D25" s="201" t="s">
        <v>29</v>
      </c>
      <c r="E25" s="143">
        <v>18</v>
      </c>
      <c r="F25" s="144">
        <v>27228</v>
      </c>
      <c r="G25" s="144">
        <v>27978</v>
      </c>
    </row>
    <row r="26" spans="3:7" x14ac:dyDescent="0.2">
      <c r="C26" s="74"/>
      <c r="D26" s="202"/>
      <c r="E26" s="143">
        <v>19</v>
      </c>
      <c r="F26" s="144">
        <v>27717</v>
      </c>
      <c r="G26" s="144">
        <v>28482</v>
      </c>
    </row>
    <row r="27" spans="3:7" ht="13.5" thickBot="1" x14ac:dyDescent="0.25">
      <c r="C27" s="74"/>
      <c r="D27" s="203"/>
      <c r="E27" s="143">
        <v>20</v>
      </c>
      <c r="F27" s="144">
        <v>28215</v>
      </c>
      <c r="G27" s="144">
        <v>28992</v>
      </c>
    </row>
    <row r="28" spans="3:7" x14ac:dyDescent="0.2">
      <c r="C28" s="74"/>
      <c r="D28" s="68"/>
      <c r="E28" s="87" t="s">
        <v>68</v>
      </c>
      <c r="F28" s="105">
        <v>28725</v>
      </c>
      <c r="G28" s="105">
        <v>29517</v>
      </c>
    </row>
    <row r="29" spans="3:7" ht="13.5" thickBot="1" x14ac:dyDescent="0.25">
      <c r="C29" s="76"/>
      <c r="D29" s="69"/>
      <c r="E29" s="87" t="s">
        <v>43</v>
      </c>
      <c r="F29" s="105">
        <v>29241</v>
      </c>
      <c r="G29" s="105">
        <v>30048</v>
      </c>
    </row>
    <row r="30" spans="3:7" x14ac:dyDescent="0.2">
      <c r="C30" s="198" t="s">
        <v>30</v>
      </c>
      <c r="D30" s="69"/>
      <c r="E30" s="143">
        <v>23</v>
      </c>
      <c r="F30" s="144">
        <v>29766</v>
      </c>
      <c r="G30" s="144">
        <v>30585</v>
      </c>
    </row>
    <row r="31" spans="3:7" x14ac:dyDescent="0.2">
      <c r="C31" s="199"/>
      <c r="D31" s="69"/>
      <c r="E31" s="143">
        <v>24</v>
      </c>
      <c r="F31" s="144">
        <v>30213</v>
      </c>
      <c r="G31" s="144">
        <v>31044</v>
      </c>
    </row>
    <row r="32" spans="3:7" ht="13.5" thickBot="1" x14ac:dyDescent="0.25">
      <c r="C32" s="200"/>
      <c r="D32" s="70"/>
      <c r="E32" s="143">
        <v>25</v>
      </c>
      <c r="F32" s="144">
        <v>30711</v>
      </c>
      <c r="G32" s="144">
        <v>31557</v>
      </c>
    </row>
    <row r="33" spans="3:10" x14ac:dyDescent="0.2">
      <c r="C33" s="77"/>
      <c r="D33" s="201" t="s">
        <v>31</v>
      </c>
      <c r="E33" s="143">
        <v>26</v>
      </c>
      <c r="F33" s="144">
        <v>31548</v>
      </c>
      <c r="G33" s="144">
        <v>32418</v>
      </c>
    </row>
    <row r="34" spans="3:10" ht="13.5" thickBot="1" x14ac:dyDescent="0.25">
      <c r="C34" s="78"/>
      <c r="D34" s="202"/>
      <c r="E34" s="143">
        <v>27</v>
      </c>
      <c r="F34" s="144">
        <v>32430</v>
      </c>
      <c r="G34" s="144">
        <v>33324</v>
      </c>
    </row>
    <row r="35" spans="3:10" ht="13.5" thickBot="1" x14ac:dyDescent="0.25">
      <c r="C35" s="198" t="s">
        <v>32</v>
      </c>
      <c r="D35" s="203"/>
      <c r="E35" s="143">
        <v>28</v>
      </c>
      <c r="F35" s="144">
        <v>33291</v>
      </c>
      <c r="G35" s="144">
        <v>34209</v>
      </c>
    </row>
    <row r="36" spans="3:10" ht="13.5" thickBot="1" x14ac:dyDescent="0.25">
      <c r="C36" s="199"/>
      <c r="D36" s="12"/>
      <c r="E36" s="143">
        <v>29</v>
      </c>
      <c r="F36" s="144">
        <v>33948</v>
      </c>
      <c r="G36" s="144">
        <v>34884</v>
      </c>
    </row>
    <row r="37" spans="3:10" ht="13.5" thickBot="1" x14ac:dyDescent="0.25">
      <c r="C37" s="200"/>
      <c r="D37" s="207" t="s">
        <v>33</v>
      </c>
      <c r="E37" s="143">
        <v>30</v>
      </c>
      <c r="F37" s="144">
        <v>34794</v>
      </c>
      <c r="G37" s="144">
        <v>35751</v>
      </c>
    </row>
    <row r="38" spans="3:10" x14ac:dyDescent="0.2">
      <c r="C38" s="71"/>
      <c r="D38" s="208"/>
      <c r="E38" s="143">
        <v>31</v>
      </c>
      <c r="F38" s="144">
        <v>35724</v>
      </c>
      <c r="G38" s="144">
        <v>36708</v>
      </c>
    </row>
    <row r="39" spans="3:10" ht="13.5" thickBot="1" x14ac:dyDescent="0.25">
      <c r="C39" s="79"/>
      <c r="D39" s="211"/>
      <c r="E39" s="143">
        <v>32</v>
      </c>
      <c r="F39" s="144">
        <v>36711</v>
      </c>
      <c r="G39" s="144">
        <v>37722</v>
      </c>
    </row>
    <row r="40" spans="3:10" x14ac:dyDescent="0.2">
      <c r="C40" s="198" t="s">
        <v>34</v>
      </c>
      <c r="D40" s="68"/>
      <c r="E40" s="143">
        <v>33</v>
      </c>
      <c r="F40" s="144">
        <v>37842</v>
      </c>
      <c r="G40" s="144">
        <v>38883</v>
      </c>
    </row>
    <row r="41" spans="3:10" x14ac:dyDescent="0.2">
      <c r="C41" s="199"/>
      <c r="D41" s="69"/>
      <c r="E41" s="143">
        <v>34</v>
      </c>
      <c r="F41" s="144">
        <v>38799</v>
      </c>
      <c r="G41" s="144">
        <v>39867</v>
      </c>
    </row>
    <row r="42" spans="3:10" ht="13.5" thickBot="1" x14ac:dyDescent="0.25">
      <c r="C42" s="200"/>
      <c r="D42" s="80"/>
      <c r="E42" s="143">
        <v>35</v>
      </c>
      <c r="F42" s="144">
        <v>39774</v>
      </c>
      <c r="G42" s="144">
        <v>40869</v>
      </c>
    </row>
    <row r="43" spans="3:10" x14ac:dyDescent="0.2">
      <c r="C43" s="71"/>
      <c r="D43" s="207" t="s">
        <v>35</v>
      </c>
      <c r="E43" s="143">
        <v>36</v>
      </c>
      <c r="F43" s="144">
        <v>40728</v>
      </c>
      <c r="G43" s="144">
        <v>41850</v>
      </c>
    </row>
    <row r="44" spans="3:10" x14ac:dyDescent="0.2">
      <c r="C44" s="72"/>
      <c r="D44" s="208"/>
      <c r="E44" s="143">
        <v>37</v>
      </c>
      <c r="F44" s="144">
        <v>41706</v>
      </c>
      <c r="G44" s="144">
        <v>42855</v>
      </c>
      <c r="J44" s="21"/>
    </row>
    <row r="45" spans="3:10" ht="13.5" thickBot="1" x14ac:dyDescent="0.25">
      <c r="C45" s="79"/>
      <c r="D45" s="211"/>
      <c r="E45" s="143">
        <v>38</v>
      </c>
      <c r="F45" s="144">
        <v>42684</v>
      </c>
      <c r="G45" s="144">
        <v>43860</v>
      </c>
    </row>
    <row r="46" spans="3:10" x14ac:dyDescent="0.2">
      <c r="C46" s="198" t="s">
        <v>36</v>
      </c>
      <c r="D46" s="83"/>
      <c r="E46" s="143">
        <v>39</v>
      </c>
      <c r="F46" s="144">
        <v>43590</v>
      </c>
      <c r="G46" s="144">
        <v>44790</v>
      </c>
      <c r="J46" s="21"/>
    </row>
    <row r="47" spans="3:10" ht="13.5" thickBot="1" x14ac:dyDescent="0.25">
      <c r="C47" s="199"/>
      <c r="D47" s="84"/>
      <c r="E47" s="143">
        <v>40</v>
      </c>
      <c r="F47" s="144">
        <v>44607</v>
      </c>
      <c r="G47" s="144">
        <v>45834</v>
      </c>
    </row>
    <row r="48" spans="3:10" ht="13.5" thickBot="1" x14ac:dyDescent="0.25">
      <c r="C48" s="200"/>
      <c r="D48" s="207" t="s">
        <v>37</v>
      </c>
      <c r="E48" s="143">
        <v>41</v>
      </c>
      <c r="F48" s="144">
        <v>45585</v>
      </c>
      <c r="G48" s="144">
        <v>46839</v>
      </c>
      <c r="J48" s="21"/>
    </row>
    <row r="49" spans="2:10" x14ac:dyDescent="0.2">
      <c r="C49" s="71"/>
      <c r="D49" s="208"/>
      <c r="E49" s="143">
        <v>42</v>
      </c>
      <c r="F49" s="144">
        <v>46560</v>
      </c>
      <c r="G49" s="144">
        <v>47841</v>
      </c>
    </row>
    <row r="50" spans="2:10" ht="13.5" thickBot="1" x14ac:dyDescent="0.25">
      <c r="C50" s="72"/>
      <c r="D50" s="211"/>
      <c r="E50" s="143">
        <v>43</v>
      </c>
      <c r="F50" s="144">
        <v>47511</v>
      </c>
      <c r="G50" s="144">
        <v>48819</v>
      </c>
      <c r="J50" s="21"/>
    </row>
    <row r="51" spans="2:10" x14ac:dyDescent="0.2">
      <c r="C51" s="72"/>
      <c r="D51" s="68"/>
      <c r="E51" s="87" t="s">
        <v>69</v>
      </c>
      <c r="F51" s="105">
        <v>48492</v>
      </c>
      <c r="G51" s="105">
        <v>49827</v>
      </c>
    </row>
    <row r="52" spans="2:10" ht="13.5" thickBot="1" x14ac:dyDescent="0.25">
      <c r="C52" s="72"/>
      <c r="D52" s="80"/>
      <c r="E52" s="87" t="s">
        <v>70</v>
      </c>
      <c r="F52" s="105">
        <v>49464</v>
      </c>
      <c r="G52" s="105">
        <v>50826</v>
      </c>
      <c r="J52" s="21"/>
    </row>
    <row r="53" spans="2:10" x14ac:dyDescent="0.2">
      <c r="C53" s="145"/>
      <c r="D53" s="201" t="s">
        <v>38</v>
      </c>
      <c r="E53" s="143">
        <v>46</v>
      </c>
      <c r="F53" s="144">
        <v>50448</v>
      </c>
      <c r="G53" s="144">
        <v>51837</v>
      </c>
    </row>
    <row r="54" spans="2:10" x14ac:dyDescent="0.2">
      <c r="C54" s="145"/>
      <c r="D54" s="202"/>
      <c r="E54" s="143">
        <v>47</v>
      </c>
      <c r="F54" s="144">
        <v>51450</v>
      </c>
      <c r="G54" s="144">
        <v>52866</v>
      </c>
      <c r="J54" s="21"/>
    </row>
    <row r="55" spans="2:10" ht="13.5" thickBot="1" x14ac:dyDescent="0.25">
      <c r="C55" s="145"/>
      <c r="D55" s="203"/>
      <c r="E55" s="143">
        <v>48</v>
      </c>
      <c r="F55" s="144">
        <v>52482</v>
      </c>
      <c r="G55" s="144">
        <v>53928</v>
      </c>
    </row>
    <row r="56" spans="2:10" x14ac:dyDescent="0.2">
      <c r="C56" s="72"/>
      <c r="D56" s="68"/>
      <c r="E56" s="87" t="s">
        <v>71</v>
      </c>
      <c r="F56" s="105">
        <v>53544</v>
      </c>
      <c r="G56" s="105">
        <v>55017</v>
      </c>
      <c r="J56" s="21"/>
    </row>
    <row r="57" spans="2:10" ht="13.5" thickBot="1" x14ac:dyDescent="0.25">
      <c r="C57" s="72"/>
      <c r="D57" s="80"/>
      <c r="E57" s="87" t="s">
        <v>44</v>
      </c>
      <c r="F57" s="105">
        <v>54597</v>
      </c>
      <c r="G57" s="105">
        <v>56100</v>
      </c>
    </row>
    <row r="58" spans="2:10" x14ac:dyDescent="0.2">
      <c r="C58" s="72"/>
      <c r="D58" s="207" t="s">
        <v>39</v>
      </c>
      <c r="E58" s="143">
        <v>51</v>
      </c>
      <c r="F58" s="146">
        <v>55638</v>
      </c>
      <c r="G58" s="146">
        <v>57171</v>
      </c>
      <c r="J58" s="21"/>
    </row>
    <row r="59" spans="2:10" x14ac:dyDescent="0.2">
      <c r="C59" s="72"/>
      <c r="D59" s="208"/>
      <c r="E59" s="143">
        <v>52</v>
      </c>
      <c r="F59" s="146">
        <v>56682</v>
      </c>
      <c r="G59" s="146">
        <v>58242</v>
      </c>
    </row>
    <row r="60" spans="2:10" ht="13.5" thickBot="1" x14ac:dyDescent="0.25">
      <c r="C60" s="147"/>
      <c r="D60" s="209"/>
      <c r="E60" s="148">
        <v>53</v>
      </c>
      <c r="F60" s="149">
        <v>57735</v>
      </c>
      <c r="G60" s="149">
        <v>59325</v>
      </c>
      <c r="J60" s="21"/>
    </row>
    <row r="62" spans="2:10" x14ac:dyDescent="0.2">
      <c r="J62" s="21"/>
    </row>
    <row r="63" spans="2:10" x14ac:dyDescent="0.2">
      <c r="B63" s="152" t="s">
        <v>82</v>
      </c>
    </row>
    <row r="64" spans="2:10" ht="27.6" customHeight="1" x14ac:dyDescent="0.2">
      <c r="B64" s="247" t="s">
        <v>83</v>
      </c>
      <c r="C64" s="247"/>
      <c r="D64" s="247"/>
      <c r="E64" s="247"/>
      <c r="F64" s="247"/>
      <c r="G64" s="247"/>
      <c r="H64" s="247"/>
      <c r="I64" s="247"/>
      <c r="J64" s="247"/>
    </row>
    <row r="65" spans="2:10" x14ac:dyDescent="0.2">
      <c r="B65" s="1" t="s">
        <v>84</v>
      </c>
    </row>
    <row r="66" spans="2:10" x14ac:dyDescent="0.2">
      <c r="B66" s="1" t="s">
        <v>85</v>
      </c>
      <c r="J66" s="21"/>
    </row>
    <row r="67" spans="2:10" x14ac:dyDescent="0.2">
      <c r="B67" s="1" t="s">
        <v>86</v>
      </c>
    </row>
    <row r="68" spans="2:10" x14ac:dyDescent="0.2">
      <c r="B68" s="1" t="s">
        <v>87</v>
      </c>
      <c r="J68" s="21"/>
    </row>
    <row r="69" spans="2:10" x14ac:dyDescent="0.2">
      <c r="B69" s="153" t="s">
        <v>88</v>
      </c>
    </row>
    <row r="70" spans="2:10" x14ac:dyDescent="0.2">
      <c r="B70" s="153" t="s">
        <v>89</v>
      </c>
      <c r="J70" s="21"/>
    </row>
    <row r="71" spans="2:10" x14ac:dyDescent="0.2">
      <c r="B71" s="1" t="s">
        <v>93</v>
      </c>
    </row>
    <row r="72" spans="2:10" x14ac:dyDescent="0.2">
      <c r="B72" s="1" t="s">
        <v>94</v>
      </c>
      <c r="J72" s="21"/>
    </row>
    <row r="73" spans="2:10" x14ac:dyDescent="0.2">
      <c r="B73" s="1"/>
    </row>
    <row r="74" spans="2:10" x14ac:dyDescent="0.2">
      <c r="J74" s="21"/>
    </row>
    <row r="76" spans="2:10" x14ac:dyDescent="0.2">
      <c r="J76" s="21"/>
    </row>
    <row r="78" spans="2:10" x14ac:dyDescent="0.2">
      <c r="J78" s="21"/>
    </row>
    <row r="80" spans="2:10" x14ac:dyDescent="0.2">
      <c r="J80" s="21"/>
    </row>
    <row r="82" spans="10:10" x14ac:dyDescent="0.2">
      <c r="J82" s="21"/>
    </row>
    <row r="84" spans="10:10" x14ac:dyDescent="0.2">
      <c r="J84" s="21"/>
    </row>
    <row r="86" spans="10:10" x14ac:dyDescent="0.2">
      <c r="J86" s="21"/>
    </row>
    <row r="88" spans="10:10" x14ac:dyDescent="0.2">
      <c r="J88" s="21"/>
    </row>
    <row r="90" spans="10:10" x14ac:dyDescent="0.2">
      <c r="J90" s="21"/>
    </row>
    <row r="92" spans="10:10" x14ac:dyDescent="0.2">
      <c r="J92" s="21"/>
    </row>
    <row r="94" spans="10:10" x14ac:dyDescent="0.2">
      <c r="J94" s="21"/>
    </row>
    <row r="96" spans="10:10" x14ac:dyDescent="0.2">
      <c r="J96" s="21"/>
    </row>
    <row r="98" spans="10:10" x14ac:dyDescent="0.2">
      <c r="J98" s="21"/>
    </row>
    <row r="100" spans="10:10" x14ac:dyDescent="0.2">
      <c r="J100" s="21"/>
    </row>
    <row r="102" spans="10:10" x14ac:dyDescent="0.2">
      <c r="J102" s="21"/>
    </row>
    <row r="104" spans="10:10" x14ac:dyDescent="0.2">
      <c r="J104" s="21"/>
    </row>
    <row r="106" spans="10:10" x14ac:dyDescent="0.2">
      <c r="J106" s="21"/>
    </row>
    <row r="108" spans="10:10" x14ac:dyDescent="0.2">
      <c r="J108" s="21"/>
    </row>
    <row r="110" spans="10:10" x14ac:dyDescent="0.2">
      <c r="J110" s="21"/>
    </row>
    <row r="112" spans="10:10" x14ac:dyDescent="0.2">
      <c r="J112" s="21"/>
    </row>
    <row r="114" spans="10:10" x14ac:dyDescent="0.2">
      <c r="J114" s="21"/>
    </row>
    <row r="116" spans="10:10" x14ac:dyDescent="0.2">
      <c r="J116" s="21"/>
    </row>
    <row r="118" spans="10:10" x14ac:dyDescent="0.2">
      <c r="J118" s="21"/>
    </row>
    <row r="120" spans="10:10" x14ac:dyDescent="0.2">
      <c r="J120" s="21"/>
    </row>
    <row r="122" spans="10:10" x14ac:dyDescent="0.2">
      <c r="J122" s="21"/>
    </row>
    <row r="124" spans="10:10" x14ac:dyDescent="0.2">
      <c r="J124" s="21"/>
    </row>
    <row r="126" spans="10:10" x14ac:dyDescent="0.2">
      <c r="J126" s="21"/>
    </row>
    <row r="128" spans="10:10" x14ac:dyDescent="0.2">
      <c r="J128" s="21"/>
    </row>
    <row r="130" spans="10:10" x14ac:dyDescent="0.2">
      <c r="J130" s="21"/>
    </row>
  </sheetData>
  <mergeCells count="21">
    <mergeCell ref="G5:G7"/>
    <mergeCell ref="C5:D7"/>
    <mergeCell ref="E5:E7"/>
    <mergeCell ref="F5:F7"/>
    <mergeCell ref="D8:D10"/>
    <mergeCell ref="C10:C12"/>
    <mergeCell ref="D12:D14"/>
    <mergeCell ref="B64:J64"/>
    <mergeCell ref="D58:D60"/>
    <mergeCell ref="D15:D17"/>
    <mergeCell ref="D20:D22"/>
    <mergeCell ref="D25:D27"/>
    <mergeCell ref="C30:C32"/>
    <mergeCell ref="D33:D35"/>
    <mergeCell ref="C35:C37"/>
    <mergeCell ref="D37:D39"/>
    <mergeCell ref="C40:C42"/>
    <mergeCell ref="D43:D45"/>
    <mergeCell ref="C46:C48"/>
    <mergeCell ref="D48:D50"/>
    <mergeCell ref="D53:D55"/>
  </mergeCells>
  <pageMargins left="0.7" right="0.7" top="0.75" bottom="0.75" header="0.3" footer="0.3"/>
  <pageSetup paperSize="9" scale="8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W73"/>
  <sheetViews>
    <sheetView zoomScaleNormal="100" workbookViewId="0">
      <selection activeCell="F1" sqref="F1:AB1"/>
    </sheetView>
  </sheetViews>
  <sheetFormatPr defaultRowHeight="12.75" x14ac:dyDescent="0.2"/>
  <cols>
    <col min="1" max="1" width="1.85546875" customWidth="1"/>
    <col min="2" max="2" width="9.140625" style="1" hidden="1" customWidth="1"/>
    <col min="3" max="3" width="3.140625" style="1" hidden="1" customWidth="1"/>
    <col min="4" max="4" width="9.140625" style="1" hidden="1" customWidth="1"/>
    <col min="5" max="5" width="2.140625" style="1" customWidth="1"/>
    <col min="6" max="7" width="9.140625" style="1"/>
    <col min="8" max="8" width="9.140625" style="1" customWidth="1"/>
    <col min="9" max="11" width="10.85546875" style="1" hidden="1" customWidth="1"/>
    <col min="12" max="14" width="9.140625" hidden="1" customWidth="1"/>
    <col min="15" max="15" width="10.85546875" hidden="1" customWidth="1"/>
    <col min="16" max="16" width="8.140625" hidden="1" customWidth="1"/>
    <col min="17" max="17" width="10.85546875" style="15" hidden="1" customWidth="1"/>
    <col min="18" max="21" width="10.85546875" hidden="1" customWidth="1"/>
    <col min="22" max="22" width="11.140625" customWidth="1"/>
    <col min="23" max="23" width="5" customWidth="1"/>
    <col min="24" max="24" width="9.85546875" customWidth="1"/>
    <col min="25" max="28" width="11.140625" customWidth="1"/>
    <col min="29" max="29" width="10.85546875" customWidth="1"/>
    <col min="30" max="30" width="10" customWidth="1"/>
    <col min="31" max="32" width="11.140625" customWidth="1"/>
    <col min="33" max="33" width="5.85546875" customWidth="1"/>
    <col min="34" max="34" width="11.140625" customWidth="1"/>
    <col min="35" max="35" width="10.42578125" customWidth="1"/>
    <col min="36" max="38" width="11.140625" customWidth="1"/>
    <col min="39" max="39" width="9.140625" customWidth="1"/>
  </cols>
  <sheetData>
    <row r="1" spans="2:49" ht="44.25" customHeight="1" x14ac:dyDescent="0.35">
      <c r="C1" s="16"/>
      <c r="D1" s="16"/>
      <c r="E1" s="16"/>
      <c r="F1" s="234" t="s">
        <v>56</v>
      </c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111"/>
      <c r="AD1" s="111"/>
      <c r="AE1" s="111"/>
      <c r="AF1" s="111"/>
      <c r="AG1" s="111"/>
      <c r="AH1" s="111"/>
      <c r="AI1" s="111"/>
      <c r="AJ1" s="111"/>
      <c r="AK1" s="111"/>
      <c r="AL1" s="95"/>
    </row>
    <row r="2" spans="2:49" ht="7.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</row>
    <row r="3" spans="2:49" ht="16.5" customHeight="1" x14ac:dyDescent="0.2">
      <c r="C3" s="20"/>
      <c r="D3" s="20"/>
      <c r="E3" s="20"/>
      <c r="F3" s="260" t="s">
        <v>75</v>
      </c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112"/>
      <c r="Y3" s="236" t="s">
        <v>76</v>
      </c>
      <c r="Z3" s="236"/>
      <c r="AA3" s="236"/>
      <c r="AB3" s="236"/>
      <c r="AC3" s="99"/>
      <c r="AD3" s="236" t="s">
        <v>77</v>
      </c>
      <c r="AE3" s="236"/>
      <c r="AF3" s="236"/>
      <c r="AG3" s="99"/>
    </row>
    <row r="4" spans="2:49" ht="16.5" customHeight="1" x14ac:dyDescent="0.2">
      <c r="C4" s="20"/>
      <c r="D4" s="20"/>
      <c r="E4" s="2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112"/>
      <c r="Y4" s="236"/>
      <c r="Z4" s="236"/>
      <c r="AA4" s="236"/>
      <c r="AB4" s="236"/>
      <c r="AC4" s="99"/>
      <c r="AD4" s="236"/>
      <c r="AE4" s="236"/>
      <c r="AF4" s="236"/>
      <c r="AG4" s="99"/>
      <c r="AL4" s="99"/>
    </row>
    <row r="5" spans="2:49" ht="27" customHeight="1" thickBot="1" x14ac:dyDescent="0.25">
      <c r="B5" s="108"/>
      <c r="C5" s="108"/>
      <c r="D5" s="108"/>
      <c r="E5" s="108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112"/>
      <c r="Y5" s="237"/>
      <c r="Z5" s="237"/>
      <c r="AA5" s="237"/>
      <c r="AB5" s="237"/>
      <c r="AC5" s="99"/>
      <c r="AD5" s="237"/>
      <c r="AE5" s="237"/>
      <c r="AF5" s="237"/>
      <c r="AG5" s="99"/>
      <c r="AL5" s="99"/>
      <c r="AS5" s="238"/>
      <c r="AT5" s="239"/>
    </row>
    <row r="6" spans="2:49" ht="78" customHeight="1" thickBot="1" x14ac:dyDescent="0.25">
      <c r="B6" s="225" t="s">
        <v>57</v>
      </c>
      <c r="C6" s="226"/>
      <c r="D6" s="227"/>
      <c r="E6" s="4"/>
      <c r="F6" s="258" t="s">
        <v>58</v>
      </c>
      <c r="G6" s="259"/>
      <c r="H6" s="116" t="s">
        <v>0</v>
      </c>
      <c r="I6" s="65" t="s">
        <v>1</v>
      </c>
      <c r="J6" s="65" t="s">
        <v>2</v>
      </c>
      <c r="K6" s="65" t="s">
        <v>3</v>
      </c>
      <c r="L6" s="117" t="s">
        <v>20</v>
      </c>
      <c r="M6" s="65" t="s">
        <v>21</v>
      </c>
      <c r="N6" s="65" t="s">
        <v>47</v>
      </c>
      <c r="O6" s="65" t="s">
        <v>49</v>
      </c>
      <c r="P6" s="65" t="s">
        <v>50</v>
      </c>
      <c r="Q6" s="65" t="s">
        <v>48</v>
      </c>
      <c r="R6" s="65" t="s">
        <v>53</v>
      </c>
      <c r="S6" s="118" t="s">
        <v>52</v>
      </c>
      <c r="T6" s="118" t="s">
        <v>51</v>
      </c>
      <c r="U6" s="119" t="s">
        <v>54</v>
      </c>
      <c r="V6" s="113" t="s">
        <v>78</v>
      </c>
      <c r="W6" s="109"/>
      <c r="X6" s="109"/>
      <c r="Y6" s="212" t="s">
        <v>62</v>
      </c>
      <c r="Z6" s="230"/>
      <c r="AA6" s="215" t="s">
        <v>60</v>
      </c>
      <c r="AB6" s="218" t="s">
        <v>73</v>
      </c>
      <c r="AC6" s="96"/>
      <c r="AD6" s="212" t="s">
        <v>61</v>
      </c>
      <c r="AE6" s="215" t="s">
        <v>60</v>
      </c>
      <c r="AF6" s="218" t="s">
        <v>73</v>
      </c>
      <c r="AG6" s="96"/>
      <c r="AL6" s="96"/>
      <c r="AM6" s="60"/>
      <c r="AN6" s="64"/>
      <c r="AO6" s="64"/>
      <c r="AS6" s="93"/>
      <c r="AT6" s="93"/>
      <c r="AV6" s="93"/>
      <c r="AW6" s="93"/>
    </row>
    <row r="7" spans="2:49" ht="15.75" customHeight="1" thickBot="1" x14ac:dyDescent="0.25">
      <c r="B7" s="196" t="s">
        <v>4</v>
      </c>
      <c r="C7" s="40"/>
      <c r="D7" s="41"/>
      <c r="E7" s="52"/>
      <c r="F7" s="120"/>
      <c r="G7" s="121"/>
      <c r="H7" s="122" t="s">
        <v>40</v>
      </c>
      <c r="I7" s="123">
        <v>12438</v>
      </c>
      <c r="J7" s="123">
        <v>12780</v>
      </c>
      <c r="K7" s="123">
        <v>13158</v>
      </c>
      <c r="L7" s="124">
        <v>13545</v>
      </c>
      <c r="M7" s="123">
        <v>14010</v>
      </c>
      <c r="N7" s="123">
        <v>14517</v>
      </c>
      <c r="O7" s="125">
        <v>14697</v>
      </c>
      <c r="P7" s="125"/>
      <c r="Q7" s="125">
        <v>14844</v>
      </c>
      <c r="R7" s="125" t="s">
        <v>46</v>
      </c>
      <c r="S7" s="126" t="s">
        <v>46</v>
      </c>
      <c r="T7" s="126" t="s">
        <v>46</v>
      </c>
      <c r="U7" s="127" t="s">
        <v>46</v>
      </c>
      <c r="V7" s="114" t="s">
        <v>46</v>
      </c>
      <c r="W7" s="63"/>
      <c r="X7" s="63"/>
      <c r="Y7" s="213"/>
      <c r="Z7" s="231"/>
      <c r="AA7" s="216"/>
      <c r="AB7" s="219"/>
      <c r="AC7" s="96"/>
      <c r="AD7" s="213"/>
      <c r="AE7" s="216"/>
      <c r="AF7" s="219"/>
      <c r="AG7" s="96"/>
      <c r="AL7" s="96"/>
      <c r="AS7" s="94"/>
      <c r="AT7" s="94"/>
      <c r="AV7" s="94"/>
      <c r="AW7" s="94"/>
    </row>
    <row r="8" spans="2:49" ht="12.75" customHeight="1" thickBot="1" x14ac:dyDescent="0.25">
      <c r="B8" s="196"/>
      <c r="C8" s="40"/>
      <c r="D8" s="41"/>
      <c r="E8" s="52"/>
      <c r="F8" s="248" t="s">
        <v>22</v>
      </c>
      <c r="G8" s="121"/>
      <c r="H8" s="122" t="s">
        <v>55</v>
      </c>
      <c r="I8" s="123">
        <v>12654</v>
      </c>
      <c r="J8" s="123">
        <v>13002</v>
      </c>
      <c r="K8" s="123">
        <v>13386</v>
      </c>
      <c r="L8" s="124">
        <v>13782</v>
      </c>
      <c r="M8" s="123">
        <v>14124</v>
      </c>
      <c r="N8" s="123">
        <v>14631</v>
      </c>
      <c r="O8" s="128">
        <v>14814</v>
      </c>
      <c r="P8" s="128"/>
      <c r="Q8" s="128">
        <v>14961</v>
      </c>
      <c r="R8" s="128">
        <v>16242</v>
      </c>
      <c r="S8" s="101">
        <v>325</v>
      </c>
      <c r="T8" s="101">
        <v>0</v>
      </c>
      <c r="U8" s="129" t="s">
        <v>46</v>
      </c>
      <c r="V8" s="101" t="s">
        <v>46</v>
      </c>
      <c r="W8" s="63"/>
      <c r="X8" s="63"/>
      <c r="Y8" s="214"/>
      <c r="Z8" s="232"/>
      <c r="AA8" s="217"/>
      <c r="AB8" s="220"/>
      <c r="AC8" s="96"/>
      <c r="AD8" s="214"/>
      <c r="AE8" s="217"/>
      <c r="AF8" s="220"/>
      <c r="AG8" s="96"/>
      <c r="AL8" s="96"/>
      <c r="AS8" s="94"/>
      <c r="AT8" s="94"/>
      <c r="AV8" s="94"/>
      <c r="AW8" s="94"/>
    </row>
    <row r="9" spans="2:49" ht="13.5" thickBot="1" x14ac:dyDescent="0.25">
      <c r="B9" s="196"/>
      <c r="C9" s="40"/>
      <c r="D9" s="41"/>
      <c r="E9" s="52"/>
      <c r="F9" s="250"/>
      <c r="G9" s="130"/>
      <c r="H9" s="122">
        <v>6</v>
      </c>
      <c r="I9" s="123">
        <v>12765</v>
      </c>
      <c r="J9" s="123">
        <v>13116</v>
      </c>
      <c r="K9" s="123">
        <v>13503</v>
      </c>
      <c r="L9" s="124">
        <v>13902</v>
      </c>
      <c r="M9" s="123">
        <v>14247</v>
      </c>
      <c r="N9" s="123">
        <v>14757</v>
      </c>
      <c r="O9" s="128">
        <v>14940</v>
      </c>
      <c r="P9" s="128"/>
      <c r="Q9" s="128">
        <v>15090</v>
      </c>
      <c r="R9" s="128">
        <v>16287</v>
      </c>
      <c r="S9" s="101">
        <v>325</v>
      </c>
      <c r="T9" s="101">
        <v>0</v>
      </c>
      <c r="U9" s="129">
        <v>17364</v>
      </c>
      <c r="V9" s="101">
        <v>19611</v>
      </c>
      <c r="W9" s="63"/>
      <c r="X9" s="63"/>
      <c r="Y9" s="66" t="s">
        <v>22</v>
      </c>
      <c r="Z9" s="202" t="s">
        <v>23</v>
      </c>
      <c r="AA9" s="141">
        <v>1</v>
      </c>
      <c r="AB9" s="142">
        <v>20103</v>
      </c>
      <c r="AC9" s="97"/>
      <c r="AD9" s="13">
        <v>6</v>
      </c>
      <c r="AE9" s="89">
        <v>1</v>
      </c>
      <c r="AF9" s="102">
        <v>20103</v>
      </c>
      <c r="AG9" s="97"/>
      <c r="AL9" s="97"/>
      <c r="AM9" s="62"/>
      <c r="AS9" s="94"/>
      <c r="AT9" s="94"/>
      <c r="AV9" s="94"/>
      <c r="AW9" s="94"/>
    </row>
    <row r="10" spans="2:49" ht="12.75" customHeight="1" thickBot="1" x14ac:dyDescent="0.25">
      <c r="B10" s="196"/>
      <c r="C10" s="40"/>
      <c r="D10" s="41"/>
      <c r="E10" s="52"/>
      <c r="F10" s="131"/>
      <c r="G10" s="251" t="s">
        <v>23</v>
      </c>
      <c r="H10" s="122">
        <v>7</v>
      </c>
      <c r="I10" s="123">
        <v>13107</v>
      </c>
      <c r="J10" s="123">
        <v>13467</v>
      </c>
      <c r="K10" s="123">
        <v>13863</v>
      </c>
      <c r="L10" s="124">
        <v>14271</v>
      </c>
      <c r="M10" s="123">
        <v>14625</v>
      </c>
      <c r="N10" s="123">
        <v>15027</v>
      </c>
      <c r="O10" s="128">
        <v>15216</v>
      </c>
      <c r="P10" s="128"/>
      <c r="Q10" s="128">
        <v>15369</v>
      </c>
      <c r="R10" s="128">
        <v>16320</v>
      </c>
      <c r="S10" s="101">
        <v>325</v>
      </c>
      <c r="T10" s="101">
        <v>0</v>
      </c>
      <c r="U10" s="129">
        <v>17391</v>
      </c>
      <c r="V10" s="101">
        <v>19635</v>
      </c>
      <c r="W10" s="63"/>
      <c r="X10" s="63"/>
      <c r="Y10" s="222" t="s">
        <v>59</v>
      </c>
      <c r="Z10" s="221"/>
      <c r="AA10" s="143">
        <v>2</v>
      </c>
      <c r="AB10" s="144">
        <v>20466</v>
      </c>
      <c r="AC10" s="97"/>
      <c r="AD10" s="13">
        <v>7</v>
      </c>
      <c r="AE10" s="90">
        <v>1</v>
      </c>
      <c r="AF10" s="103">
        <v>20103</v>
      </c>
      <c r="AG10" s="97"/>
      <c r="AL10" s="97"/>
      <c r="AM10" s="62"/>
      <c r="AS10" s="94"/>
      <c r="AT10" s="94"/>
      <c r="AV10" s="94"/>
      <c r="AW10" s="94"/>
    </row>
    <row r="11" spans="2:49" ht="13.5" thickBot="1" x14ac:dyDescent="0.25">
      <c r="B11" s="196"/>
      <c r="C11" s="40"/>
      <c r="D11" s="41"/>
      <c r="E11" s="52"/>
      <c r="F11" s="132"/>
      <c r="G11" s="254"/>
      <c r="H11" s="122">
        <v>8</v>
      </c>
      <c r="I11" s="123">
        <v>13449</v>
      </c>
      <c r="J11" s="123">
        <v>13818</v>
      </c>
      <c r="K11" s="123">
        <v>14226</v>
      </c>
      <c r="L11" s="124">
        <v>14646</v>
      </c>
      <c r="M11" s="123">
        <v>15009</v>
      </c>
      <c r="N11" s="123">
        <v>15423</v>
      </c>
      <c r="O11" s="128">
        <v>15615</v>
      </c>
      <c r="P11" s="128"/>
      <c r="Q11" s="128">
        <v>15771</v>
      </c>
      <c r="R11" s="128">
        <v>16422</v>
      </c>
      <c r="S11" s="101">
        <v>150</v>
      </c>
      <c r="T11" s="101">
        <v>0</v>
      </c>
      <c r="U11" s="129">
        <v>17487</v>
      </c>
      <c r="V11" s="101">
        <v>19701</v>
      </c>
      <c r="W11" s="63"/>
      <c r="X11" s="63"/>
      <c r="Y11" s="223"/>
      <c r="Z11" s="224" t="s">
        <v>25</v>
      </c>
      <c r="AA11" s="143">
        <v>3</v>
      </c>
      <c r="AB11" s="144">
        <v>20835</v>
      </c>
      <c r="AC11" s="97"/>
      <c r="AD11" s="13">
        <v>8</v>
      </c>
      <c r="AE11" s="90">
        <v>2</v>
      </c>
      <c r="AF11" s="103">
        <v>20466</v>
      </c>
      <c r="AG11" s="97"/>
      <c r="AL11" s="97"/>
      <c r="AM11" s="62"/>
      <c r="AS11" s="94"/>
      <c r="AT11" s="94"/>
      <c r="AV11" s="94"/>
      <c r="AW11" s="94"/>
    </row>
    <row r="12" spans="2:49" ht="13.5" thickBot="1" x14ac:dyDescent="0.25">
      <c r="B12" s="196"/>
      <c r="C12" s="40"/>
      <c r="D12" s="41"/>
      <c r="E12" s="52"/>
      <c r="F12" s="248" t="s">
        <v>24</v>
      </c>
      <c r="G12" s="121"/>
      <c r="H12" s="122">
        <v>9</v>
      </c>
      <c r="I12" s="123">
        <v>13788</v>
      </c>
      <c r="J12" s="123">
        <v>14166</v>
      </c>
      <c r="K12" s="123">
        <v>14583</v>
      </c>
      <c r="L12" s="124">
        <v>15012</v>
      </c>
      <c r="M12" s="123">
        <v>15384</v>
      </c>
      <c r="N12" s="123">
        <v>15807</v>
      </c>
      <c r="O12" s="128">
        <v>16005</v>
      </c>
      <c r="P12" s="128"/>
      <c r="Q12" s="128">
        <v>16164</v>
      </c>
      <c r="R12" s="128">
        <v>16575</v>
      </c>
      <c r="S12" s="101">
        <v>150</v>
      </c>
      <c r="T12" s="101">
        <v>0</v>
      </c>
      <c r="U12" s="129">
        <v>17634</v>
      </c>
      <c r="V12" s="101">
        <v>19755</v>
      </c>
      <c r="W12" s="63"/>
      <c r="X12" s="63"/>
      <c r="Y12" s="67"/>
      <c r="Z12" s="211"/>
      <c r="AA12" s="143">
        <v>4</v>
      </c>
      <c r="AB12" s="144">
        <v>21210</v>
      </c>
      <c r="AC12" s="97"/>
      <c r="AD12" s="13">
        <v>9</v>
      </c>
      <c r="AE12" s="90">
        <v>2</v>
      </c>
      <c r="AF12" s="103">
        <v>20466</v>
      </c>
      <c r="AG12" s="97"/>
      <c r="AL12" s="97"/>
      <c r="AM12" s="62"/>
      <c r="AS12" s="94"/>
      <c r="AT12" s="94"/>
      <c r="AV12" s="94"/>
      <c r="AW12" s="94"/>
    </row>
    <row r="13" spans="2:49" ht="13.5" thickBot="1" x14ac:dyDescent="0.25">
      <c r="B13" s="196"/>
      <c r="C13" s="40"/>
      <c r="D13" s="41"/>
      <c r="E13" s="52"/>
      <c r="F13" s="249"/>
      <c r="G13" s="130"/>
      <c r="H13" s="122">
        <v>10</v>
      </c>
      <c r="I13" s="123">
        <v>14028</v>
      </c>
      <c r="J13" s="123">
        <v>14415</v>
      </c>
      <c r="K13" s="123">
        <v>14841</v>
      </c>
      <c r="L13" s="124">
        <v>15279</v>
      </c>
      <c r="M13" s="123">
        <v>15657</v>
      </c>
      <c r="N13" s="123">
        <v>16089</v>
      </c>
      <c r="O13" s="128">
        <v>16290</v>
      </c>
      <c r="P13" s="128"/>
      <c r="Q13" s="128">
        <v>16452</v>
      </c>
      <c r="R13" s="128">
        <v>16833</v>
      </c>
      <c r="S13" s="101">
        <v>150</v>
      </c>
      <c r="T13" s="101">
        <v>0</v>
      </c>
      <c r="U13" s="129">
        <v>17889</v>
      </c>
      <c r="V13" s="101">
        <v>19881</v>
      </c>
      <c r="W13" s="63"/>
      <c r="X13" s="63"/>
      <c r="Y13" s="198" t="s">
        <v>26</v>
      </c>
      <c r="Z13" s="68"/>
      <c r="AA13" s="143">
        <v>5</v>
      </c>
      <c r="AB13" s="144">
        <v>21591</v>
      </c>
      <c r="AC13" s="97"/>
      <c r="AD13" s="13">
        <v>10</v>
      </c>
      <c r="AE13" s="90">
        <v>3</v>
      </c>
      <c r="AF13" s="103">
        <v>20835</v>
      </c>
      <c r="AG13" s="97"/>
      <c r="AL13" s="97"/>
      <c r="AM13" s="62"/>
      <c r="AS13" s="94"/>
      <c r="AT13" s="94"/>
      <c r="AV13" s="94"/>
      <c r="AW13" s="94"/>
    </row>
    <row r="14" spans="2:49" ht="13.5" customHeight="1" thickBot="1" x14ac:dyDescent="0.25">
      <c r="B14" s="197"/>
      <c r="C14" s="42"/>
      <c r="D14" s="204" t="s">
        <v>5</v>
      </c>
      <c r="E14" s="52"/>
      <c r="F14" s="250"/>
      <c r="G14" s="251" t="s">
        <v>25</v>
      </c>
      <c r="H14" s="122">
        <v>11</v>
      </c>
      <c r="I14" s="123">
        <v>14232</v>
      </c>
      <c r="J14" s="123">
        <v>14622</v>
      </c>
      <c r="K14" s="123">
        <v>15054</v>
      </c>
      <c r="L14" s="124">
        <v>15498</v>
      </c>
      <c r="M14" s="123">
        <v>15882</v>
      </c>
      <c r="N14" s="123">
        <v>16320</v>
      </c>
      <c r="O14" s="128">
        <v>16482</v>
      </c>
      <c r="P14" s="128"/>
      <c r="Q14" s="128">
        <v>16647</v>
      </c>
      <c r="R14" s="128">
        <v>17013</v>
      </c>
      <c r="S14" s="101">
        <v>100</v>
      </c>
      <c r="T14" s="101">
        <v>0</v>
      </c>
      <c r="U14" s="129">
        <v>17935</v>
      </c>
      <c r="V14" s="101">
        <v>19896</v>
      </c>
      <c r="W14" s="63"/>
      <c r="X14" s="63"/>
      <c r="Y14" s="233"/>
      <c r="Z14" s="69"/>
      <c r="AA14" s="143">
        <v>6</v>
      </c>
      <c r="AB14" s="144">
        <v>21981</v>
      </c>
      <c r="AC14" s="97"/>
      <c r="AD14" s="13">
        <v>11</v>
      </c>
      <c r="AE14" s="90">
        <v>3</v>
      </c>
      <c r="AF14" s="103">
        <v>20835</v>
      </c>
      <c r="AG14" s="97"/>
      <c r="AL14" s="97"/>
      <c r="AM14" s="62"/>
      <c r="AS14" s="94"/>
      <c r="AT14" s="94"/>
      <c r="AV14" s="94"/>
      <c r="AW14" s="94"/>
    </row>
    <row r="15" spans="2:49" ht="13.5" thickBot="1" x14ac:dyDescent="0.25">
      <c r="B15" s="43"/>
      <c r="C15" s="44"/>
      <c r="D15" s="205"/>
      <c r="E15" s="52"/>
      <c r="F15" s="131"/>
      <c r="G15" s="252"/>
      <c r="H15" s="122">
        <v>12</v>
      </c>
      <c r="I15" s="123">
        <v>14502</v>
      </c>
      <c r="J15" s="123">
        <v>14901</v>
      </c>
      <c r="K15" s="123">
        <v>15342</v>
      </c>
      <c r="L15" s="124">
        <v>15795</v>
      </c>
      <c r="M15" s="123">
        <v>16185</v>
      </c>
      <c r="N15" s="123">
        <v>16629</v>
      </c>
      <c r="O15" s="128">
        <v>16794</v>
      </c>
      <c r="P15" s="128"/>
      <c r="Q15" s="128">
        <v>16962</v>
      </c>
      <c r="R15" s="128">
        <v>17334</v>
      </c>
      <c r="S15" s="101">
        <v>100</v>
      </c>
      <c r="T15" s="101">
        <v>0</v>
      </c>
      <c r="U15" s="129">
        <v>17981</v>
      </c>
      <c r="V15" s="101">
        <v>19914</v>
      </c>
      <c r="W15" s="63"/>
      <c r="X15" s="63"/>
      <c r="Y15" s="73"/>
      <c r="Z15" s="70"/>
      <c r="AA15" s="87" t="s">
        <v>67</v>
      </c>
      <c r="AB15" s="105">
        <v>22377</v>
      </c>
      <c r="AC15" s="98"/>
      <c r="AD15" s="13">
        <v>12</v>
      </c>
      <c r="AE15" s="90">
        <v>4</v>
      </c>
      <c r="AF15" s="103">
        <v>21210</v>
      </c>
      <c r="AG15" s="97"/>
      <c r="AL15" s="97"/>
      <c r="AM15" s="62"/>
      <c r="AS15" s="94"/>
      <c r="AT15" s="94"/>
      <c r="AV15" s="94"/>
      <c r="AW15" s="94"/>
    </row>
    <row r="16" spans="2:49" ht="13.5" thickBot="1" x14ac:dyDescent="0.25">
      <c r="B16" s="43"/>
      <c r="C16" s="44"/>
      <c r="D16" s="210"/>
      <c r="E16" s="52"/>
      <c r="F16" s="131"/>
      <c r="G16" s="254"/>
      <c r="H16" s="122">
        <v>13</v>
      </c>
      <c r="I16" s="123">
        <v>14850</v>
      </c>
      <c r="J16" s="123">
        <v>15258</v>
      </c>
      <c r="K16" s="123">
        <v>15708</v>
      </c>
      <c r="L16" s="124">
        <v>16170</v>
      </c>
      <c r="M16" s="123">
        <v>16569</v>
      </c>
      <c r="N16" s="123">
        <v>17025</v>
      </c>
      <c r="O16" s="128">
        <v>17196</v>
      </c>
      <c r="P16" s="128"/>
      <c r="Q16" s="128">
        <v>17367</v>
      </c>
      <c r="R16" s="128">
        <v>17748</v>
      </c>
      <c r="S16" s="101">
        <v>100</v>
      </c>
      <c r="T16" s="101">
        <v>0</v>
      </c>
      <c r="U16" s="129">
        <v>18027</v>
      </c>
      <c r="V16" s="101">
        <v>19935</v>
      </c>
      <c r="W16" s="63"/>
      <c r="X16" s="63"/>
      <c r="Y16" s="74"/>
      <c r="Z16" s="201" t="s">
        <v>27</v>
      </c>
      <c r="AA16" s="143">
        <v>8</v>
      </c>
      <c r="AB16" s="144">
        <v>22779</v>
      </c>
      <c r="AC16" s="97"/>
      <c r="AD16" s="13">
        <v>13</v>
      </c>
      <c r="AE16" s="90">
        <v>4</v>
      </c>
      <c r="AF16" s="103">
        <v>21210</v>
      </c>
      <c r="AG16" s="97"/>
      <c r="AL16" s="97"/>
      <c r="AM16" s="62"/>
      <c r="AS16" s="94"/>
      <c r="AT16" s="94"/>
      <c r="AV16" s="94"/>
      <c r="AW16" s="94"/>
    </row>
    <row r="17" spans="2:49" ht="13.5" thickBot="1" x14ac:dyDescent="0.25">
      <c r="B17" s="195" t="s">
        <v>6</v>
      </c>
      <c r="C17" s="40"/>
      <c r="D17" s="41"/>
      <c r="E17" s="52"/>
      <c r="F17" s="132"/>
      <c r="G17" s="121"/>
      <c r="H17" s="122" t="s">
        <v>41</v>
      </c>
      <c r="I17" s="123">
        <v>15096</v>
      </c>
      <c r="J17" s="123">
        <v>15510</v>
      </c>
      <c r="K17" s="123">
        <v>15969</v>
      </c>
      <c r="L17" s="124">
        <v>16440</v>
      </c>
      <c r="M17" s="123">
        <v>16848</v>
      </c>
      <c r="N17" s="123">
        <v>17310</v>
      </c>
      <c r="O17" s="128">
        <v>17484</v>
      </c>
      <c r="P17" s="128"/>
      <c r="Q17" s="128">
        <v>17658</v>
      </c>
      <c r="R17" s="128">
        <v>18045</v>
      </c>
      <c r="S17" s="101">
        <v>100</v>
      </c>
      <c r="T17" s="101">
        <v>0</v>
      </c>
      <c r="U17" s="129">
        <v>18324</v>
      </c>
      <c r="V17" s="101">
        <v>20007</v>
      </c>
      <c r="W17" s="110"/>
      <c r="X17" s="110"/>
      <c r="Y17" s="74"/>
      <c r="Z17" s="202"/>
      <c r="AA17" s="143">
        <v>9</v>
      </c>
      <c r="AB17" s="144">
        <v>23187</v>
      </c>
      <c r="AC17" s="97"/>
      <c r="AD17" s="13" t="s">
        <v>41</v>
      </c>
      <c r="AE17" s="90">
        <v>5</v>
      </c>
      <c r="AF17" s="103">
        <v>21591</v>
      </c>
      <c r="AG17" s="97"/>
      <c r="AL17" s="97"/>
      <c r="AM17" s="62"/>
      <c r="AS17" s="94"/>
      <c r="AT17" s="94"/>
      <c r="AV17" s="94"/>
      <c r="AW17" s="94"/>
    </row>
    <row r="18" spans="2:49" ht="13.5" thickBot="1" x14ac:dyDescent="0.25">
      <c r="B18" s="196"/>
      <c r="C18" s="40"/>
      <c r="D18" s="41"/>
      <c r="E18" s="52"/>
      <c r="F18" s="248" t="s">
        <v>26</v>
      </c>
      <c r="G18" s="121"/>
      <c r="H18" s="122">
        <v>15</v>
      </c>
      <c r="I18" s="123">
        <v>15378</v>
      </c>
      <c r="J18" s="123">
        <v>15801</v>
      </c>
      <c r="K18" s="123">
        <v>16266</v>
      </c>
      <c r="L18" s="124">
        <v>16746</v>
      </c>
      <c r="M18" s="123">
        <v>17160</v>
      </c>
      <c r="N18" s="123">
        <v>17631</v>
      </c>
      <c r="O18" s="128">
        <v>17808</v>
      </c>
      <c r="P18" s="128"/>
      <c r="Q18" s="128">
        <v>17985</v>
      </c>
      <c r="R18" s="128">
        <v>18381</v>
      </c>
      <c r="S18" s="101">
        <v>100</v>
      </c>
      <c r="T18" s="101">
        <v>0</v>
      </c>
      <c r="U18" s="129">
        <v>18603</v>
      </c>
      <c r="V18" s="101">
        <v>20136</v>
      </c>
      <c r="W18" s="63"/>
      <c r="X18" s="63"/>
      <c r="Y18" s="74"/>
      <c r="Z18" s="203"/>
      <c r="AA18" s="143">
        <v>10</v>
      </c>
      <c r="AB18" s="144">
        <v>23607</v>
      </c>
      <c r="AC18" s="97"/>
      <c r="AD18" s="13">
        <v>15</v>
      </c>
      <c r="AE18" s="90">
        <v>5</v>
      </c>
      <c r="AF18" s="103">
        <v>21591</v>
      </c>
      <c r="AG18" s="97"/>
      <c r="AL18" s="97"/>
      <c r="AM18" s="62"/>
      <c r="AS18" s="94"/>
      <c r="AT18" s="94"/>
      <c r="AV18" s="94"/>
      <c r="AW18" s="94"/>
    </row>
    <row r="19" spans="2:49" x14ac:dyDescent="0.2">
      <c r="B19" s="196"/>
      <c r="C19" s="40"/>
      <c r="D19" s="41"/>
      <c r="E19" s="52"/>
      <c r="F19" s="249"/>
      <c r="G19" s="121"/>
      <c r="H19" s="122">
        <v>16</v>
      </c>
      <c r="I19" s="123">
        <v>15711</v>
      </c>
      <c r="J19" s="123">
        <v>16143</v>
      </c>
      <c r="K19" s="123">
        <v>16620</v>
      </c>
      <c r="L19" s="124">
        <v>17109</v>
      </c>
      <c r="M19" s="123">
        <v>17532</v>
      </c>
      <c r="N19" s="123">
        <v>18015</v>
      </c>
      <c r="O19" s="128">
        <v>18195</v>
      </c>
      <c r="P19" s="128"/>
      <c r="Q19" s="128">
        <v>18378</v>
      </c>
      <c r="R19" s="128">
        <v>18783</v>
      </c>
      <c r="S19" s="101">
        <v>100</v>
      </c>
      <c r="T19" s="101">
        <v>0</v>
      </c>
      <c r="U19" s="129">
        <v>19005</v>
      </c>
      <c r="V19" s="101">
        <v>20181</v>
      </c>
      <c r="W19" s="63"/>
      <c r="X19" s="63"/>
      <c r="Y19" s="74"/>
      <c r="Z19" s="68"/>
      <c r="AA19" s="87" t="s">
        <v>63</v>
      </c>
      <c r="AB19" s="105">
        <v>24030</v>
      </c>
      <c r="AC19" s="98"/>
      <c r="AD19" s="13">
        <v>16</v>
      </c>
      <c r="AE19" s="90">
        <v>6</v>
      </c>
      <c r="AF19" s="103">
        <v>21981</v>
      </c>
      <c r="AG19" s="97"/>
      <c r="AL19" s="98"/>
      <c r="AM19" s="62"/>
      <c r="AS19" s="94"/>
      <c r="AT19" s="94"/>
      <c r="AV19" s="94"/>
      <c r="AW19" s="94"/>
    </row>
    <row r="20" spans="2:49" ht="13.5" thickBot="1" x14ac:dyDescent="0.25">
      <c r="B20" s="197"/>
      <c r="C20" s="40"/>
      <c r="D20" s="45"/>
      <c r="E20" s="52"/>
      <c r="F20" s="250"/>
      <c r="G20" s="121"/>
      <c r="H20" s="122">
        <v>17</v>
      </c>
      <c r="I20" s="123">
        <v>16047</v>
      </c>
      <c r="J20" s="123">
        <v>16488</v>
      </c>
      <c r="K20" s="123">
        <v>16974</v>
      </c>
      <c r="L20" s="124">
        <v>17475</v>
      </c>
      <c r="M20" s="123">
        <v>17907</v>
      </c>
      <c r="N20" s="123">
        <v>18399</v>
      </c>
      <c r="O20" s="128">
        <v>18582</v>
      </c>
      <c r="P20" s="128"/>
      <c r="Q20" s="128">
        <v>18768</v>
      </c>
      <c r="R20" s="128">
        <v>19182</v>
      </c>
      <c r="S20" s="101">
        <v>100</v>
      </c>
      <c r="T20" s="101">
        <v>0</v>
      </c>
      <c r="U20" s="129">
        <v>19374</v>
      </c>
      <c r="V20" s="101">
        <v>20472</v>
      </c>
      <c r="W20" s="63"/>
      <c r="X20" s="63"/>
      <c r="Y20" s="74"/>
      <c r="Z20" s="70"/>
      <c r="AA20" s="87" t="s">
        <v>64</v>
      </c>
      <c r="AB20" s="105">
        <v>24462</v>
      </c>
      <c r="AC20" s="98"/>
      <c r="AD20" s="13">
        <v>17</v>
      </c>
      <c r="AE20" s="90">
        <v>6</v>
      </c>
      <c r="AF20" s="103">
        <v>21981</v>
      </c>
      <c r="AG20" s="97"/>
      <c r="AL20" s="98"/>
      <c r="AM20" s="62"/>
      <c r="AS20" s="94"/>
      <c r="AT20" s="94"/>
      <c r="AV20" s="94"/>
      <c r="AW20" s="94"/>
    </row>
    <row r="21" spans="2:49" ht="14.25" customHeight="1" thickBot="1" x14ac:dyDescent="0.25">
      <c r="B21" s="43"/>
      <c r="C21" s="44"/>
      <c r="D21" s="204" t="s">
        <v>7</v>
      </c>
      <c r="E21" s="52"/>
      <c r="F21" s="131"/>
      <c r="G21" s="130"/>
      <c r="H21" s="122" t="s">
        <v>42</v>
      </c>
      <c r="I21" s="123">
        <v>16332</v>
      </c>
      <c r="J21" s="123">
        <v>16782</v>
      </c>
      <c r="K21" s="123">
        <v>17277</v>
      </c>
      <c r="L21" s="124">
        <v>17787</v>
      </c>
      <c r="M21" s="123">
        <v>18228</v>
      </c>
      <c r="N21" s="123">
        <v>18729</v>
      </c>
      <c r="O21" s="128">
        <v>18915</v>
      </c>
      <c r="P21" s="128"/>
      <c r="Q21" s="128">
        <v>19104</v>
      </c>
      <c r="R21" s="128">
        <v>19524</v>
      </c>
      <c r="S21" s="101">
        <v>100</v>
      </c>
      <c r="T21" s="101">
        <v>0</v>
      </c>
      <c r="U21" s="129">
        <v>19719</v>
      </c>
      <c r="V21" s="101">
        <v>20667</v>
      </c>
      <c r="W21" s="110"/>
      <c r="X21" s="110"/>
      <c r="Y21" s="75"/>
      <c r="Z21" s="201" t="s">
        <v>28</v>
      </c>
      <c r="AA21" s="143">
        <v>13</v>
      </c>
      <c r="AB21" s="144">
        <v>24903</v>
      </c>
      <c r="AC21" s="97"/>
      <c r="AD21" s="13" t="s">
        <v>42</v>
      </c>
      <c r="AE21" s="90">
        <v>7</v>
      </c>
      <c r="AF21" s="103">
        <v>22377</v>
      </c>
      <c r="AG21" s="97"/>
      <c r="AL21" s="97"/>
      <c r="AM21" s="62"/>
      <c r="AS21" s="94"/>
      <c r="AT21" s="94"/>
      <c r="AV21" s="94"/>
      <c r="AW21" s="94"/>
    </row>
    <row r="22" spans="2:49" x14ac:dyDescent="0.2">
      <c r="B22" s="43"/>
      <c r="C22" s="44"/>
      <c r="D22" s="205"/>
      <c r="E22" s="52"/>
      <c r="F22" s="131"/>
      <c r="G22" s="251" t="s">
        <v>27</v>
      </c>
      <c r="H22" s="122">
        <v>19</v>
      </c>
      <c r="I22" s="123">
        <v>16887</v>
      </c>
      <c r="J22" s="123">
        <v>17352</v>
      </c>
      <c r="K22" s="123">
        <v>17865</v>
      </c>
      <c r="L22" s="124">
        <v>18393</v>
      </c>
      <c r="M22" s="123">
        <v>18849</v>
      </c>
      <c r="N22" s="123">
        <v>19368</v>
      </c>
      <c r="O22" s="128">
        <v>19563</v>
      </c>
      <c r="P22" s="128"/>
      <c r="Q22" s="128">
        <v>19758</v>
      </c>
      <c r="R22" s="128">
        <v>20193</v>
      </c>
      <c r="S22" s="101">
        <v>100</v>
      </c>
      <c r="T22" s="101">
        <v>0</v>
      </c>
      <c r="U22" s="129">
        <v>20394</v>
      </c>
      <c r="V22" s="101">
        <v>21198</v>
      </c>
      <c r="W22" s="63"/>
      <c r="X22" s="63"/>
      <c r="Y22" s="75"/>
      <c r="Z22" s="202"/>
      <c r="AA22" s="143">
        <v>14</v>
      </c>
      <c r="AB22" s="144">
        <v>25353</v>
      </c>
      <c r="AC22" s="97"/>
      <c r="AD22" s="13">
        <v>19</v>
      </c>
      <c r="AE22" s="90">
        <v>8</v>
      </c>
      <c r="AF22" s="103">
        <v>22779</v>
      </c>
      <c r="AG22" s="97"/>
      <c r="AL22" s="97"/>
      <c r="AM22" s="62"/>
      <c r="AS22" s="94"/>
      <c r="AT22" s="94"/>
      <c r="AV22" s="94"/>
      <c r="AW22" s="94"/>
    </row>
    <row r="23" spans="2:49" ht="13.5" thickBot="1" x14ac:dyDescent="0.25">
      <c r="B23" s="43"/>
      <c r="C23" s="44"/>
      <c r="D23" s="205"/>
      <c r="E23" s="52"/>
      <c r="F23" s="131"/>
      <c r="G23" s="252"/>
      <c r="H23" s="122">
        <v>20</v>
      </c>
      <c r="I23" s="123">
        <v>17448</v>
      </c>
      <c r="J23" s="123">
        <v>17928</v>
      </c>
      <c r="K23" s="123">
        <v>18456</v>
      </c>
      <c r="L23" s="124">
        <v>18999</v>
      </c>
      <c r="M23" s="123">
        <v>19470</v>
      </c>
      <c r="N23" s="123">
        <v>20004</v>
      </c>
      <c r="O23" s="128">
        <v>20205</v>
      </c>
      <c r="P23" s="128"/>
      <c r="Q23" s="128">
        <v>20406</v>
      </c>
      <c r="R23" s="128">
        <v>20856</v>
      </c>
      <c r="S23" s="101">
        <v>100</v>
      </c>
      <c r="T23" s="101">
        <v>0</v>
      </c>
      <c r="U23" s="129">
        <v>21066</v>
      </c>
      <c r="V23" s="101">
        <v>21702</v>
      </c>
      <c r="W23" s="63"/>
      <c r="X23" s="63"/>
      <c r="Y23" s="75"/>
      <c r="Z23" s="203"/>
      <c r="AA23" s="143">
        <v>15</v>
      </c>
      <c r="AB23" s="144">
        <v>25809</v>
      </c>
      <c r="AC23" s="97"/>
      <c r="AD23" s="13">
        <v>20</v>
      </c>
      <c r="AE23" s="90">
        <v>9</v>
      </c>
      <c r="AF23" s="103">
        <v>23187</v>
      </c>
      <c r="AG23" s="97"/>
      <c r="AL23" s="97"/>
      <c r="AM23" s="62"/>
      <c r="AS23" s="94"/>
      <c r="AT23" s="94"/>
      <c r="AV23" s="94"/>
      <c r="AW23" s="94"/>
    </row>
    <row r="24" spans="2:49" ht="13.5" thickBot="1" x14ac:dyDescent="0.25">
      <c r="B24" s="43"/>
      <c r="C24" s="44"/>
      <c r="D24" s="210"/>
      <c r="E24" s="52"/>
      <c r="F24" s="131"/>
      <c r="G24" s="254"/>
      <c r="H24" s="122">
        <v>21</v>
      </c>
      <c r="I24" s="123">
        <v>18027</v>
      </c>
      <c r="J24" s="123">
        <v>18522</v>
      </c>
      <c r="K24" s="123">
        <v>19068</v>
      </c>
      <c r="L24" s="124">
        <v>19632</v>
      </c>
      <c r="M24" s="123">
        <v>20118</v>
      </c>
      <c r="N24" s="123">
        <v>20670</v>
      </c>
      <c r="O24" s="128">
        <v>20877</v>
      </c>
      <c r="P24" s="128"/>
      <c r="Q24" s="128">
        <v>21087</v>
      </c>
      <c r="R24" s="128">
        <v>21552</v>
      </c>
      <c r="S24" s="101">
        <v>100</v>
      </c>
      <c r="T24" s="101">
        <v>0</v>
      </c>
      <c r="U24" s="129">
        <v>21768</v>
      </c>
      <c r="V24" s="101">
        <v>22425</v>
      </c>
      <c r="W24" s="63"/>
      <c r="X24" s="63"/>
      <c r="Y24" s="74"/>
      <c r="Z24" s="68"/>
      <c r="AA24" s="87" t="s">
        <v>65</v>
      </c>
      <c r="AB24" s="105">
        <v>26274</v>
      </c>
      <c r="AC24" s="98"/>
      <c r="AD24" s="13">
        <v>21</v>
      </c>
      <c r="AE24" s="90">
        <v>10</v>
      </c>
      <c r="AF24" s="103">
        <v>23607</v>
      </c>
      <c r="AG24" s="97"/>
      <c r="AL24" s="98"/>
      <c r="AM24" s="62"/>
      <c r="AS24" s="94"/>
      <c r="AT24" s="94"/>
      <c r="AV24" s="94"/>
      <c r="AW24" s="94"/>
    </row>
    <row r="25" spans="2:49" ht="14.25" customHeight="1" thickBot="1" x14ac:dyDescent="0.25">
      <c r="B25" s="195" t="s">
        <v>8</v>
      </c>
      <c r="C25" s="46"/>
      <c r="D25" s="47"/>
      <c r="E25" s="52"/>
      <c r="F25" s="132"/>
      <c r="G25" s="121"/>
      <c r="H25" s="122" t="s">
        <v>43</v>
      </c>
      <c r="I25" s="123">
        <v>18456</v>
      </c>
      <c r="J25" s="123">
        <v>18963</v>
      </c>
      <c r="K25" s="123">
        <v>19521</v>
      </c>
      <c r="L25" s="124">
        <v>20097</v>
      </c>
      <c r="M25" s="123">
        <v>20595</v>
      </c>
      <c r="N25" s="123">
        <v>21162</v>
      </c>
      <c r="O25" s="128">
        <v>21375</v>
      </c>
      <c r="P25" s="128"/>
      <c r="Q25" s="128">
        <v>21588</v>
      </c>
      <c r="R25" s="128">
        <v>22062</v>
      </c>
      <c r="S25" s="101">
        <v>100</v>
      </c>
      <c r="T25" s="101">
        <v>0</v>
      </c>
      <c r="U25" s="129">
        <v>22284</v>
      </c>
      <c r="V25" s="101">
        <v>22956</v>
      </c>
      <c r="W25" s="110"/>
      <c r="X25" s="110"/>
      <c r="Y25" s="74"/>
      <c r="Z25" s="70"/>
      <c r="AA25" s="87" t="s">
        <v>66</v>
      </c>
      <c r="AB25" s="105">
        <v>26745</v>
      </c>
      <c r="AC25" s="98"/>
      <c r="AD25" s="13" t="s">
        <v>43</v>
      </c>
      <c r="AE25" s="90">
        <v>12</v>
      </c>
      <c r="AF25" s="103">
        <v>24462</v>
      </c>
      <c r="AG25" s="97"/>
      <c r="AL25" s="98"/>
      <c r="AM25" s="62"/>
    </row>
    <row r="26" spans="2:49" x14ac:dyDescent="0.2">
      <c r="B26" s="196"/>
      <c r="C26" s="46"/>
      <c r="D26" s="47"/>
      <c r="E26" s="52"/>
      <c r="F26" s="248" t="s">
        <v>28</v>
      </c>
      <c r="G26" s="121"/>
      <c r="H26" s="122">
        <v>23</v>
      </c>
      <c r="I26" s="123">
        <v>18954</v>
      </c>
      <c r="J26" s="123">
        <v>19476</v>
      </c>
      <c r="K26" s="123">
        <v>20052</v>
      </c>
      <c r="L26" s="124">
        <v>20643</v>
      </c>
      <c r="M26" s="123">
        <v>21153</v>
      </c>
      <c r="N26" s="123">
        <v>21735</v>
      </c>
      <c r="O26" s="128">
        <v>21951</v>
      </c>
      <c r="P26" s="128"/>
      <c r="Q26" s="128">
        <v>22170</v>
      </c>
      <c r="R26" s="128">
        <v>22659</v>
      </c>
      <c r="S26" s="101">
        <v>100</v>
      </c>
      <c r="T26" s="101">
        <v>0</v>
      </c>
      <c r="U26" s="129">
        <v>22887</v>
      </c>
      <c r="V26" s="101">
        <v>23577</v>
      </c>
      <c r="W26" s="63"/>
      <c r="X26" s="63"/>
      <c r="Y26" s="74"/>
      <c r="Z26" s="201" t="s">
        <v>29</v>
      </c>
      <c r="AA26" s="143">
        <v>18</v>
      </c>
      <c r="AB26" s="144">
        <v>27228</v>
      </c>
      <c r="AC26" s="97"/>
      <c r="AD26" s="13">
        <v>23</v>
      </c>
      <c r="AE26" s="90">
        <v>13</v>
      </c>
      <c r="AF26" s="103">
        <v>24903</v>
      </c>
      <c r="AG26" s="97"/>
      <c r="AL26" s="97"/>
      <c r="AM26" s="62"/>
    </row>
    <row r="27" spans="2:49" x14ac:dyDescent="0.2">
      <c r="B27" s="196"/>
      <c r="C27" s="46"/>
      <c r="D27" s="47"/>
      <c r="E27" s="52"/>
      <c r="F27" s="249"/>
      <c r="G27" s="121"/>
      <c r="H27" s="122">
        <v>24</v>
      </c>
      <c r="I27" s="123">
        <v>19521</v>
      </c>
      <c r="J27" s="123">
        <v>20058</v>
      </c>
      <c r="K27" s="123">
        <v>20649</v>
      </c>
      <c r="L27" s="124">
        <v>21258</v>
      </c>
      <c r="M27" s="123">
        <v>21783</v>
      </c>
      <c r="N27" s="123">
        <v>22383</v>
      </c>
      <c r="O27" s="128">
        <v>22608</v>
      </c>
      <c r="P27" s="128"/>
      <c r="Q27" s="128">
        <v>22833</v>
      </c>
      <c r="R27" s="128">
        <v>23334</v>
      </c>
      <c r="S27" s="101">
        <v>100</v>
      </c>
      <c r="T27" s="101">
        <v>3</v>
      </c>
      <c r="U27" s="129">
        <v>23568</v>
      </c>
      <c r="V27" s="101">
        <v>24279</v>
      </c>
      <c r="W27" s="63"/>
      <c r="X27" s="63"/>
      <c r="Y27" s="74"/>
      <c r="Z27" s="202"/>
      <c r="AA27" s="143">
        <v>19</v>
      </c>
      <c r="AB27" s="144">
        <v>27717</v>
      </c>
      <c r="AC27" s="97"/>
      <c r="AD27" s="13">
        <v>24</v>
      </c>
      <c r="AE27" s="90">
        <v>14</v>
      </c>
      <c r="AF27" s="103">
        <v>25353</v>
      </c>
      <c r="AG27" s="97"/>
      <c r="AL27" s="97"/>
      <c r="AM27" s="62"/>
    </row>
    <row r="28" spans="2:49" ht="13.5" thickBot="1" x14ac:dyDescent="0.25">
      <c r="B28" s="197"/>
      <c r="C28" s="46"/>
      <c r="D28" s="47"/>
      <c r="E28" s="52"/>
      <c r="F28" s="250"/>
      <c r="G28" s="133"/>
      <c r="H28" s="122">
        <v>25</v>
      </c>
      <c r="I28" s="123">
        <v>20097</v>
      </c>
      <c r="J28" s="123">
        <v>20649</v>
      </c>
      <c r="K28" s="123">
        <v>21258</v>
      </c>
      <c r="L28" s="124">
        <v>21885</v>
      </c>
      <c r="M28" s="123">
        <v>22428</v>
      </c>
      <c r="N28" s="123">
        <v>23046</v>
      </c>
      <c r="O28" s="128">
        <v>23277</v>
      </c>
      <c r="P28" s="128"/>
      <c r="Q28" s="128">
        <v>23511</v>
      </c>
      <c r="R28" s="128">
        <v>24027</v>
      </c>
      <c r="S28" s="101">
        <v>100</v>
      </c>
      <c r="T28" s="101">
        <v>6</v>
      </c>
      <c r="U28" s="129">
        <v>24267</v>
      </c>
      <c r="V28" s="101">
        <v>24999</v>
      </c>
      <c r="W28" s="63"/>
      <c r="X28" s="63"/>
      <c r="Y28" s="74"/>
      <c r="Z28" s="203"/>
      <c r="AA28" s="143">
        <v>20</v>
      </c>
      <c r="AB28" s="144">
        <v>28215</v>
      </c>
      <c r="AC28" s="97"/>
      <c r="AD28" s="13">
        <v>25</v>
      </c>
      <c r="AE28" s="90">
        <v>15</v>
      </c>
      <c r="AF28" s="103">
        <v>25809</v>
      </c>
      <c r="AG28" s="97"/>
      <c r="AL28" s="97"/>
      <c r="AM28" s="62"/>
    </row>
    <row r="29" spans="2:49" ht="14.25" customHeight="1" x14ac:dyDescent="0.2">
      <c r="B29" s="43"/>
      <c r="C29" s="44"/>
      <c r="D29" s="204" t="s">
        <v>9</v>
      </c>
      <c r="E29" s="52"/>
      <c r="F29" s="131"/>
      <c r="G29" s="255" t="s">
        <v>29</v>
      </c>
      <c r="H29" s="122">
        <v>26</v>
      </c>
      <c r="I29" s="123">
        <v>20697</v>
      </c>
      <c r="J29" s="123">
        <v>21267</v>
      </c>
      <c r="K29" s="123">
        <v>21894</v>
      </c>
      <c r="L29" s="124">
        <v>22539</v>
      </c>
      <c r="M29" s="123">
        <v>23097</v>
      </c>
      <c r="N29" s="123">
        <v>23733</v>
      </c>
      <c r="O29" s="128">
        <v>23970</v>
      </c>
      <c r="P29" s="128"/>
      <c r="Q29" s="128">
        <v>24210</v>
      </c>
      <c r="R29" s="128">
        <v>24744</v>
      </c>
      <c r="S29" s="101">
        <v>100</v>
      </c>
      <c r="T29" s="101">
        <v>11.348000000000013</v>
      </c>
      <c r="U29" s="129">
        <v>24990</v>
      </c>
      <c r="V29" s="101">
        <v>25746</v>
      </c>
      <c r="W29" s="63"/>
      <c r="X29" s="63"/>
      <c r="Y29" s="74"/>
      <c r="Z29" s="68"/>
      <c r="AA29" s="87" t="s">
        <v>68</v>
      </c>
      <c r="AB29" s="105">
        <v>28725</v>
      </c>
      <c r="AC29" s="98"/>
      <c r="AD29" s="13">
        <v>26</v>
      </c>
      <c r="AE29" s="90">
        <v>18</v>
      </c>
      <c r="AF29" s="103">
        <v>27228</v>
      </c>
      <c r="AG29" s="97"/>
      <c r="AL29" s="98"/>
      <c r="AM29" s="62"/>
    </row>
    <row r="30" spans="2:49" ht="13.5" thickBot="1" x14ac:dyDescent="0.25">
      <c r="B30" s="43"/>
      <c r="C30" s="44"/>
      <c r="D30" s="205"/>
      <c r="E30" s="52"/>
      <c r="F30" s="131"/>
      <c r="G30" s="256"/>
      <c r="H30" s="122">
        <v>27</v>
      </c>
      <c r="I30" s="123">
        <v>21333</v>
      </c>
      <c r="J30" s="123">
        <v>21921</v>
      </c>
      <c r="K30" s="123">
        <v>22569</v>
      </c>
      <c r="L30" s="124">
        <v>23235</v>
      </c>
      <c r="M30" s="123">
        <v>23811</v>
      </c>
      <c r="N30" s="123">
        <v>24465</v>
      </c>
      <c r="O30" s="128">
        <v>24711</v>
      </c>
      <c r="P30" s="128"/>
      <c r="Q30" s="128">
        <v>24957</v>
      </c>
      <c r="R30" s="128">
        <v>25506</v>
      </c>
      <c r="S30" s="101">
        <v>100</v>
      </c>
      <c r="T30" s="101">
        <v>14.777000000000015</v>
      </c>
      <c r="U30" s="129">
        <v>25761</v>
      </c>
      <c r="V30" s="101">
        <v>26538</v>
      </c>
      <c r="W30" s="63"/>
      <c r="X30" s="63"/>
      <c r="Y30" s="76"/>
      <c r="Z30" s="69"/>
      <c r="AA30" s="87" t="s">
        <v>43</v>
      </c>
      <c r="AB30" s="105">
        <v>29241</v>
      </c>
      <c r="AC30" s="98"/>
      <c r="AD30" s="13">
        <v>27</v>
      </c>
      <c r="AE30" s="90">
        <v>19</v>
      </c>
      <c r="AF30" s="103">
        <v>27717</v>
      </c>
      <c r="AG30" s="97"/>
      <c r="AL30" s="98"/>
      <c r="AM30" s="62"/>
    </row>
    <row r="31" spans="2:49" ht="13.5" thickBot="1" x14ac:dyDescent="0.25">
      <c r="B31" s="43"/>
      <c r="C31" s="44"/>
      <c r="D31" s="210"/>
      <c r="E31" s="52"/>
      <c r="F31" s="120"/>
      <c r="G31" s="257"/>
      <c r="H31" s="122">
        <v>28</v>
      </c>
      <c r="I31" s="123">
        <v>21981</v>
      </c>
      <c r="J31" s="123">
        <v>22584</v>
      </c>
      <c r="K31" s="123">
        <v>23250</v>
      </c>
      <c r="L31" s="124">
        <v>23937</v>
      </c>
      <c r="M31" s="123">
        <v>24528</v>
      </c>
      <c r="N31" s="123">
        <v>25203</v>
      </c>
      <c r="O31" s="128">
        <v>25455</v>
      </c>
      <c r="P31" s="128"/>
      <c r="Q31" s="128">
        <v>25710</v>
      </c>
      <c r="R31" s="128">
        <v>26277</v>
      </c>
      <c r="S31" s="101">
        <v>100</v>
      </c>
      <c r="T31" s="101">
        <v>18.246500000000012</v>
      </c>
      <c r="U31" s="129">
        <v>26541</v>
      </c>
      <c r="V31" s="101">
        <v>27342</v>
      </c>
      <c r="W31" s="63"/>
      <c r="X31" s="63"/>
      <c r="Y31" s="198" t="s">
        <v>30</v>
      </c>
      <c r="Z31" s="69"/>
      <c r="AA31" s="143">
        <v>23</v>
      </c>
      <c r="AB31" s="144">
        <v>29766</v>
      </c>
      <c r="AC31" s="97"/>
      <c r="AD31" s="13">
        <v>28</v>
      </c>
      <c r="AE31" s="90">
        <v>20</v>
      </c>
      <c r="AF31" s="103">
        <v>28215</v>
      </c>
      <c r="AG31" s="97"/>
      <c r="AL31" s="97"/>
      <c r="AM31" s="62"/>
    </row>
    <row r="32" spans="2:49" x14ac:dyDescent="0.2">
      <c r="B32" s="195" t="s">
        <v>10</v>
      </c>
      <c r="C32" s="46"/>
      <c r="D32" s="47"/>
      <c r="E32" s="52"/>
      <c r="F32" s="248" t="s">
        <v>30</v>
      </c>
      <c r="G32" s="121"/>
      <c r="H32" s="122">
        <v>29</v>
      </c>
      <c r="I32" s="123">
        <v>22797</v>
      </c>
      <c r="J32" s="123">
        <v>23424</v>
      </c>
      <c r="K32" s="123">
        <v>24114</v>
      </c>
      <c r="L32" s="124">
        <v>24825</v>
      </c>
      <c r="M32" s="123">
        <v>25440</v>
      </c>
      <c r="N32" s="123">
        <v>26139</v>
      </c>
      <c r="O32" s="128">
        <v>26400</v>
      </c>
      <c r="P32" s="128"/>
      <c r="Q32" s="128">
        <v>26664</v>
      </c>
      <c r="R32" s="128">
        <v>27252</v>
      </c>
      <c r="S32" s="101">
        <v>100</v>
      </c>
      <c r="T32" s="101">
        <v>22.634000000000015</v>
      </c>
      <c r="U32" s="129">
        <v>27525</v>
      </c>
      <c r="V32" s="101">
        <v>28356</v>
      </c>
      <c r="W32" s="63"/>
      <c r="X32" s="63"/>
      <c r="Y32" s="199"/>
      <c r="Z32" s="69"/>
      <c r="AA32" s="143">
        <v>24</v>
      </c>
      <c r="AB32" s="144">
        <v>30213</v>
      </c>
      <c r="AC32" s="97"/>
      <c r="AD32" s="13">
        <v>29</v>
      </c>
      <c r="AE32" s="90">
        <v>23</v>
      </c>
      <c r="AF32" s="103">
        <v>29766</v>
      </c>
      <c r="AG32" s="97"/>
      <c r="AL32" s="97"/>
      <c r="AM32" s="62"/>
    </row>
    <row r="33" spans="2:39" ht="15" customHeight="1" thickBot="1" x14ac:dyDescent="0.25">
      <c r="B33" s="196"/>
      <c r="C33" s="46"/>
      <c r="D33" s="47"/>
      <c r="E33" s="52"/>
      <c r="F33" s="249"/>
      <c r="G33" s="121"/>
      <c r="H33" s="122">
        <v>30</v>
      </c>
      <c r="I33" s="123">
        <v>23508</v>
      </c>
      <c r="J33" s="123">
        <v>24153</v>
      </c>
      <c r="K33" s="123">
        <v>24867</v>
      </c>
      <c r="L33" s="124">
        <v>25602</v>
      </c>
      <c r="M33" s="123">
        <v>26235</v>
      </c>
      <c r="N33" s="123">
        <v>26955</v>
      </c>
      <c r="O33" s="128">
        <v>27225</v>
      </c>
      <c r="P33" s="128"/>
      <c r="Q33" s="128">
        <v>27498</v>
      </c>
      <c r="R33" s="128">
        <v>28104</v>
      </c>
      <c r="S33" s="101">
        <v>100</v>
      </c>
      <c r="T33" s="101">
        <v>26.468000000000018</v>
      </c>
      <c r="U33" s="129">
        <v>28386</v>
      </c>
      <c r="V33" s="101">
        <v>29241</v>
      </c>
      <c r="W33" s="63"/>
      <c r="X33" s="63"/>
      <c r="Y33" s="200"/>
      <c r="Z33" s="70"/>
      <c r="AA33" s="143">
        <v>25</v>
      </c>
      <c r="AB33" s="144">
        <v>30711</v>
      </c>
      <c r="AC33" s="97"/>
      <c r="AD33" s="13">
        <v>30</v>
      </c>
      <c r="AE33" s="90">
        <v>24</v>
      </c>
      <c r="AF33" s="103">
        <v>30213</v>
      </c>
      <c r="AG33" s="97"/>
      <c r="AL33" s="97"/>
      <c r="AM33" s="62"/>
    </row>
    <row r="34" spans="2:39" ht="15.75" customHeight="1" thickBot="1" x14ac:dyDescent="0.25">
      <c r="B34" s="197"/>
      <c r="C34" s="46"/>
      <c r="D34" s="47"/>
      <c r="E34" s="52"/>
      <c r="F34" s="250"/>
      <c r="G34" s="130"/>
      <c r="H34" s="122">
        <v>31</v>
      </c>
      <c r="I34" s="123">
        <v>24201</v>
      </c>
      <c r="J34" s="123">
        <v>24867</v>
      </c>
      <c r="K34" s="123">
        <v>25602</v>
      </c>
      <c r="L34" s="124">
        <v>26358</v>
      </c>
      <c r="M34" s="123">
        <v>27009</v>
      </c>
      <c r="N34" s="123">
        <v>27753</v>
      </c>
      <c r="O34" s="128">
        <v>28032</v>
      </c>
      <c r="P34" s="128"/>
      <c r="Q34" s="128">
        <v>28311</v>
      </c>
      <c r="R34" s="128">
        <v>28935</v>
      </c>
      <c r="S34" s="101">
        <v>100</v>
      </c>
      <c r="T34" s="101">
        <v>30.20750000000001</v>
      </c>
      <c r="U34" s="129">
        <v>29223</v>
      </c>
      <c r="V34" s="101">
        <v>30108</v>
      </c>
      <c r="W34" s="63"/>
      <c r="X34" s="63"/>
      <c r="Y34" s="77"/>
      <c r="Z34" s="201" t="s">
        <v>31</v>
      </c>
      <c r="AA34" s="143">
        <v>26</v>
      </c>
      <c r="AB34" s="144">
        <v>31548</v>
      </c>
      <c r="AC34" s="97"/>
      <c r="AD34" s="13">
        <v>31</v>
      </c>
      <c r="AE34" s="90">
        <v>25</v>
      </c>
      <c r="AF34" s="103">
        <v>30711</v>
      </c>
      <c r="AG34" s="97"/>
      <c r="AL34" s="97"/>
      <c r="AM34" s="62"/>
    </row>
    <row r="35" spans="2:39" ht="15.75" customHeight="1" thickBot="1" x14ac:dyDescent="0.25">
      <c r="B35" s="43"/>
      <c r="C35" s="46"/>
      <c r="D35" s="204" t="s">
        <v>11</v>
      </c>
      <c r="E35" s="52"/>
      <c r="F35" s="131"/>
      <c r="G35" s="251" t="s">
        <v>31</v>
      </c>
      <c r="H35" s="122">
        <v>32</v>
      </c>
      <c r="I35" s="123">
        <v>24870</v>
      </c>
      <c r="J35" s="123">
        <v>25554</v>
      </c>
      <c r="K35" s="123">
        <v>26307</v>
      </c>
      <c r="L35" s="124">
        <v>27084</v>
      </c>
      <c r="M35" s="123">
        <v>27753</v>
      </c>
      <c r="N35" s="123">
        <v>28515</v>
      </c>
      <c r="O35" s="128">
        <v>28800</v>
      </c>
      <c r="P35" s="128"/>
      <c r="Q35" s="128">
        <v>29088</v>
      </c>
      <c r="R35" s="128">
        <v>29727</v>
      </c>
      <c r="S35" s="101">
        <v>100</v>
      </c>
      <c r="T35" s="101">
        <v>33.771500000000003</v>
      </c>
      <c r="U35" s="129">
        <v>30024</v>
      </c>
      <c r="V35" s="101">
        <v>30930</v>
      </c>
      <c r="W35" s="63"/>
      <c r="X35" s="63"/>
      <c r="Y35" s="78"/>
      <c r="Z35" s="202"/>
      <c r="AA35" s="143">
        <v>27</v>
      </c>
      <c r="AB35" s="144">
        <v>32430</v>
      </c>
      <c r="AC35" s="97"/>
      <c r="AD35" s="13">
        <v>32</v>
      </c>
      <c r="AE35" s="90">
        <v>26</v>
      </c>
      <c r="AF35" s="103">
        <v>31548</v>
      </c>
      <c r="AG35" s="97"/>
      <c r="AL35" s="97"/>
      <c r="AM35" s="62"/>
    </row>
    <row r="36" spans="2:39" ht="15.75" customHeight="1" thickBot="1" x14ac:dyDescent="0.25">
      <c r="B36" s="195" t="s">
        <v>12</v>
      </c>
      <c r="C36" s="46"/>
      <c r="D36" s="205"/>
      <c r="E36" s="52"/>
      <c r="F36" s="120"/>
      <c r="G36" s="252"/>
      <c r="H36" s="122">
        <v>33</v>
      </c>
      <c r="I36" s="123">
        <v>25560</v>
      </c>
      <c r="J36" s="123">
        <v>26262</v>
      </c>
      <c r="K36" s="123">
        <v>27036</v>
      </c>
      <c r="L36" s="124">
        <v>27834</v>
      </c>
      <c r="M36" s="123">
        <v>28524</v>
      </c>
      <c r="N36" s="123">
        <v>29307</v>
      </c>
      <c r="O36" s="128">
        <v>29601</v>
      </c>
      <c r="P36" s="128"/>
      <c r="Q36" s="128">
        <v>29898</v>
      </c>
      <c r="R36" s="128">
        <v>30555</v>
      </c>
      <c r="S36" s="101">
        <v>100</v>
      </c>
      <c r="T36" s="101">
        <v>37.497500000000002</v>
      </c>
      <c r="U36" s="129">
        <v>30861</v>
      </c>
      <c r="V36" s="101">
        <v>31794</v>
      </c>
      <c r="W36" s="63"/>
      <c r="X36" s="63"/>
      <c r="Y36" s="198" t="s">
        <v>32</v>
      </c>
      <c r="Z36" s="203"/>
      <c r="AA36" s="143">
        <v>28</v>
      </c>
      <c r="AB36" s="144">
        <v>33291</v>
      </c>
      <c r="AC36" s="97"/>
      <c r="AD36" s="13">
        <v>33</v>
      </c>
      <c r="AE36" s="90">
        <v>27</v>
      </c>
      <c r="AF36" s="103">
        <v>32430</v>
      </c>
      <c r="AG36" s="97"/>
      <c r="AL36" s="97"/>
      <c r="AM36" s="62"/>
    </row>
    <row r="37" spans="2:39" ht="15.75" customHeight="1" thickBot="1" x14ac:dyDescent="0.25">
      <c r="B37" s="196"/>
      <c r="C37" s="46"/>
      <c r="D37" s="210"/>
      <c r="E37" s="52"/>
      <c r="F37" s="248" t="s">
        <v>32</v>
      </c>
      <c r="G37" s="254"/>
      <c r="H37" s="122">
        <v>34</v>
      </c>
      <c r="I37" s="123">
        <v>26241</v>
      </c>
      <c r="J37" s="123">
        <v>26964</v>
      </c>
      <c r="K37" s="123">
        <v>27759</v>
      </c>
      <c r="L37" s="124">
        <v>28578</v>
      </c>
      <c r="M37" s="123">
        <v>29286</v>
      </c>
      <c r="N37" s="123">
        <v>30090</v>
      </c>
      <c r="O37" s="128">
        <v>30390</v>
      </c>
      <c r="P37" s="128"/>
      <c r="Q37" s="128">
        <v>30693</v>
      </c>
      <c r="R37" s="128">
        <v>31368</v>
      </c>
      <c r="S37" s="101">
        <v>100</v>
      </c>
      <c r="T37" s="101">
        <v>41.156000000000006</v>
      </c>
      <c r="U37" s="129">
        <v>31683</v>
      </c>
      <c r="V37" s="101">
        <v>32637</v>
      </c>
      <c r="W37" s="63"/>
      <c r="X37" s="63"/>
      <c r="Y37" s="199"/>
      <c r="Z37" s="12"/>
      <c r="AA37" s="143">
        <v>29</v>
      </c>
      <c r="AB37" s="144">
        <v>33948</v>
      </c>
      <c r="AC37" s="97"/>
      <c r="AD37" s="13">
        <v>34</v>
      </c>
      <c r="AE37" s="90">
        <v>28</v>
      </c>
      <c r="AF37" s="103">
        <v>33291</v>
      </c>
      <c r="AG37" s="97"/>
      <c r="AL37" s="97"/>
      <c r="AM37" s="62"/>
    </row>
    <row r="38" spans="2:39" ht="13.5" thickBot="1" x14ac:dyDescent="0.25">
      <c r="B38" s="196"/>
      <c r="C38" s="46"/>
      <c r="D38" s="204" t="s">
        <v>13</v>
      </c>
      <c r="E38" s="52"/>
      <c r="F38" s="249"/>
      <c r="G38" s="130"/>
      <c r="H38" s="122">
        <v>35</v>
      </c>
      <c r="I38" s="123">
        <v>26760</v>
      </c>
      <c r="J38" s="123">
        <v>27495</v>
      </c>
      <c r="K38" s="123">
        <v>28305</v>
      </c>
      <c r="L38" s="124">
        <v>29139</v>
      </c>
      <c r="M38" s="123">
        <v>29859</v>
      </c>
      <c r="N38" s="123">
        <v>30681</v>
      </c>
      <c r="O38" s="128">
        <v>30987</v>
      </c>
      <c r="P38" s="128"/>
      <c r="Q38" s="128">
        <v>31296</v>
      </c>
      <c r="R38" s="128">
        <v>31986</v>
      </c>
      <c r="S38" s="101">
        <v>100</v>
      </c>
      <c r="T38" s="101">
        <v>43.937000000000012</v>
      </c>
      <c r="U38" s="129">
        <v>32307</v>
      </c>
      <c r="V38" s="101">
        <v>33282</v>
      </c>
      <c r="W38" s="63"/>
      <c r="X38" s="63"/>
      <c r="Y38" s="200"/>
      <c r="Z38" s="207" t="s">
        <v>33</v>
      </c>
      <c r="AA38" s="143">
        <v>30</v>
      </c>
      <c r="AB38" s="144">
        <v>34794</v>
      </c>
      <c r="AC38" s="97"/>
      <c r="AD38" s="13">
        <v>35</v>
      </c>
      <c r="AE38" s="90">
        <v>29</v>
      </c>
      <c r="AF38" s="103">
        <v>33948</v>
      </c>
      <c r="AG38" s="97"/>
      <c r="AL38" s="97"/>
      <c r="AM38" s="62"/>
    </row>
    <row r="39" spans="2:39" ht="15.75" customHeight="1" thickBot="1" x14ac:dyDescent="0.25">
      <c r="B39" s="197"/>
      <c r="C39" s="46"/>
      <c r="D39" s="205"/>
      <c r="E39" s="52"/>
      <c r="F39" s="250"/>
      <c r="G39" s="251" t="s">
        <v>33</v>
      </c>
      <c r="H39" s="122">
        <v>36</v>
      </c>
      <c r="I39" s="123">
        <v>27426</v>
      </c>
      <c r="J39" s="123">
        <v>28179</v>
      </c>
      <c r="K39" s="123">
        <v>29010</v>
      </c>
      <c r="L39" s="124">
        <v>29865</v>
      </c>
      <c r="M39" s="123">
        <v>30603</v>
      </c>
      <c r="N39" s="123">
        <v>31446</v>
      </c>
      <c r="O39" s="128">
        <v>31761</v>
      </c>
      <c r="P39" s="128"/>
      <c r="Q39" s="128">
        <v>32079</v>
      </c>
      <c r="R39" s="128">
        <v>32784</v>
      </c>
      <c r="S39" s="101">
        <v>100</v>
      </c>
      <c r="T39" s="101">
        <v>47.52800000000002</v>
      </c>
      <c r="U39" s="129">
        <v>33111</v>
      </c>
      <c r="V39" s="101">
        <v>34113</v>
      </c>
      <c r="W39" s="63"/>
      <c r="X39" s="63"/>
      <c r="Y39" s="71"/>
      <c r="Z39" s="208"/>
      <c r="AA39" s="143">
        <v>31</v>
      </c>
      <c r="AB39" s="144">
        <v>35724</v>
      </c>
      <c r="AC39" s="97"/>
      <c r="AD39" s="13">
        <v>36</v>
      </c>
      <c r="AE39" s="90">
        <v>30</v>
      </c>
      <c r="AF39" s="103">
        <v>34794</v>
      </c>
      <c r="AG39" s="97"/>
      <c r="AL39" s="97"/>
      <c r="AM39" s="62"/>
    </row>
    <row r="40" spans="2:39" ht="13.5" thickBot="1" x14ac:dyDescent="0.25">
      <c r="B40" s="43"/>
      <c r="C40" s="46"/>
      <c r="D40" s="205"/>
      <c r="E40" s="52"/>
      <c r="F40" s="131"/>
      <c r="G40" s="252"/>
      <c r="H40" s="122">
        <v>37</v>
      </c>
      <c r="I40" s="123">
        <v>28155</v>
      </c>
      <c r="J40" s="123">
        <v>28929</v>
      </c>
      <c r="K40" s="123">
        <v>29781</v>
      </c>
      <c r="L40" s="124">
        <v>30660</v>
      </c>
      <c r="M40" s="123">
        <v>31419</v>
      </c>
      <c r="N40" s="123">
        <v>32283</v>
      </c>
      <c r="O40" s="128">
        <v>32607</v>
      </c>
      <c r="P40" s="128"/>
      <c r="Q40" s="128">
        <v>32934</v>
      </c>
      <c r="R40" s="128">
        <v>33660</v>
      </c>
      <c r="S40" s="101">
        <v>100</v>
      </c>
      <c r="T40" s="101">
        <v>51.470000000000027</v>
      </c>
      <c r="U40" s="129">
        <v>33996</v>
      </c>
      <c r="V40" s="101">
        <v>35025</v>
      </c>
      <c r="W40" s="63"/>
      <c r="X40" s="63"/>
      <c r="Y40" s="79"/>
      <c r="Z40" s="211"/>
      <c r="AA40" s="143">
        <v>32</v>
      </c>
      <c r="AB40" s="144">
        <v>36711</v>
      </c>
      <c r="AC40" s="97"/>
      <c r="AD40" s="13">
        <v>37</v>
      </c>
      <c r="AE40" s="90">
        <v>31</v>
      </c>
      <c r="AF40" s="103">
        <v>35724</v>
      </c>
      <c r="AG40" s="97"/>
      <c r="AL40" s="97"/>
      <c r="AM40" s="62"/>
    </row>
    <row r="41" spans="2:39" ht="15.75" customHeight="1" thickBot="1" x14ac:dyDescent="0.25">
      <c r="B41" s="195" t="s">
        <v>14</v>
      </c>
      <c r="C41" s="46"/>
      <c r="D41" s="210"/>
      <c r="E41" s="52"/>
      <c r="F41" s="132"/>
      <c r="G41" s="254"/>
      <c r="H41" s="122">
        <v>38</v>
      </c>
      <c r="I41" s="123">
        <v>28935</v>
      </c>
      <c r="J41" s="123">
        <v>29730</v>
      </c>
      <c r="K41" s="123">
        <v>30606</v>
      </c>
      <c r="L41" s="124">
        <v>31509</v>
      </c>
      <c r="M41" s="123">
        <v>32289</v>
      </c>
      <c r="N41" s="123">
        <v>33177</v>
      </c>
      <c r="O41" s="128">
        <v>33510</v>
      </c>
      <c r="P41" s="128"/>
      <c r="Q41" s="128">
        <v>33846</v>
      </c>
      <c r="R41" s="128">
        <v>34590</v>
      </c>
      <c r="S41" s="101">
        <v>100</v>
      </c>
      <c r="T41" s="101">
        <v>55.65500000000003</v>
      </c>
      <c r="U41" s="129">
        <v>34935</v>
      </c>
      <c r="V41" s="101">
        <v>35991</v>
      </c>
      <c r="W41" s="63"/>
      <c r="X41" s="63"/>
      <c r="Y41" s="198" t="s">
        <v>34</v>
      </c>
      <c r="Z41" s="68"/>
      <c r="AA41" s="143">
        <v>33</v>
      </c>
      <c r="AB41" s="144">
        <v>37842</v>
      </c>
      <c r="AC41" s="97"/>
      <c r="AD41" s="13">
        <v>38</v>
      </c>
      <c r="AE41" s="90">
        <v>32</v>
      </c>
      <c r="AF41" s="103">
        <v>36711</v>
      </c>
      <c r="AG41" s="97"/>
      <c r="AL41" s="97"/>
      <c r="AM41" s="62"/>
    </row>
    <row r="42" spans="2:39" ht="15" customHeight="1" x14ac:dyDescent="0.2">
      <c r="B42" s="196"/>
      <c r="C42" s="46"/>
      <c r="D42" s="48"/>
      <c r="E42" s="52"/>
      <c r="F42" s="248" t="s">
        <v>34</v>
      </c>
      <c r="G42" s="121"/>
      <c r="H42" s="122">
        <v>39</v>
      </c>
      <c r="I42" s="123">
        <v>29829</v>
      </c>
      <c r="J42" s="123">
        <v>30648</v>
      </c>
      <c r="K42" s="123">
        <v>31551</v>
      </c>
      <c r="L42" s="124">
        <v>32481</v>
      </c>
      <c r="M42" s="123">
        <v>33285</v>
      </c>
      <c r="N42" s="123">
        <v>34200</v>
      </c>
      <c r="O42" s="128">
        <v>34542</v>
      </c>
      <c r="P42" s="128"/>
      <c r="Q42" s="128">
        <v>34887</v>
      </c>
      <c r="R42" s="128">
        <v>35655</v>
      </c>
      <c r="S42" s="101">
        <v>100</v>
      </c>
      <c r="T42" s="101">
        <v>60.447500000000019</v>
      </c>
      <c r="U42" s="129">
        <v>36012</v>
      </c>
      <c r="V42" s="101">
        <v>37098</v>
      </c>
      <c r="W42" s="63"/>
      <c r="X42" s="63"/>
      <c r="Y42" s="199"/>
      <c r="Z42" s="69"/>
      <c r="AA42" s="143">
        <v>34</v>
      </c>
      <c r="AB42" s="144">
        <v>38799</v>
      </c>
      <c r="AC42" s="97"/>
      <c r="AD42" s="13">
        <v>39</v>
      </c>
      <c r="AE42" s="90">
        <v>33</v>
      </c>
      <c r="AF42" s="103">
        <v>37842</v>
      </c>
      <c r="AG42" s="97"/>
      <c r="AL42" s="97"/>
      <c r="AM42" s="62"/>
    </row>
    <row r="43" spans="2:39" ht="15.75" customHeight="1" thickBot="1" x14ac:dyDescent="0.25">
      <c r="B43" s="196"/>
      <c r="C43" s="46"/>
      <c r="D43" s="45"/>
      <c r="E43" s="52"/>
      <c r="F43" s="249"/>
      <c r="G43" s="121"/>
      <c r="H43" s="122">
        <v>40</v>
      </c>
      <c r="I43" s="123">
        <v>30582</v>
      </c>
      <c r="J43" s="123">
        <v>31422</v>
      </c>
      <c r="K43" s="123">
        <v>32349</v>
      </c>
      <c r="L43" s="124">
        <v>33303</v>
      </c>
      <c r="M43" s="123">
        <v>34128</v>
      </c>
      <c r="N43" s="123">
        <v>35067</v>
      </c>
      <c r="O43" s="128">
        <v>35418</v>
      </c>
      <c r="P43" s="128"/>
      <c r="Q43" s="128">
        <v>35772</v>
      </c>
      <c r="R43" s="128">
        <v>36558</v>
      </c>
      <c r="S43" s="101">
        <v>100</v>
      </c>
      <c r="T43" s="101">
        <v>64.511000000000024</v>
      </c>
      <c r="U43" s="129">
        <v>36924</v>
      </c>
      <c r="V43" s="101">
        <v>38040</v>
      </c>
      <c r="W43" s="63"/>
      <c r="X43" s="63"/>
      <c r="Y43" s="200"/>
      <c r="Z43" s="80"/>
      <c r="AA43" s="143">
        <v>35</v>
      </c>
      <c r="AB43" s="144">
        <v>39774</v>
      </c>
      <c r="AC43" s="97"/>
      <c r="AD43" s="13">
        <v>40</v>
      </c>
      <c r="AE43" s="90">
        <v>34</v>
      </c>
      <c r="AF43" s="103">
        <v>38799</v>
      </c>
      <c r="AG43" s="97"/>
      <c r="AL43" s="97"/>
      <c r="AM43" s="62"/>
    </row>
    <row r="44" spans="2:39" ht="17.25" customHeight="1" thickBot="1" x14ac:dyDescent="0.25">
      <c r="B44" s="197"/>
      <c r="C44" s="49"/>
      <c r="D44" s="204" t="s">
        <v>15</v>
      </c>
      <c r="E44" s="52"/>
      <c r="F44" s="250"/>
      <c r="G44" s="133"/>
      <c r="H44" s="122">
        <v>41</v>
      </c>
      <c r="I44" s="123">
        <v>31347</v>
      </c>
      <c r="J44" s="123">
        <v>32208</v>
      </c>
      <c r="K44" s="123">
        <v>33159</v>
      </c>
      <c r="L44" s="124">
        <v>34137</v>
      </c>
      <c r="M44" s="123">
        <v>34983</v>
      </c>
      <c r="N44" s="123">
        <v>35946</v>
      </c>
      <c r="O44" s="128">
        <v>36306</v>
      </c>
      <c r="P44" s="128"/>
      <c r="Q44" s="128">
        <v>36669</v>
      </c>
      <c r="R44" s="128">
        <v>37476</v>
      </c>
      <c r="S44" s="101">
        <v>100</v>
      </c>
      <c r="T44" s="101">
        <v>68.642000000000024</v>
      </c>
      <c r="U44" s="129">
        <v>37851</v>
      </c>
      <c r="V44" s="101">
        <v>38994</v>
      </c>
      <c r="W44" s="63"/>
      <c r="X44" s="63"/>
      <c r="Y44" s="71"/>
      <c r="Z44" s="207" t="s">
        <v>35</v>
      </c>
      <c r="AA44" s="143">
        <v>36</v>
      </c>
      <c r="AB44" s="144">
        <v>40728</v>
      </c>
      <c r="AC44" s="97"/>
      <c r="AD44" s="13">
        <v>41</v>
      </c>
      <c r="AE44" s="90">
        <v>35</v>
      </c>
      <c r="AF44" s="103">
        <v>39774</v>
      </c>
      <c r="AG44" s="97"/>
      <c r="AL44" s="97"/>
      <c r="AM44" s="62"/>
    </row>
    <row r="45" spans="2:39" ht="15" customHeight="1" x14ac:dyDescent="0.2">
      <c r="B45" s="43"/>
      <c r="C45" s="49"/>
      <c r="D45" s="205"/>
      <c r="E45" s="52"/>
      <c r="F45" s="131"/>
      <c r="G45" s="251" t="s">
        <v>35</v>
      </c>
      <c r="H45" s="122">
        <v>42</v>
      </c>
      <c r="I45" s="123">
        <v>32106</v>
      </c>
      <c r="J45" s="123">
        <v>32988</v>
      </c>
      <c r="K45" s="123">
        <v>33960</v>
      </c>
      <c r="L45" s="124">
        <v>34962</v>
      </c>
      <c r="M45" s="123">
        <v>35826</v>
      </c>
      <c r="N45" s="123">
        <v>36810</v>
      </c>
      <c r="O45" s="128">
        <v>37179</v>
      </c>
      <c r="P45" s="128"/>
      <c r="Q45" s="128">
        <v>37551</v>
      </c>
      <c r="R45" s="128">
        <v>38376</v>
      </c>
      <c r="S45" s="101">
        <v>100</v>
      </c>
      <c r="T45" s="101">
        <v>72.692000000000007</v>
      </c>
      <c r="U45" s="129">
        <v>38760</v>
      </c>
      <c r="V45" s="101">
        <v>39930</v>
      </c>
      <c r="W45" s="63"/>
      <c r="X45" s="63"/>
      <c r="Y45" s="72"/>
      <c r="Z45" s="208"/>
      <c r="AA45" s="143">
        <v>37</v>
      </c>
      <c r="AB45" s="144">
        <v>41706</v>
      </c>
      <c r="AC45" s="97"/>
      <c r="AD45" s="13">
        <v>42</v>
      </c>
      <c r="AE45" s="90">
        <v>36</v>
      </c>
      <c r="AF45" s="103">
        <v>40728</v>
      </c>
      <c r="AG45" s="97"/>
      <c r="AL45" s="97"/>
      <c r="AM45" s="62"/>
    </row>
    <row r="46" spans="2:39" ht="16.5" customHeight="1" thickBot="1" x14ac:dyDescent="0.25">
      <c r="B46" s="43"/>
      <c r="C46" s="49"/>
      <c r="D46" s="205"/>
      <c r="E46" s="52"/>
      <c r="F46" s="131"/>
      <c r="G46" s="252"/>
      <c r="H46" s="122">
        <v>43</v>
      </c>
      <c r="I46" s="123">
        <v>32874</v>
      </c>
      <c r="J46" s="123">
        <v>33777</v>
      </c>
      <c r="K46" s="123">
        <v>34773</v>
      </c>
      <c r="L46" s="124">
        <v>35799</v>
      </c>
      <c r="M46" s="123">
        <v>36684</v>
      </c>
      <c r="N46" s="123">
        <v>37692</v>
      </c>
      <c r="O46" s="128">
        <v>38070</v>
      </c>
      <c r="P46" s="128"/>
      <c r="Q46" s="128">
        <v>38451</v>
      </c>
      <c r="R46" s="128">
        <v>39297</v>
      </c>
      <c r="S46" s="101">
        <v>100</v>
      </c>
      <c r="T46" s="101">
        <v>76.836500000000029</v>
      </c>
      <c r="U46" s="129">
        <v>39690</v>
      </c>
      <c r="V46" s="101">
        <v>40887</v>
      </c>
      <c r="W46" s="63"/>
      <c r="X46" s="63"/>
      <c r="Y46" s="79"/>
      <c r="Z46" s="211"/>
      <c r="AA46" s="143">
        <v>38</v>
      </c>
      <c r="AB46" s="144">
        <v>42684</v>
      </c>
      <c r="AC46" s="97"/>
      <c r="AD46" s="13">
        <v>43</v>
      </c>
      <c r="AE46" s="90">
        <v>37</v>
      </c>
      <c r="AF46" s="103">
        <v>41706</v>
      </c>
      <c r="AG46" s="97"/>
      <c r="AL46" s="97"/>
      <c r="AM46" s="62"/>
    </row>
    <row r="47" spans="2:39" ht="13.5" thickBot="1" x14ac:dyDescent="0.25">
      <c r="B47" s="195" t="s">
        <v>16</v>
      </c>
      <c r="C47" s="46"/>
      <c r="D47" s="210"/>
      <c r="E47" s="52"/>
      <c r="F47" s="120"/>
      <c r="G47" s="254"/>
      <c r="H47" s="122">
        <v>44</v>
      </c>
      <c r="I47" s="123">
        <v>33642</v>
      </c>
      <c r="J47" s="123">
        <v>34566</v>
      </c>
      <c r="K47" s="123">
        <v>35586</v>
      </c>
      <c r="L47" s="124">
        <v>36636</v>
      </c>
      <c r="M47" s="123">
        <v>37542</v>
      </c>
      <c r="N47" s="123">
        <v>38574</v>
      </c>
      <c r="O47" s="128">
        <v>38961</v>
      </c>
      <c r="P47" s="128"/>
      <c r="Q47" s="128">
        <v>39351</v>
      </c>
      <c r="R47" s="128">
        <v>40218</v>
      </c>
      <c r="S47" s="101">
        <v>100</v>
      </c>
      <c r="T47" s="101">
        <v>80.981000000000023</v>
      </c>
      <c r="U47" s="129">
        <v>40620</v>
      </c>
      <c r="V47" s="101">
        <v>41847</v>
      </c>
      <c r="W47" s="63"/>
      <c r="X47" s="63"/>
      <c r="Y47" s="198" t="s">
        <v>36</v>
      </c>
      <c r="Z47" s="83"/>
      <c r="AA47" s="143">
        <v>39</v>
      </c>
      <c r="AB47" s="144">
        <v>43590</v>
      </c>
      <c r="AC47" s="97"/>
      <c r="AD47" s="13">
        <v>44</v>
      </c>
      <c r="AE47" s="90">
        <v>38</v>
      </c>
      <c r="AF47" s="103">
        <v>42684</v>
      </c>
      <c r="AG47" s="97"/>
      <c r="AL47" s="97"/>
      <c r="AM47" s="62"/>
    </row>
    <row r="48" spans="2:39" ht="13.5" thickBot="1" x14ac:dyDescent="0.25">
      <c r="B48" s="196"/>
      <c r="C48" s="46"/>
      <c r="D48" s="45"/>
      <c r="E48" s="52"/>
      <c r="F48" s="248" t="s">
        <v>36</v>
      </c>
      <c r="G48" s="121"/>
      <c r="H48" s="122">
        <v>45</v>
      </c>
      <c r="I48" s="123">
        <v>34359</v>
      </c>
      <c r="J48" s="123">
        <v>35304</v>
      </c>
      <c r="K48" s="123">
        <v>36345</v>
      </c>
      <c r="L48" s="124">
        <v>37416</v>
      </c>
      <c r="M48" s="123">
        <v>38343</v>
      </c>
      <c r="N48" s="123">
        <v>39396</v>
      </c>
      <c r="O48" s="128">
        <v>39789</v>
      </c>
      <c r="P48" s="128"/>
      <c r="Q48" s="128">
        <v>40188</v>
      </c>
      <c r="R48" s="128">
        <v>41073</v>
      </c>
      <c r="S48" s="101">
        <v>100</v>
      </c>
      <c r="T48" s="101">
        <v>84.82850000000002</v>
      </c>
      <c r="U48" s="129">
        <v>41484</v>
      </c>
      <c r="V48" s="101">
        <v>42734</v>
      </c>
      <c r="W48" s="63"/>
      <c r="X48" s="63"/>
      <c r="Y48" s="199"/>
      <c r="Z48" s="84"/>
      <c r="AA48" s="143">
        <v>40</v>
      </c>
      <c r="AB48" s="144">
        <v>44607</v>
      </c>
      <c r="AC48" s="97"/>
      <c r="AD48" s="13">
        <v>45</v>
      </c>
      <c r="AE48" s="90">
        <v>39</v>
      </c>
      <c r="AF48" s="103">
        <v>43590</v>
      </c>
      <c r="AG48" s="97"/>
      <c r="AL48" s="97"/>
      <c r="AM48" s="62"/>
    </row>
    <row r="49" spans="2:39" ht="13.5" thickBot="1" x14ac:dyDescent="0.25">
      <c r="B49" s="196"/>
      <c r="C49" s="46"/>
      <c r="D49" s="204" t="s">
        <v>17</v>
      </c>
      <c r="E49" s="52"/>
      <c r="F49" s="249"/>
      <c r="G49" s="130"/>
      <c r="H49" s="122">
        <v>46</v>
      </c>
      <c r="I49" s="123">
        <v>35157</v>
      </c>
      <c r="J49" s="123">
        <v>36123</v>
      </c>
      <c r="K49" s="123">
        <v>37188</v>
      </c>
      <c r="L49" s="124">
        <v>38286</v>
      </c>
      <c r="M49" s="123">
        <v>39234</v>
      </c>
      <c r="N49" s="123">
        <v>40314</v>
      </c>
      <c r="O49" s="128">
        <v>40716</v>
      </c>
      <c r="P49" s="128"/>
      <c r="Q49" s="128">
        <v>41124</v>
      </c>
      <c r="R49" s="128">
        <v>42030</v>
      </c>
      <c r="S49" s="101">
        <v>100</v>
      </c>
      <c r="T49" s="101">
        <v>89.135000000000019</v>
      </c>
      <c r="U49" s="129">
        <v>42450</v>
      </c>
      <c r="V49" s="101">
        <v>43734</v>
      </c>
      <c r="W49" s="63"/>
      <c r="X49" s="63"/>
      <c r="Y49" s="200"/>
      <c r="Z49" s="207" t="s">
        <v>37</v>
      </c>
      <c r="AA49" s="143">
        <v>41</v>
      </c>
      <c r="AB49" s="144">
        <v>45585</v>
      </c>
      <c r="AC49" s="97"/>
      <c r="AD49" s="13">
        <v>46</v>
      </c>
      <c r="AE49" s="90">
        <v>40</v>
      </c>
      <c r="AF49" s="103">
        <v>44607</v>
      </c>
      <c r="AG49" s="97"/>
      <c r="AL49" s="97"/>
      <c r="AM49" s="62"/>
    </row>
    <row r="50" spans="2:39" ht="13.5" thickBot="1" x14ac:dyDescent="0.25">
      <c r="B50" s="197"/>
      <c r="C50" s="46"/>
      <c r="D50" s="205"/>
      <c r="E50" s="52"/>
      <c r="F50" s="250"/>
      <c r="G50" s="251" t="s">
        <v>37</v>
      </c>
      <c r="H50" s="122">
        <v>47</v>
      </c>
      <c r="I50" s="123">
        <v>35928</v>
      </c>
      <c r="J50" s="123">
        <v>36915</v>
      </c>
      <c r="K50" s="123">
        <v>38004</v>
      </c>
      <c r="L50" s="124">
        <v>39126</v>
      </c>
      <c r="M50" s="123">
        <v>40095</v>
      </c>
      <c r="N50" s="123">
        <v>41199</v>
      </c>
      <c r="O50" s="128">
        <v>41610</v>
      </c>
      <c r="P50" s="128"/>
      <c r="Q50" s="128">
        <v>42027</v>
      </c>
      <c r="R50" s="128">
        <v>42951</v>
      </c>
      <c r="S50" s="101">
        <v>100</v>
      </c>
      <c r="T50" s="101">
        <v>93.279500000000013</v>
      </c>
      <c r="U50" s="129">
        <v>43380</v>
      </c>
      <c r="V50" s="101">
        <v>44691</v>
      </c>
      <c r="W50" s="63"/>
      <c r="X50" s="63"/>
      <c r="Y50" s="71"/>
      <c r="Z50" s="208"/>
      <c r="AA50" s="143">
        <v>42</v>
      </c>
      <c r="AB50" s="144">
        <v>46560</v>
      </c>
      <c r="AC50" s="97"/>
      <c r="AD50" s="13">
        <v>47</v>
      </c>
      <c r="AE50" s="90">
        <v>41</v>
      </c>
      <c r="AF50" s="103">
        <v>45585</v>
      </c>
      <c r="AG50" s="97"/>
      <c r="AL50" s="97"/>
      <c r="AM50" s="62"/>
    </row>
    <row r="51" spans="2:39" ht="13.5" thickBot="1" x14ac:dyDescent="0.25">
      <c r="B51" s="43"/>
      <c r="C51" s="44"/>
      <c r="D51" s="205"/>
      <c r="E51" s="52"/>
      <c r="F51" s="131"/>
      <c r="G51" s="252"/>
      <c r="H51" s="122">
        <v>48</v>
      </c>
      <c r="I51" s="123">
        <v>36696</v>
      </c>
      <c r="J51" s="123">
        <v>37704</v>
      </c>
      <c r="K51" s="123">
        <v>38817</v>
      </c>
      <c r="L51" s="124">
        <v>39963</v>
      </c>
      <c r="M51" s="123">
        <v>40953</v>
      </c>
      <c r="N51" s="123">
        <v>42078</v>
      </c>
      <c r="O51" s="128">
        <v>42498</v>
      </c>
      <c r="P51" s="128"/>
      <c r="Q51" s="128">
        <v>42924</v>
      </c>
      <c r="R51" s="128">
        <v>43869</v>
      </c>
      <c r="S51" s="101">
        <v>100</v>
      </c>
      <c r="T51" s="101">
        <v>97.410500000000013</v>
      </c>
      <c r="U51" s="129">
        <v>44307</v>
      </c>
      <c r="V51" s="101">
        <v>45645</v>
      </c>
      <c r="W51" s="63"/>
      <c r="X51" s="63"/>
      <c r="Y51" s="72"/>
      <c r="Z51" s="211"/>
      <c r="AA51" s="143">
        <v>43</v>
      </c>
      <c r="AB51" s="144">
        <v>47511</v>
      </c>
      <c r="AC51" s="97"/>
      <c r="AD51" s="13">
        <v>48</v>
      </c>
      <c r="AE51" s="90">
        <v>42</v>
      </c>
      <c r="AF51" s="103">
        <v>46560</v>
      </c>
      <c r="AG51" s="97"/>
      <c r="AL51" s="97"/>
      <c r="AM51" s="62"/>
    </row>
    <row r="52" spans="2:39" ht="13.5" thickBot="1" x14ac:dyDescent="0.25">
      <c r="B52" s="43"/>
      <c r="C52" s="44"/>
      <c r="D52" s="210"/>
      <c r="E52" s="52"/>
      <c r="F52" s="131"/>
      <c r="G52" s="254"/>
      <c r="H52" s="122">
        <v>49</v>
      </c>
      <c r="I52" s="123">
        <v>37449</v>
      </c>
      <c r="J52" s="123">
        <v>38478</v>
      </c>
      <c r="K52" s="123">
        <v>39612</v>
      </c>
      <c r="L52" s="124">
        <v>40782</v>
      </c>
      <c r="M52" s="123">
        <v>41790</v>
      </c>
      <c r="N52" s="123">
        <v>42939</v>
      </c>
      <c r="O52" s="128">
        <v>43368</v>
      </c>
      <c r="P52" s="128"/>
      <c r="Q52" s="128">
        <v>43803</v>
      </c>
      <c r="R52" s="128">
        <v>44766</v>
      </c>
      <c r="S52" s="101">
        <v>100</v>
      </c>
      <c r="T52" s="101">
        <v>101.44700000000003</v>
      </c>
      <c r="U52" s="129">
        <v>45213</v>
      </c>
      <c r="V52" s="101">
        <v>46578</v>
      </c>
      <c r="W52" s="63"/>
      <c r="X52" s="63"/>
      <c r="Y52" s="72"/>
      <c r="Z52" s="68"/>
      <c r="AA52" s="87" t="s">
        <v>69</v>
      </c>
      <c r="AB52" s="105">
        <v>48492</v>
      </c>
      <c r="AC52" s="98"/>
      <c r="AD52" s="13">
        <v>49</v>
      </c>
      <c r="AE52" s="90">
        <v>43</v>
      </c>
      <c r="AF52" s="103">
        <v>47511</v>
      </c>
      <c r="AG52" s="97"/>
      <c r="AL52" s="98"/>
      <c r="AM52" s="62"/>
    </row>
    <row r="53" spans="2:39" ht="13.5" thickBot="1" x14ac:dyDescent="0.25">
      <c r="B53" s="195" t="s">
        <v>18</v>
      </c>
      <c r="C53" s="46"/>
      <c r="D53" s="47"/>
      <c r="E53" s="52"/>
      <c r="F53" s="132"/>
      <c r="G53" s="121"/>
      <c r="H53" s="122" t="s">
        <v>44</v>
      </c>
      <c r="I53" s="123">
        <v>38988</v>
      </c>
      <c r="J53" s="123">
        <v>40059</v>
      </c>
      <c r="K53" s="123">
        <v>41241</v>
      </c>
      <c r="L53" s="124">
        <v>42459</v>
      </c>
      <c r="M53" s="123">
        <v>43509</v>
      </c>
      <c r="N53" s="123">
        <v>44706</v>
      </c>
      <c r="O53" s="128">
        <v>45153</v>
      </c>
      <c r="P53" s="128"/>
      <c r="Q53" s="128">
        <v>45606</v>
      </c>
      <c r="R53" s="128">
        <v>46608</v>
      </c>
      <c r="S53" s="101">
        <v>0</v>
      </c>
      <c r="T53" s="101">
        <v>0</v>
      </c>
      <c r="U53" s="129">
        <v>47073</v>
      </c>
      <c r="V53" s="101">
        <v>48495</v>
      </c>
      <c r="W53" s="110"/>
      <c r="X53" s="110"/>
      <c r="Y53" s="72"/>
      <c r="Z53" s="80"/>
      <c r="AA53" s="87" t="s">
        <v>70</v>
      </c>
      <c r="AB53" s="105">
        <v>49464</v>
      </c>
      <c r="AC53" s="98"/>
      <c r="AD53" s="13" t="s">
        <v>44</v>
      </c>
      <c r="AE53" s="90">
        <v>45</v>
      </c>
      <c r="AF53" s="103">
        <v>49464</v>
      </c>
      <c r="AG53" s="97"/>
      <c r="AL53" s="98"/>
      <c r="AM53" s="62"/>
    </row>
    <row r="54" spans="2:39" x14ac:dyDescent="0.2">
      <c r="B54" s="196"/>
      <c r="C54" s="46"/>
      <c r="D54" s="47"/>
      <c r="E54" s="52"/>
      <c r="F54" s="248" t="s">
        <v>38</v>
      </c>
      <c r="G54" s="121"/>
      <c r="H54" s="122">
        <v>51</v>
      </c>
      <c r="I54" s="123">
        <v>39762</v>
      </c>
      <c r="J54" s="123">
        <v>40854</v>
      </c>
      <c r="K54" s="123">
        <v>42060</v>
      </c>
      <c r="L54" s="124">
        <v>43302</v>
      </c>
      <c r="M54" s="123">
        <v>44373</v>
      </c>
      <c r="N54" s="123">
        <v>45594</v>
      </c>
      <c r="O54" s="128">
        <v>46050</v>
      </c>
      <c r="P54" s="128"/>
      <c r="Q54" s="128">
        <v>46512</v>
      </c>
      <c r="R54" s="128">
        <v>47535</v>
      </c>
      <c r="S54" s="101">
        <v>0</v>
      </c>
      <c r="T54" s="101">
        <v>0</v>
      </c>
      <c r="U54" s="129">
        <v>48009</v>
      </c>
      <c r="V54" s="101">
        <v>49458</v>
      </c>
      <c r="W54" s="63"/>
      <c r="X54" s="63"/>
      <c r="Y54" s="145"/>
      <c r="Z54" s="201" t="s">
        <v>38</v>
      </c>
      <c r="AA54" s="143">
        <v>46</v>
      </c>
      <c r="AB54" s="144">
        <v>50448</v>
      </c>
      <c r="AC54" s="97"/>
      <c r="AD54" s="13">
        <v>51</v>
      </c>
      <c r="AE54" s="90">
        <v>46</v>
      </c>
      <c r="AF54" s="103">
        <v>50448</v>
      </c>
      <c r="AG54" s="97"/>
      <c r="AL54" s="97"/>
      <c r="AM54" s="62"/>
    </row>
    <row r="55" spans="2:39" x14ac:dyDescent="0.2">
      <c r="B55" s="196"/>
      <c r="C55" s="46"/>
      <c r="D55" s="47"/>
      <c r="E55" s="52"/>
      <c r="F55" s="249"/>
      <c r="G55" s="121"/>
      <c r="H55" s="122">
        <v>52</v>
      </c>
      <c r="I55" s="123">
        <v>40548</v>
      </c>
      <c r="J55" s="123">
        <v>41664</v>
      </c>
      <c r="K55" s="123">
        <v>42894</v>
      </c>
      <c r="L55" s="124">
        <v>44160</v>
      </c>
      <c r="M55" s="123">
        <v>45252</v>
      </c>
      <c r="N55" s="123">
        <v>46497</v>
      </c>
      <c r="O55" s="128">
        <v>46962</v>
      </c>
      <c r="P55" s="128"/>
      <c r="Q55" s="128">
        <v>47433</v>
      </c>
      <c r="R55" s="128">
        <v>48477</v>
      </c>
      <c r="S55" s="101">
        <v>0</v>
      </c>
      <c r="T55" s="101">
        <v>0</v>
      </c>
      <c r="U55" s="129">
        <v>48963</v>
      </c>
      <c r="V55" s="101">
        <v>50442</v>
      </c>
      <c r="W55" s="63"/>
      <c r="X55" s="63"/>
      <c r="Y55" s="145"/>
      <c r="Z55" s="202"/>
      <c r="AA55" s="143">
        <v>47</v>
      </c>
      <c r="AB55" s="144">
        <v>51450</v>
      </c>
      <c r="AC55" s="97"/>
      <c r="AD55" s="13">
        <v>52</v>
      </c>
      <c r="AE55" s="90">
        <v>47</v>
      </c>
      <c r="AF55" s="103">
        <v>51450</v>
      </c>
      <c r="AG55" s="97"/>
      <c r="AL55" s="97"/>
      <c r="AM55" s="62"/>
    </row>
    <row r="56" spans="2:39" ht="13.5" thickBot="1" x14ac:dyDescent="0.25">
      <c r="B56" s="197"/>
      <c r="C56" s="46"/>
      <c r="D56" s="47"/>
      <c r="E56" s="52"/>
      <c r="F56" s="250"/>
      <c r="G56" s="121"/>
      <c r="H56" s="122">
        <v>53</v>
      </c>
      <c r="I56" s="123">
        <v>41367</v>
      </c>
      <c r="J56" s="123">
        <v>42504</v>
      </c>
      <c r="K56" s="123">
        <v>43758</v>
      </c>
      <c r="L56" s="124">
        <v>45048</v>
      </c>
      <c r="M56" s="123">
        <v>46164</v>
      </c>
      <c r="N56" s="123">
        <v>47433</v>
      </c>
      <c r="O56" s="128">
        <v>47907</v>
      </c>
      <c r="P56" s="128"/>
      <c r="Q56" s="128">
        <v>48387</v>
      </c>
      <c r="R56" s="128">
        <v>49452</v>
      </c>
      <c r="S56" s="101">
        <v>0</v>
      </c>
      <c r="T56" s="101">
        <v>0</v>
      </c>
      <c r="U56" s="129">
        <v>49947</v>
      </c>
      <c r="V56" s="101">
        <v>51453</v>
      </c>
      <c r="W56" s="63"/>
      <c r="X56" s="63"/>
      <c r="Y56" s="145"/>
      <c r="Z56" s="203"/>
      <c r="AA56" s="143">
        <v>48</v>
      </c>
      <c r="AB56" s="144">
        <v>52482</v>
      </c>
      <c r="AC56" s="97"/>
      <c r="AD56" s="13">
        <v>53</v>
      </c>
      <c r="AE56" s="90">
        <v>48</v>
      </c>
      <c r="AF56" s="103">
        <v>52482</v>
      </c>
      <c r="AG56" s="97"/>
      <c r="AL56" s="97"/>
      <c r="AM56" s="62"/>
    </row>
    <row r="57" spans="2:39" ht="13.5" thickBot="1" x14ac:dyDescent="0.25">
      <c r="B57" s="43"/>
      <c r="C57" s="44"/>
      <c r="D57" s="204" t="s">
        <v>19</v>
      </c>
      <c r="E57" s="52"/>
      <c r="F57" s="131"/>
      <c r="G57" s="130"/>
      <c r="H57" s="122" t="s">
        <v>45</v>
      </c>
      <c r="I57" s="123">
        <v>43032</v>
      </c>
      <c r="J57" s="123">
        <v>44214</v>
      </c>
      <c r="K57" s="123">
        <v>45519</v>
      </c>
      <c r="L57" s="124">
        <v>46863</v>
      </c>
      <c r="M57" s="123">
        <v>48024</v>
      </c>
      <c r="N57" s="123">
        <v>49344</v>
      </c>
      <c r="O57" s="128">
        <v>49836</v>
      </c>
      <c r="P57" s="128"/>
      <c r="Q57" s="128">
        <v>50334</v>
      </c>
      <c r="R57" s="128">
        <v>51441</v>
      </c>
      <c r="S57" s="101">
        <v>0</v>
      </c>
      <c r="T57" s="101">
        <v>0</v>
      </c>
      <c r="U57" s="129">
        <v>51954</v>
      </c>
      <c r="V57" s="101">
        <v>53525</v>
      </c>
      <c r="W57" s="110"/>
      <c r="X57" s="110"/>
      <c r="Y57" s="72"/>
      <c r="Z57" s="68"/>
      <c r="AA57" s="87" t="s">
        <v>71</v>
      </c>
      <c r="AB57" s="105">
        <v>53544</v>
      </c>
      <c r="AC57" s="98"/>
      <c r="AD57" s="13" t="s">
        <v>45</v>
      </c>
      <c r="AE57" s="90">
        <v>50</v>
      </c>
      <c r="AF57" s="103">
        <v>54597</v>
      </c>
      <c r="AG57" s="97"/>
      <c r="AL57" s="98"/>
      <c r="AM57" s="62"/>
    </row>
    <row r="58" spans="2:39" ht="13.5" thickBot="1" x14ac:dyDescent="0.25">
      <c r="B58" s="43"/>
      <c r="C58" s="44"/>
      <c r="D58" s="205"/>
      <c r="E58" s="52"/>
      <c r="F58" s="131"/>
      <c r="G58" s="251" t="s">
        <v>39</v>
      </c>
      <c r="H58" s="122">
        <v>55</v>
      </c>
      <c r="I58" s="123">
        <v>43854</v>
      </c>
      <c r="J58" s="123">
        <v>45060</v>
      </c>
      <c r="K58" s="123">
        <v>46389</v>
      </c>
      <c r="L58" s="124">
        <v>47757</v>
      </c>
      <c r="M58" s="123">
        <v>48939</v>
      </c>
      <c r="N58" s="123">
        <v>50286</v>
      </c>
      <c r="O58" s="128">
        <v>50790</v>
      </c>
      <c r="P58" s="128"/>
      <c r="Q58" s="128">
        <v>51297</v>
      </c>
      <c r="R58" s="128">
        <v>52425</v>
      </c>
      <c r="S58" s="101">
        <v>0</v>
      </c>
      <c r="T58" s="101">
        <v>0</v>
      </c>
      <c r="U58" s="129">
        <v>52950</v>
      </c>
      <c r="V58" s="101">
        <v>54549</v>
      </c>
      <c r="W58" s="63"/>
      <c r="X58" s="63"/>
      <c r="Y58" s="72"/>
      <c r="Z58" s="80"/>
      <c r="AA58" s="87" t="s">
        <v>44</v>
      </c>
      <c r="AB58" s="105">
        <v>54597</v>
      </c>
      <c r="AC58" s="98"/>
      <c r="AD58" s="13">
        <v>55</v>
      </c>
      <c r="AE58" s="90">
        <v>51</v>
      </c>
      <c r="AF58" s="103">
        <v>55638</v>
      </c>
      <c r="AG58" s="97"/>
      <c r="AL58" s="98"/>
      <c r="AM58" s="62"/>
    </row>
    <row r="59" spans="2:39" x14ac:dyDescent="0.2">
      <c r="B59" s="43"/>
      <c r="C59" s="44"/>
      <c r="D59" s="205"/>
      <c r="E59" s="52"/>
      <c r="F59" s="131"/>
      <c r="G59" s="252"/>
      <c r="H59" s="122">
        <v>56</v>
      </c>
      <c r="I59" s="123">
        <v>44676</v>
      </c>
      <c r="J59" s="123">
        <v>45906</v>
      </c>
      <c r="K59" s="123">
        <v>47259</v>
      </c>
      <c r="L59" s="124">
        <v>48654</v>
      </c>
      <c r="M59" s="123">
        <v>49857</v>
      </c>
      <c r="N59" s="123">
        <v>51228</v>
      </c>
      <c r="O59" s="128">
        <v>51741</v>
      </c>
      <c r="P59" s="128"/>
      <c r="Q59" s="128">
        <v>52257</v>
      </c>
      <c r="R59" s="128">
        <v>53406</v>
      </c>
      <c r="S59" s="134">
        <v>0</v>
      </c>
      <c r="T59" s="134">
        <v>0</v>
      </c>
      <c r="U59" s="129">
        <v>53940</v>
      </c>
      <c r="V59" s="101">
        <v>55569</v>
      </c>
      <c r="W59" s="63"/>
      <c r="X59" s="63"/>
      <c r="Y59" s="72"/>
      <c r="Z59" s="207" t="s">
        <v>39</v>
      </c>
      <c r="AA59" s="143">
        <v>51</v>
      </c>
      <c r="AB59" s="146">
        <v>55638</v>
      </c>
      <c r="AC59" s="59"/>
      <c r="AD59" s="13">
        <v>56</v>
      </c>
      <c r="AE59" s="90">
        <v>52</v>
      </c>
      <c r="AF59" s="103">
        <v>56682</v>
      </c>
      <c r="AG59" s="97"/>
      <c r="AL59" s="59"/>
      <c r="AM59" s="62"/>
    </row>
    <row r="60" spans="2:39" ht="13.5" thickBot="1" x14ac:dyDescent="0.25">
      <c r="B60" s="50"/>
      <c r="C60" s="51"/>
      <c r="D60" s="206"/>
      <c r="E60" s="52"/>
      <c r="F60" s="135"/>
      <c r="G60" s="253"/>
      <c r="H60" s="136">
        <v>57</v>
      </c>
      <c r="I60" s="137">
        <v>45507</v>
      </c>
      <c r="J60" s="137">
        <v>46758</v>
      </c>
      <c r="K60" s="137">
        <v>48138</v>
      </c>
      <c r="L60" s="138">
        <v>49557</v>
      </c>
      <c r="M60" s="137">
        <v>50784</v>
      </c>
      <c r="N60" s="137">
        <v>52182</v>
      </c>
      <c r="O60" s="139">
        <v>52704</v>
      </c>
      <c r="P60" s="139"/>
      <c r="Q60" s="139">
        <v>53232</v>
      </c>
      <c r="R60" s="139">
        <v>54402</v>
      </c>
      <c r="S60" s="115">
        <v>0</v>
      </c>
      <c r="T60" s="115">
        <v>0</v>
      </c>
      <c r="U60" s="140">
        <v>54945</v>
      </c>
      <c r="V60" s="115">
        <v>56604</v>
      </c>
      <c r="W60" s="63"/>
      <c r="X60" s="63"/>
      <c r="Y60" s="72"/>
      <c r="Z60" s="208"/>
      <c r="AA60" s="143">
        <v>52</v>
      </c>
      <c r="AB60" s="146">
        <v>56682</v>
      </c>
      <c r="AC60" s="59"/>
      <c r="AD60" s="14">
        <v>57</v>
      </c>
      <c r="AE60" s="91">
        <v>53</v>
      </c>
      <c r="AF60" s="104">
        <v>57735</v>
      </c>
      <c r="AG60" s="97"/>
      <c r="AL60" s="59"/>
      <c r="AM60" s="62"/>
    </row>
    <row r="61" spans="2:39" ht="15.75" thickBot="1" x14ac:dyDescent="0.3">
      <c r="U61" s="21"/>
      <c r="V61" s="19"/>
      <c r="W61" s="19"/>
      <c r="X61" s="19"/>
      <c r="Y61" s="147"/>
      <c r="Z61" s="209"/>
      <c r="AA61" s="148">
        <v>53</v>
      </c>
      <c r="AB61" s="149">
        <v>57735</v>
      </c>
      <c r="AC61" s="59"/>
      <c r="AD61" s="19"/>
      <c r="AL61" s="59"/>
      <c r="AM61" s="62"/>
    </row>
    <row r="62" spans="2:39" ht="15" x14ac:dyDescent="0.25">
      <c r="U62" s="21"/>
      <c r="V62" s="19"/>
      <c r="W62" s="19"/>
      <c r="X62" s="19"/>
      <c r="Y62" s="19"/>
      <c r="Z62" s="19"/>
      <c r="AA62" s="19"/>
      <c r="AB62" s="19"/>
      <c r="AC62" s="19"/>
      <c r="AD62" s="19"/>
      <c r="AJ62" s="61"/>
      <c r="AK62" s="59"/>
      <c r="AL62" s="59"/>
    </row>
    <row r="63" spans="2:39" ht="15" x14ac:dyDescent="0.25">
      <c r="F63" s="92"/>
      <c r="U63" s="19"/>
      <c r="V63" s="19"/>
      <c r="W63" s="19"/>
      <c r="X63" s="19"/>
      <c r="Y63" s="19"/>
      <c r="Z63" s="19"/>
      <c r="AA63" s="19"/>
      <c r="AB63" s="19"/>
      <c r="AC63" s="19"/>
      <c r="AD63" s="92"/>
      <c r="AH63" s="92"/>
      <c r="AJ63" s="61"/>
      <c r="AK63" s="59"/>
      <c r="AL63" s="59"/>
    </row>
    <row r="64" spans="2:39" ht="15" x14ac:dyDescent="0.25">
      <c r="U64" s="19"/>
      <c r="V64" s="19"/>
      <c r="W64" s="19"/>
      <c r="X64" s="19"/>
      <c r="Y64" s="19"/>
      <c r="Z64" s="19"/>
      <c r="AA64" s="19"/>
      <c r="AB64" s="19"/>
      <c r="AC64" s="19"/>
      <c r="AD64" s="19"/>
      <c r="AJ64" s="61"/>
      <c r="AK64" s="59"/>
      <c r="AL64" s="59"/>
    </row>
    <row r="65" spans="21:38" ht="15" x14ac:dyDescent="0.25">
      <c r="U65" s="19"/>
      <c r="V65" s="19"/>
      <c r="W65" s="19"/>
      <c r="X65" s="19"/>
      <c r="Y65" s="19"/>
      <c r="Z65" s="19"/>
      <c r="AA65" s="19"/>
      <c r="AB65" s="19"/>
      <c r="AC65" s="19"/>
      <c r="AD65" s="19"/>
      <c r="AJ65" s="61"/>
      <c r="AK65" s="59"/>
      <c r="AL65" s="59"/>
    </row>
    <row r="66" spans="21:38" ht="15" x14ac:dyDescent="0.25">
      <c r="U66" s="19"/>
      <c r="V66" s="19"/>
      <c r="W66" s="19"/>
      <c r="X66" s="19"/>
      <c r="Y66" s="19"/>
      <c r="Z66" s="19"/>
      <c r="AA66" s="19"/>
      <c r="AB66" s="19"/>
      <c r="AC66" s="19"/>
      <c r="AD66" s="19"/>
      <c r="AJ66" s="61"/>
      <c r="AK66" s="59"/>
      <c r="AL66" s="59"/>
    </row>
    <row r="67" spans="21:38" ht="15" x14ac:dyDescent="0.25">
      <c r="U67" s="19"/>
      <c r="V67" s="19"/>
      <c r="W67" s="19"/>
      <c r="X67" s="19"/>
      <c r="Y67" s="19"/>
      <c r="Z67" s="19"/>
      <c r="AA67" s="19"/>
      <c r="AB67" s="19"/>
      <c r="AC67" s="19"/>
      <c r="AD67" s="19"/>
      <c r="AJ67" s="61"/>
      <c r="AK67" s="59"/>
      <c r="AL67" s="59"/>
    </row>
    <row r="68" spans="21:38" ht="15" x14ac:dyDescent="0.25">
      <c r="U68" s="19"/>
      <c r="V68" s="19"/>
      <c r="W68" s="19"/>
      <c r="X68" s="19"/>
      <c r="Y68" s="19"/>
      <c r="Z68" s="19"/>
      <c r="AA68" s="19"/>
      <c r="AB68" s="19"/>
      <c r="AC68" s="19"/>
      <c r="AD68" s="19"/>
      <c r="AJ68" s="61"/>
      <c r="AK68" s="59"/>
      <c r="AL68" s="59"/>
    </row>
    <row r="69" spans="21:38" ht="15" x14ac:dyDescent="0.25">
      <c r="U69" s="19"/>
      <c r="V69" s="19"/>
      <c r="W69" s="19"/>
      <c r="X69" s="19"/>
      <c r="Y69" s="19"/>
      <c r="Z69" s="19"/>
      <c r="AA69" s="19"/>
      <c r="AB69" s="19"/>
      <c r="AC69" s="19"/>
      <c r="AD69" s="19"/>
      <c r="AJ69" s="61"/>
      <c r="AK69" s="59"/>
      <c r="AL69" s="59"/>
    </row>
    <row r="70" spans="21:38" ht="15" x14ac:dyDescent="0.25">
      <c r="U70" s="19"/>
      <c r="V70" s="19"/>
      <c r="W70" s="19"/>
      <c r="X70" s="19"/>
      <c r="Y70" s="19"/>
      <c r="Z70" s="19"/>
      <c r="AA70" s="19"/>
      <c r="AB70" s="19"/>
      <c r="AC70" s="19"/>
      <c r="AD70" s="19"/>
      <c r="AJ70" s="61"/>
      <c r="AK70" s="59"/>
      <c r="AL70" s="59"/>
    </row>
    <row r="71" spans="21:38" ht="15" x14ac:dyDescent="0.25">
      <c r="U71" s="19"/>
      <c r="V71" s="19"/>
      <c r="W71" s="19"/>
      <c r="X71" s="19"/>
      <c r="Y71" s="19"/>
      <c r="Z71" s="19"/>
      <c r="AA71" s="19"/>
      <c r="AB71" s="19"/>
      <c r="AC71" s="19"/>
      <c r="AD71" s="19"/>
      <c r="AJ71" s="61"/>
      <c r="AK71" s="59"/>
      <c r="AL71" s="59"/>
    </row>
    <row r="72" spans="21:38" ht="15" x14ac:dyDescent="0.25">
      <c r="U72" s="19"/>
      <c r="V72" s="19"/>
      <c r="W72" s="19"/>
      <c r="X72" s="19"/>
      <c r="Y72" s="19"/>
      <c r="Z72" s="19"/>
      <c r="AA72" s="19"/>
      <c r="AB72" s="19"/>
      <c r="AC72" s="19"/>
      <c r="AD72" s="19"/>
      <c r="AJ72" s="61"/>
      <c r="AK72" s="59"/>
      <c r="AL72" s="59"/>
    </row>
    <row r="73" spans="21:38" ht="15" x14ac:dyDescent="0.25">
      <c r="U73" s="19"/>
      <c r="V73" s="19"/>
      <c r="W73" s="19"/>
      <c r="X73" s="19"/>
      <c r="Y73" s="19"/>
      <c r="Z73" s="19"/>
      <c r="AA73" s="19"/>
      <c r="AB73" s="19"/>
      <c r="AC73" s="19"/>
      <c r="AD73" s="19"/>
      <c r="AJ73" s="61"/>
      <c r="AK73" s="59"/>
      <c r="AL73" s="59"/>
    </row>
  </sheetData>
  <mergeCells count="64">
    <mergeCell ref="F1:AB1"/>
    <mergeCell ref="F3:V5"/>
    <mergeCell ref="Y3:AB5"/>
    <mergeCell ref="AD3:AF5"/>
    <mergeCell ref="AS5:AT5"/>
    <mergeCell ref="AD6:AD8"/>
    <mergeCell ref="AE6:AE8"/>
    <mergeCell ref="AF6:AF8"/>
    <mergeCell ref="B7:B14"/>
    <mergeCell ref="F8:F9"/>
    <mergeCell ref="Z9:Z10"/>
    <mergeCell ref="G10:G11"/>
    <mergeCell ref="Y10:Y11"/>
    <mergeCell ref="Z11:Z12"/>
    <mergeCell ref="F12:F14"/>
    <mergeCell ref="B6:D6"/>
    <mergeCell ref="F6:G6"/>
    <mergeCell ref="Y6:Z8"/>
    <mergeCell ref="AA6:AA8"/>
    <mergeCell ref="AB6:AB8"/>
    <mergeCell ref="Y13:Y14"/>
    <mergeCell ref="D14:D16"/>
    <mergeCell ref="G14:G16"/>
    <mergeCell ref="Z16:Z18"/>
    <mergeCell ref="B17:B20"/>
    <mergeCell ref="F18:F20"/>
    <mergeCell ref="D21:D24"/>
    <mergeCell ref="Z21:Z23"/>
    <mergeCell ref="G22:G24"/>
    <mergeCell ref="B25:B28"/>
    <mergeCell ref="F26:F28"/>
    <mergeCell ref="Z26:Z28"/>
    <mergeCell ref="Z34:Z36"/>
    <mergeCell ref="D35:D37"/>
    <mergeCell ref="G35:G37"/>
    <mergeCell ref="B36:B39"/>
    <mergeCell ref="Y36:Y38"/>
    <mergeCell ref="F37:F39"/>
    <mergeCell ref="D38:D41"/>
    <mergeCell ref="Z38:Z40"/>
    <mergeCell ref="G39:G41"/>
    <mergeCell ref="B41:B44"/>
    <mergeCell ref="Y41:Y43"/>
    <mergeCell ref="F42:F44"/>
    <mergeCell ref="D44:D47"/>
    <mergeCell ref="Z44:Z46"/>
    <mergeCell ref="G45:G47"/>
    <mergeCell ref="B47:B50"/>
    <mergeCell ref="D29:D31"/>
    <mergeCell ref="G29:G31"/>
    <mergeCell ref="Y31:Y33"/>
    <mergeCell ref="B32:B34"/>
    <mergeCell ref="F32:F34"/>
    <mergeCell ref="Y47:Y49"/>
    <mergeCell ref="F48:F50"/>
    <mergeCell ref="D49:D52"/>
    <mergeCell ref="Z49:Z51"/>
    <mergeCell ref="G50:G52"/>
    <mergeCell ref="B53:B56"/>
    <mergeCell ref="F54:F56"/>
    <mergeCell ref="Z54:Z56"/>
    <mergeCell ref="D57:D60"/>
    <mergeCell ref="G58:G60"/>
    <mergeCell ref="Z59:Z61"/>
  </mergeCells>
  <pageMargins left="0.25" right="0.25" top="0.75" bottom="0.75" header="0.3" footer="0.3"/>
  <pageSetup paperSize="9" scale="73" orientation="portrait" r:id="rId1"/>
  <headerFooter alignWithMargins="0"/>
  <rowBreaks count="1" manualBreakCount="1">
    <brk id="60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B1:AN73"/>
  <sheetViews>
    <sheetView zoomScaleNormal="100" workbookViewId="0">
      <selection activeCell="AA8" sqref="AA8"/>
    </sheetView>
  </sheetViews>
  <sheetFormatPr defaultRowHeight="12.75" x14ac:dyDescent="0.2"/>
  <cols>
    <col min="1" max="1" width="1.85546875" customWidth="1"/>
    <col min="2" max="2" width="9.140625" style="1" hidden="1" customWidth="1"/>
    <col min="3" max="3" width="3.140625" style="1" hidden="1" customWidth="1"/>
    <col min="4" max="4" width="9.140625" style="1" hidden="1" customWidth="1"/>
    <col min="5" max="5" width="2.140625" style="1" customWidth="1"/>
    <col min="6" max="7" width="9.140625" style="1"/>
    <col min="8" max="8" width="9.140625" style="1" customWidth="1"/>
    <col min="9" max="11" width="10.85546875" style="1" hidden="1" customWidth="1"/>
    <col min="12" max="14" width="9.140625" hidden="1" customWidth="1"/>
    <col min="15" max="15" width="10.85546875" hidden="1" customWidth="1"/>
    <col min="16" max="16" width="8.140625" hidden="1" customWidth="1"/>
    <col min="17" max="17" width="10.85546875" style="15" hidden="1" customWidth="1"/>
    <col min="18" max="21" width="10.85546875" hidden="1" customWidth="1"/>
    <col min="22" max="25" width="11.140625" customWidth="1"/>
    <col min="26" max="26" width="10.42578125" customWidth="1"/>
    <col min="27" max="29" width="11.140625" customWidth="1"/>
    <col min="30" max="30" width="9.140625" customWidth="1"/>
  </cols>
  <sheetData>
    <row r="1" spans="2:40" ht="44.25" customHeight="1" x14ac:dyDescent="0.35">
      <c r="C1" s="16"/>
      <c r="D1" s="16"/>
      <c r="E1" s="16"/>
      <c r="F1" s="234" t="s">
        <v>56</v>
      </c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111"/>
      <c r="Z1" s="111"/>
      <c r="AA1" s="111"/>
      <c r="AB1" s="111"/>
      <c r="AC1" s="95"/>
    </row>
    <row r="2" spans="2:40" ht="7.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</row>
    <row r="3" spans="2:40" ht="16.5" customHeight="1" x14ac:dyDescent="0.2">
      <c r="C3" s="20"/>
      <c r="D3" s="20"/>
      <c r="E3" s="20"/>
      <c r="F3" s="235" t="s">
        <v>75</v>
      </c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112"/>
    </row>
    <row r="4" spans="2:40" ht="16.5" customHeight="1" x14ac:dyDescent="0.2">
      <c r="C4" s="20"/>
      <c r="D4" s="20"/>
      <c r="E4" s="20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112"/>
      <c r="AC4" s="99"/>
    </row>
    <row r="5" spans="2:40" ht="27" customHeight="1" thickBot="1" x14ac:dyDescent="0.25">
      <c r="B5" s="108"/>
      <c r="C5" s="108"/>
      <c r="D5" s="108"/>
      <c r="E5" s="108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112"/>
      <c r="AC5" s="99"/>
      <c r="AJ5" s="238"/>
      <c r="AK5" s="239"/>
    </row>
    <row r="6" spans="2:40" ht="78" customHeight="1" thickBot="1" x14ac:dyDescent="0.25">
      <c r="B6" s="225" t="s">
        <v>57</v>
      </c>
      <c r="C6" s="226"/>
      <c r="D6" s="227"/>
      <c r="E6" s="4"/>
      <c r="F6" s="228" t="s">
        <v>58</v>
      </c>
      <c r="G6" s="229"/>
      <c r="H6" s="22" t="s">
        <v>0</v>
      </c>
      <c r="I6" s="24" t="s">
        <v>1</v>
      </c>
      <c r="J6" s="24" t="s">
        <v>2</v>
      </c>
      <c r="K6" s="24" t="s">
        <v>3</v>
      </c>
      <c r="L6" s="23" t="s">
        <v>20</v>
      </c>
      <c r="M6" s="24" t="s">
        <v>21</v>
      </c>
      <c r="N6" s="24" t="s">
        <v>47</v>
      </c>
      <c r="O6" s="25" t="s">
        <v>49</v>
      </c>
      <c r="P6" s="25" t="s">
        <v>50</v>
      </c>
      <c r="Q6" s="25" t="s">
        <v>48</v>
      </c>
      <c r="R6" s="25" t="s">
        <v>53</v>
      </c>
      <c r="S6" s="26" t="s">
        <v>52</v>
      </c>
      <c r="T6" s="26" t="s">
        <v>51</v>
      </c>
      <c r="U6" s="54" t="s">
        <v>54</v>
      </c>
      <c r="V6" s="55" t="s">
        <v>72</v>
      </c>
      <c r="W6" s="100" t="s">
        <v>74</v>
      </c>
      <c r="X6" s="109"/>
      <c r="AC6" s="96"/>
      <c r="AD6" s="60"/>
      <c r="AE6" s="64"/>
      <c r="AF6" s="64"/>
      <c r="AJ6" s="93"/>
      <c r="AK6" s="93"/>
      <c r="AM6" s="93"/>
      <c r="AN6" s="93"/>
    </row>
    <row r="7" spans="2:40" ht="15.75" customHeight="1" thickBot="1" x14ac:dyDescent="0.25">
      <c r="B7" s="196" t="s">
        <v>4</v>
      </c>
      <c r="C7" s="40"/>
      <c r="D7" s="41"/>
      <c r="E7" s="52"/>
      <c r="F7" s="6"/>
      <c r="G7" s="10"/>
      <c r="H7" s="17" t="s">
        <v>40</v>
      </c>
      <c r="I7" s="27">
        <v>12438</v>
      </c>
      <c r="J7" s="27">
        <v>12780</v>
      </c>
      <c r="K7" s="27">
        <v>13158</v>
      </c>
      <c r="L7" s="18">
        <v>13545</v>
      </c>
      <c r="M7" s="27">
        <v>14010</v>
      </c>
      <c r="N7" s="27">
        <v>14517</v>
      </c>
      <c r="O7" s="28">
        <v>14697</v>
      </c>
      <c r="P7" s="28"/>
      <c r="Q7" s="28">
        <v>14844</v>
      </c>
      <c r="R7" s="28" t="s">
        <v>46</v>
      </c>
      <c r="S7" s="29" t="s">
        <v>46</v>
      </c>
      <c r="T7" s="29" t="s">
        <v>46</v>
      </c>
      <c r="U7" s="37" t="s">
        <v>46</v>
      </c>
      <c r="V7" s="56" t="s">
        <v>46</v>
      </c>
      <c r="W7" s="53" t="s">
        <v>46</v>
      </c>
      <c r="X7" s="63"/>
      <c r="AC7" s="96"/>
      <c r="AJ7" s="94"/>
      <c r="AK7" s="94"/>
      <c r="AM7" s="94"/>
      <c r="AN7" s="94"/>
    </row>
    <row r="8" spans="2:40" ht="12.75" customHeight="1" x14ac:dyDescent="0.2">
      <c r="B8" s="196"/>
      <c r="C8" s="40"/>
      <c r="D8" s="41"/>
      <c r="E8" s="52"/>
      <c r="F8" s="198" t="s">
        <v>22</v>
      </c>
      <c r="G8" s="10"/>
      <c r="H8" s="13" t="s">
        <v>55</v>
      </c>
      <c r="I8" s="30">
        <v>12654</v>
      </c>
      <c r="J8" s="30">
        <v>13002</v>
      </c>
      <c r="K8" s="30">
        <v>13386</v>
      </c>
      <c r="L8" s="2">
        <v>13782</v>
      </c>
      <c r="M8" s="30">
        <v>14124</v>
      </c>
      <c r="N8" s="30">
        <v>14631</v>
      </c>
      <c r="O8" s="31">
        <v>14814</v>
      </c>
      <c r="P8" s="31"/>
      <c r="Q8" s="31">
        <v>14961</v>
      </c>
      <c r="R8" s="31">
        <v>16242</v>
      </c>
      <c r="S8" s="32">
        <v>325</v>
      </c>
      <c r="T8" s="32">
        <v>0</v>
      </c>
      <c r="U8" s="38" t="s">
        <v>46</v>
      </c>
      <c r="V8" s="57" t="s">
        <v>46</v>
      </c>
      <c r="W8" s="32" t="s">
        <v>46</v>
      </c>
      <c r="X8" s="63"/>
      <c r="AC8" s="96"/>
      <c r="AJ8" s="94"/>
      <c r="AK8" s="94"/>
      <c r="AM8" s="94"/>
      <c r="AN8" s="94"/>
    </row>
    <row r="9" spans="2:40" ht="13.5" thickBot="1" x14ac:dyDescent="0.25">
      <c r="B9" s="196"/>
      <c r="C9" s="40"/>
      <c r="D9" s="41"/>
      <c r="E9" s="52"/>
      <c r="F9" s="200"/>
      <c r="G9" s="11"/>
      <c r="H9" s="13">
        <v>6</v>
      </c>
      <c r="I9" s="30">
        <v>12765</v>
      </c>
      <c r="J9" s="30">
        <v>13116</v>
      </c>
      <c r="K9" s="30">
        <v>13503</v>
      </c>
      <c r="L9" s="2">
        <v>13902</v>
      </c>
      <c r="M9" s="30">
        <v>14247</v>
      </c>
      <c r="N9" s="30">
        <v>14757</v>
      </c>
      <c r="O9" s="31">
        <v>14940</v>
      </c>
      <c r="P9" s="31"/>
      <c r="Q9" s="31">
        <v>15090</v>
      </c>
      <c r="R9" s="31">
        <v>16287</v>
      </c>
      <c r="S9" s="32">
        <v>325</v>
      </c>
      <c r="T9" s="32">
        <v>0</v>
      </c>
      <c r="U9" s="38">
        <v>17364</v>
      </c>
      <c r="V9" s="57">
        <v>17961</v>
      </c>
      <c r="W9" s="32">
        <v>19611</v>
      </c>
      <c r="X9" s="63"/>
      <c r="AC9" s="97"/>
      <c r="AD9" s="62"/>
      <c r="AJ9" s="94"/>
      <c r="AK9" s="94"/>
      <c r="AM9" s="94"/>
      <c r="AN9" s="94"/>
    </row>
    <row r="10" spans="2:40" ht="12.75" customHeight="1" x14ac:dyDescent="0.2">
      <c r="B10" s="196"/>
      <c r="C10" s="40"/>
      <c r="D10" s="41"/>
      <c r="E10" s="52"/>
      <c r="F10" s="7"/>
      <c r="G10" s="207" t="s">
        <v>23</v>
      </c>
      <c r="H10" s="13">
        <v>7</v>
      </c>
      <c r="I10" s="30">
        <v>13107</v>
      </c>
      <c r="J10" s="30">
        <v>13467</v>
      </c>
      <c r="K10" s="30">
        <v>13863</v>
      </c>
      <c r="L10" s="2">
        <v>14271</v>
      </c>
      <c r="M10" s="30">
        <v>14625</v>
      </c>
      <c r="N10" s="30">
        <v>15027</v>
      </c>
      <c r="O10" s="31">
        <v>15216</v>
      </c>
      <c r="P10" s="31"/>
      <c r="Q10" s="31">
        <v>15369</v>
      </c>
      <c r="R10" s="31">
        <v>16320</v>
      </c>
      <c r="S10" s="32">
        <v>325</v>
      </c>
      <c r="T10" s="32">
        <v>0</v>
      </c>
      <c r="U10" s="38">
        <v>17391</v>
      </c>
      <c r="V10" s="57">
        <v>17985</v>
      </c>
      <c r="W10" s="32">
        <v>19635</v>
      </c>
      <c r="X10" s="63"/>
      <c r="AC10" s="97"/>
      <c r="AD10" s="62"/>
      <c r="AJ10" s="94"/>
      <c r="AK10" s="94"/>
      <c r="AM10" s="94"/>
      <c r="AN10" s="94"/>
    </row>
    <row r="11" spans="2:40" ht="13.5" thickBot="1" x14ac:dyDescent="0.25">
      <c r="B11" s="196"/>
      <c r="C11" s="40"/>
      <c r="D11" s="41"/>
      <c r="E11" s="52"/>
      <c r="F11" s="8"/>
      <c r="G11" s="211"/>
      <c r="H11" s="13">
        <v>8</v>
      </c>
      <c r="I11" s="30">
        <v>13449</v>
      </c>
      <c r="J11" s="30">
        <v>13818</v>
      </c>
      <c r="K11" s="30">
        <v>14226</v>
      </c>
      <c r="L11" s="2">
        <v>14646</v>
      </c>
      <c r="M11" s="30">
        <v>15009</v>
      </c>
      <c r="N11" s="30">
        <v>15423</v>
      </c>
      <c r="O11" s="31">
        <v>15615</v>
      </c>
      <c r="P11" s="31"/>
      <c r="Q11" s="31">
        <v>15771</v>
      </c>
      <c r="R11" s="31">
        <v>16422</v>
      </c>
      <c r="S11" s="32">
        <v>150</v>
      </c>
      <c r="T11" s="32">
        <v>0</v>
      </c>
      <c r="U11" s="38">
        <v>17487</v>
      </c>
      <c r="V11" s="57">
        <v>18051</v>
      </c>
      <c r="W11" s="32">
        <v>19701</v>
      </c>
      <c r="X11" s="63"/>
      <c r="AC11" s="97"/>
      <c r="AD11" s="62"/>
      <c r="AJ11" s="94"/>
      <c r="AK11" s="94"/>
      <c r="AM11" s="94"/>
      <c r="AN11" s="94"/>
    </row>
    <row r="12" spans="2:40" x14ac:dyDescent="0.2">
      <c r="B12" s="196"/>
      <c r="C12" s="40"/>
      <c r="D12" s="41"/>
      <c r="E12" s="52"/>
      <c r="F12" s="198" t="s">
        <v>24</v>
      </c>
      <c r="G12" s="10"/>
      <c r="H12" s="13">
        <v>9</v>
      </c>
      <c r="I12" s="30">
        <v>13788</v>
      </c>
      <c r="J12" s="30">
        <v>14166</v>
      </c>
      <c r="K12" s="30">
        <v>14583</v>
      </c>
      <c r="L12" s="2">
        <v>15012</v>
      </c>
      <c r="M12" s="30">
        <v>15384</v>
      </c>
      <c r="N12" s="30">
        <v>15807</v>
      </c>
      <c r="O12" s="31">
        <v>16005</v>
      </c>
      <c r="P12" s="31"/>
      <c r="Q12" s="31">
        <v>16164</v>
      </c>
      <c r="R12" s="31">
        <v>16575</v>
      </c>
      <c r="S12" s="32">
        <v>150</v>
      </c>
      <c r="T12" s="32">
        <v>0</v>
      </c>
      <c r="U12" s="38">
        <v>17634</v>
      </c>
      <c r="V12" s="57">
        <v>18105</v>
      </c>
      <c r="W12" s="32">
        <v>19755</v>
      </c>
      <c r="X12" s="63"/>
      <c r="AC12" s="97"/>
      <c r="AD12" s="62"/>
      <c r="AJ12" s="94"/>
      <c r="AK12" s="94"/>
      <c r="AM12" s="94"/>
      <c r="AN12" s="94"/>
    </row>
    <row r="13" spans="2:40" ht="13.5" thickBot="1" x14ac:dyDescent="0.25">
      <c r="B13" s="196"/>
      <c r="C13" s="40"/>
      <c r="D13" s="41"/>
      <c r="E13" s="52"/>
      <c r="F13" s="199"/>
      <c r="G13" s="11"/>
      <c r="H13" s="13">
        <v>10</v>
      </c>
      <c r="I13" s="30">
        <v>14028</v>
      </c>
      <c r="J13" s="30">
        <v>14415</v>
      </c>
      <c r="K13" s="30">
        <v>14841</v>
      </c>
      <c r="L13" s="2">
        <v>15279</v>
      </c>
      <c r="M13" s="30">
        <v>15657</v>
      </c>
      <c r="N13" s="30">
        <v>16089</v>
      </c>
      <c r="O13" s="31">
        <v>16290</v>
      </c>
      <c r="P13" s="31"/>
      <c r="Q13" s="31">
        <v>16452</v>
      </c>
      <c r="R13" s="31">
        <v>16833</v>
      </c>
      <c r="S13" s="32">
        <v>150</v>
      </c>
      <c r="T13" s="32">
        <v>0</v>
      </c>
      <c r="U13" s="38">
        <v>17889</v>
      </c>
      <c r="V13" s="57">
        <v>18330</v>
      </c>
      <c r="W13" s="32">
        <v>19881</v>
      </c>
      <c r="X13" s="63"/>
      <c r="AC13" s="97"/>
      <c r="AD13" s="62"/>
      <c r="AJ13" s="94"/>
      <c r="AK13" s="94"/>
      <c r="AM13" s="94"/>
      <c r="AN13" s="94"/>
    </row>
    <row r="14" spans="2:40" ht="13.5" customHeight="1" thickBot="1" x14ac:dyDescent="0.25">
      <c r="B14" s="197"/>
      <c r="C14" s="42"/>
      <c r="D14" s="204" t="s">
        <v>5</v>
      </c>
      <c r="E14" s="52"/>
      <c r="F14" s="200"/>
      <c r="G14" s="207" t="s">
        <v>25</v>
      </c>
      <c r="H14" s="13">
        <v>11</v>
      </c>
      <c r="I14" s="30">
        <v>14232</v>
      </c>
      <c r="J14" s="30">
        <v>14622</v>
      </c>
      <c r="K14" s="30">
        <v>15054</v>
      </c>
      <c r="L14" s="2">
        <v>15498</v>
      </c>
      <c r="M14" s="30">
        <v>15882</v>
      </c>
      <c r="N14" s="30">
        <v>16320</v>
      </c>
      <c r="O14" s="31">
        <v>16482</v>
      </c>
      <c r="P14" s="31"/>
      <c r="Q14" s="31">
        <v>16647</v>
      </c>
      <c r="R14" s="31">
        <v>17013</v>
      </c>
      <c r="S14" s="32">
        <v>100</v>
      </c>
      <c r="T14" s="32">
        <v>0</v>
      </c>
      <c r="U14" s="38">
        <v>17935</v>
      </c>
      <c r="V14" s="57">
        <v>18357</v>
      </c>
      <c r="W14" s="32">
        <v>19896</v>
      </c>
      <c r="X14" s="63"/>
      <c r="AC14" s="97"/>
      <c r="AD14" s="62"/>
      <c r="AJ14" s="94"/>
      <c r="AK14" s="94"/>
      <c r="AM14" s="94"/>
      <c r="AN14" s="94"/>
    </row>
    <row r="15" spans="2:40" x14ac:dyDescent="0.2">
      <c r="B15" s="43"/>
      <c r="C15" s="44"/>
      <c r="D15" s="205"/>
      <c r="E15" s="52"/>
      <c r="F15" s="7"/>
      <c r="G15" s="208"/>
      <c r="H15" s="13">
        <v>12</v>
      </c>
      <c r="I15" s="30">
        <v>14502</v>
      </c>
      <c r="J15" s="30">
        <v>14901</v>
      </c>
      <c r="K15" s="30">
        <v>15342</v>
      </c>
      <c r="L15" s="2">
        <v>15795</v>
      </c>
      <c r="M15" s="30">
        <v>16185</v>
      </c>
      <c r="N15" s="30">
        <v>16629</v>
      </c>
      <c r="O15" s="31">
        <v>16794</v>
      </c>
      <c r="P15" s="31"/>
      <c r="Q15" s="31">
        <v>16962</v>
      </c>
      <c r="R15" s="31">
        <v>17334</v>
      </c>
      <c r="S15" s="32">
        <v>100</v>
      </c>
      <c r="T15" s="32">
        <v>0</v>
      </c>
      <c r="U15" s="38">
        <v>17981</v>
      </c>
      <c r="V15" s="57">
        <v>18375</v>
      </c>
      <c r="W15" s="32">
        <v>19914</v>
      </c>
      <c r="X15" s="63"/>
      <c r="AC15" s="97"/>
      <c r="AD15" s="62"/>
      <c r="AJ15" s="94"/>
      <c r="AK15" s="94"/>
      <c r="AM15" s="94"/>
      <c r="AN15" s="94"/>
    </row>
    <row r="16" spans="2:40" ht="13.5" thickBot="1" x14ac:dyDescent="0.25">
      <c r="B16" s="43"/>
      <c r="C16" s="44"/>
      <c r="D16" s="210"/>
      <c r="E16" s="52"/>
      <c r="F16" s="7"/>
      <c r="G16" s="211"/>
      <c r="H16" s="13">
        <v>13</v>
      </c>
      <c r="I16" s="30">
        <v>14850</v>
      </c>
      <c r="J16" s="30">
        <v>15258</v>
      </c>
      <c r="K16" s="30">
        <v>15708</v>
      </c>
      <c r="L16" s="2">
        <v>16170</v>
      </c>
      <c r="M16" s="30">
        <v>16569</v>
      </c>
      <c r="N16" s="30">
        <v>17025</v>
      </c>
      <c r="O16" s="31">
        <v>17196</v>
      </c>
      <c r="P16" s="31"/>
      <c r="Q16" s="31">
        <v>17367</v>
      </c>
      <c r="R16" s="31">
        <v>17748</v>
      </c>
      <c r="S16" s="32">
        <v>100</v>
      </c>
      <c r="T16" s="32">
        <v>0</v>
      </c>
      <c r="U16" s="38">
        <v>18027</v>
      </c>
      <c r="V16" s="57">
        <v>18396</v>
      </c>
      <c r="W16" s="32">
        <v>19935</v>
      </c>
      <c r="X16" s="63"/>
      <c r="AC16" s="97"/>
      <c r="AD16" s="62"/>
      <c r="AJ16" s="94"/>
      <c r="AK16" s="94"/>
      <c r="AM16" s="94"/>
      <c r="AN16" s="94"/>
    </row>
    <row r="17" spans="2:40" ht="13.5" thickBot="1" x14ac:dyDescent="0.25">
      <c r="B17" s="195" t="s">
        <v>6</v>
      </c>
      <c r="C17" s="40"/>
      <c r="D17" s="41"/>
      <c r="E17" s="52"/>
      <c r="F17" s="8"/>
      <c r="G17" s="10"/>
      <c r="H17" s="13" t="s">
        <v>41</v>
      </c>
      <c r="I17" s="30">
        <v>15096</v>
      </c>
      <c r="J17" s="30">
        <v>15510</v>
      </c>
      <c r="K17" s="30">
        <v>15969</v>
      </c>
      <c r="L17" s="2">
        <v>16440</v>
      </c>
      <c r="M17" s="30">
        <v>16848</v>
      </c>
      <c r="N17" s="30">
        <v>17310</v>
      </c>
      <c r="O17" s="31">
        <v>17484</v>
      </c>
      <c r="P17" s="31"/>
      <c r="Q17" s="31">
        <v>17658</v>
      </c>
      <c r="R17" s="31">
        <v>18045</v>
      </c>
      <c r="S17" s="32">
        <v>100</v>
      </c>
      <c r="T17" s="32">
        <v>0</v>
      </c>
      <c r="U17" s="38">
        <v>18324</v>
      </c>
      <c r="V17" s="57">
        <v>18657</v>
      </c>
      <c r="W17" s="101">
        <v>20007</v>
      </c>
      <c r="X17" s="110"/>
      <c r="AC17" s="97"/>
      <c r="AD17" s="62"/>
      <c r="AJ17" s="94"/>
      <c r="AK17" s="94"/>
      <c r="AM17" s="94"/>
      <c r="AN17" s="94"/>
    </row>
    <row r="18" spans="2:40" x14ac:dyDescent="0.2">
      <c r="B18" s="196"/>
      <c r="C18" s="40"/>
      <c r="D18" s="41"/>
      <c r="E18" s="52"/>
      <c r="F18" s="198" t="s">
        <v>26</v>
      </c>
      <c r="G18" s="10"/>
      <c r="H18" s="13">
        <v>15</v>
      </c>
      <c r="I18" s="30">
        <v>15378</v>
      </c>
      <c r="J18" s="30">
        <v>15801</v>
      </c>
      <c r="K18" s="30">
        <v>16266</v>
      </c>
      <c r="L18" s="2">
        <v>16746</v>
      </c>
      <c r="M18" s="30">
        <v>17160</v>
      </c>
      <c r="N18" s="30">
        <v>17631</v>
      </c>
      <c r="O18" s="31">
        <v>17808</v>
      </c>
      <c r="P18" s="31"/>
      <c r="Q18" s="31">
        <v>17985</v>
      </c>
      <c r="R18" s="31">
        <v>18381</v>
      </c>
      <c r="S18" s="32">
        <v>100</v>
      </c>
      <c r="T18" s="32">
        <v>0</v>
      </c>
      <c r="U18" s="38">
        <v>18603</v>
      </c>
      <c r="V18" s="57">
        <v>18936</v>
      </c>
      <c r="W18" s="32">
        <v>20136</v>
      </c>
      <c r="X18" s="63"/>
      <c r="AC18" s="97"/>
      <c r="AD18" s="62"/>
      <c r="AJ18" s="94"/>
      <c r="AK18" s="94"/>
      <c r="AM18" s="94"/>
      <c r="AN18" s="94"/>
    </row>
    <row r="19" spans="2:40" x14ac:dyDescent="0.2">
      <c r="B19" s="196"/>
      <c r="C19" s="40"/>
      <c r="D19" s="41"/>
      <c r="E19" s="52"/>
      <c r="F19" s="199"/>
      <c r="G19" s="10"/>
      <c r="H19" s="13">
        <v>16</v>
      </c>
      <c r="I19" s="30">
        <v>15711</v>
      </c>
      <c r="J19" s="30">
        <v>16143</v>
      </c>
      <c r="K19" s="30">
        <v>16620</v>
      </c>
      <c r="L19" s="2">
        <v>17109</v>
      </c>
      <c r="M19" s="30">
        <v>17532</v>
      </c>
      <c r="N19" s="30">
        <v>18015</v>
      </c>
      <c r="O19" s="31">
        <v>18195</v>
      </c>
      <c r="P19" s="31"/>
      <c r="Q19" s="31">
        <v>18378</v>
      </c>
      <c r="R19" s="31">
        <v>18783</v>
      </c>
      <c r="S19" s="32">
        <v>100</v>
      </c>
      <c r="T19" s="32">
        <v>0</v>
      </c>
      <c r="U19" s="38">
        <v>19005</v>
      </c>
      <c r="V19" s="57">
        <v>19281</v>
      </c>
      <c r="W19" s="32">
        <v>20181</v>
      </c>
      <c r="X19" s="63"/>
      <c r="AC19" s="98"/>
      <c r="AD19" s="62"/>
      <c r="AJ19" s="94"/>
      <c r="AK19" s="94"/>
      <c r="AM19" s="94"/>
      <c r="AN19" s="94"/>
    </row>
    <row r="20" spans="2:40" ht="13.5" thickBot="1" x14ac:dyDescent="0.25">
      <c r="B20" s="197"/>
      <c r="C20" s="40"/>
      <c r="D20" s="45"/>
      <c r="E20" s="52"/>
      <c r="F20" s="200"/>
      <c r="G20" s="10"/>
      <c r="H20" s="13">
        <v>17</v>
      </c>
      <c r="I20" s="30">
        <v>16047</v>
      </c>
      <c r="J20" s="30">
        <v>16488</v>
      </c>
      <c r="K20" s="30">
        <v>16974</v>
      </c>
      <c r="L20" s="2">
        <v>17475</v>
      </c>
      <c r="M20" s="30">
        <v>17907</v>
      </c>
      <c r="N20" s="30">
        <v>18399</v>
      </c>
      <c r="O20" s="31">
        <v>18582</v>
      </c>
      <c r="P20" s="31"/>
      <c r="Q20" s="31">
        <v>18768</v>
      </c>
      <c r="R20" s="31">
        <v>19182</v>
      </c>
      <c r="S20" s="32">
        <v>100</v>
      </c>
      <c r="T20" s="32">
        <v>0</v>
      </c>
      <c r="U20" s="38">
        <v>19374</v>
      </c>
      <c r="V20" s="57">
        <v>19623</v>
      </c>
      <c r="W20" s="32">
        <v>20472</v>
      </c>
      <c r="X20" s="63"/>
      <c r="AC20" s="98"/>
      <c r="AD20" s="62"/>
      <c r="AJ20" s="94"/>
      <c r="AK20" s="94"/>
      <c r="AM20" s="94"/>
      <c r="AN20" s="94"/>
    </row>
    <row r="21" spans="2:40" ht="14.25" customHeight="1" thickBot="1" x14ac:dyDescent="0.25">
      <c r="B21" s="43"/>
      <c r="C21" s="44"/>
      <c r="D21" s="204" t="s">
        <v>7</v>
      </c>
      <c r="E21" s="52"/>
      <c r="F21" s="7"/>
      <c r="G21" s="11"/>
      <c r="H21" s="13" t="s">
        <v>42</v>
      </c>
      <c r="I21" s="30">
        <v>16332</v>
      </c>
      <c r="J21" s="30">
        <v>16782</v>
      </c>
      <c r="K21" s="30">
        <v>17277</v>
      </c>
      <c r="L21" s="2">
        <v>17787</v>
      </c>
      <c r="M21" s="30">
        <v>18228</v>
      </c>
      <c r="N21" s="30">
        <v>18729</v>
      </c>
      <c r="O21" s="31">
        <v>18915</v>
      </c>
      <c r="P21" s="31"/>
      <c r="Q21" s="31">
        <v>19104</v>
      </c>
      <c r="R21" s="31">
        <v>19524</v>
      </c>
      <c r="S21" s="32">
        <v>100</v>
      </c>
      <c r="T21" s="32">
        <v>0</v>
      </c>
      <c r="U21" s="38">
        <v>19719</v>
      </c>
      <c r="V21" s="57">
        <v>19917</v>
      </c>
      <c r="W21" s="101">
        <v>20667</v>
      </c>
      <c r="X21" s="110"/>
      <c r="AC21" s="97"/>
      <c r="AD21" s="62"/>
      <c r="AJ21" s="94"/>
      <c r="AK21" s="94"/>
      <c r="AM21" s="94"/>
      <c r="AN21" s="94"/>
    </row>
    <row r="22" spans="2:40" x14ac:dyDescent="0.2">
      <c r="B22" s="43"/>
      <c r="C22" s="44"/>
      <c r="D22" s="205"/>
      <c r="E22" s="52"/>
      <c r="F22" s="7"/>
      <c r="G22" s="207" t="s">
        <v>27</v>
      </c>
      <c r="H22" s="13">
        <v>19</v>
      </c>
      <c r="I22" s="30">
        <v>16887</v>
      </c>
      <c r="J22" s="30">
        <v>17352</v>
      </c>
      <c r="K22" s="30">
        <v>17865</v>
      </c>
      <c r="L22" s="2">
        <v>18393</v>
      </c>
      <c r="M22" s="30">
        <v>18849</v>
      </c>
      <c r="N22" s="30">
        <v>19368</v>
      </c>
      <c r="O22" s="31">
        <v>19563</v>
      </c>
      <c r="P22" s="31"/>
      <c r="Q22" s="31">
        <v>19758</v>
      </c>
      <c r="R22" s="31">
        <v>20193</v>
      </c>
      <c r="S22" s="32">
        <v>100</v>
      </c>
      <c r="T22" s="32">
        <v>0</v>
      </c>
      <c r="U22" s="38">
        <v>20394</v>
      </c>
      <c r="V22" s="57">
        <v>20598</v>
      </c>
      <c r="W22" s="32">
        <v>21198</v>
      </c>
      <c r="X22" s="63"/>
      <c r="AC22" s="97"/>
      <c r="AD22" s="62"/>
      <c r="AJ22" s="94"/>
      <c r="AK22" s="94"/>
      <c r="AM22" s="94"/>
      <c r="AN22" s="94"/>
    </row>
    <row r="23" spans="2:40" x14ac:dyDescent="0.2">
      <c r="B23" s="43"/>
      <c r="C23" s="44"/>
      <c r="D23" s="205"/>
      <c r="E23" s="52"/>
      <c r="F23" s="7"/>
      <c r="G23" s="208"/>
      <c r="H23" s="13">
        <v>20</v>
      </c>
      <c r="I23" s="30">
        <v>17448</v>
      </c>
      <c r="J23" s="30">
        <v>17928</v>
      </c>
      <c r="K23" s="30">
        <v>18456</v>
      </c>
      <c r="L23" s="2">
        <v>18999</v>
      </c>
      <c r="M23" s="30">
        <v>19470</v>
      </c>
      <c r="N23" s="30">
        <v>20004</v>
      </c>
      <c r="O23" s="31">
        <v>20205</v>
      </c>
      <c r="P23" s="31"/>
      <c r="Q23" s="31">
        <v>20406</v>
      </c>
      <c r="R23" s="31">
        <v>20856</v>
      </c>
      <c r="S23" s="32">
        <v>100</v>
      </c>
      <c r="T23" s="32">
        <v>0</v>
      </c>
      <c r="U23" s="38">
        <v>21066</v>
      </c>
      <c r="V23" s="57">
        <v>21276</v>
      </c>
      <c r="W23" s="32">
        <v>21702</v>
      </c>
      <c r="X23" s="63"/>
      <c r="AC23" s="97"/>
      <c r="AD23" s="62"/>
      <c r="AJ23" s="94"/>
      <c r="AK23" s="94"/>
      <c r="AM23" s="94"/>
      <c r="AN23" s="94"/>
    </row>
    <row r="24" spans="2:40" ht="13.5" thickBot="1" x14ac:dyDescent="0.25">
      <c r="B24" s="43"/>
      <c r="C24" s="44"/>
      <c r="D24" s="210"/>
      <c r="E24" s="52"/>
      <c r="F24" s="7"/>
      <c r="G24" s="211"/>
      <c r="H24" s="13">
        <v>21</v>
      </c>
      <c r="I24" s="30">
        <v>18027</v>
      </c>
      <c r="J24" s="30">
        <v>18522</v>
      </c>
      <c r="K24" s="30">
        <v>19068</v>
      </c>
      <c r="L24" s="2">
        <v>19632</v>
      </c>
      <c r="M24" s="30">
        <v>20118</v>
      </c>
      <c r="N24" s="30">
        <v>20670</v>
      </c>
      <c r="O24" s="31">
        <v>20877</v>
      </c>
      <c r="P24" s="31"/>
      <c r="Q24" s="31">
        <v>21087</v>
      </c>
      <c r="R24" s="31">
        <v>21552</v>
      </c>
      <c r="S24" s="32">
        <v>100</v>
      </c>
      <c r="T24" s="32">
        <v>0</v>
      </c>
      <c r="U24" s="38">
        <v>21768</v>
      </c>
      <c r="V24" s="57">
        <v>21984</v>
      </c>
      <c r="W24" s="32">
        <v>22425</v>
      </c>
      <c r="X24" s="63"/>
      <c r="AC24" s="98"/>
      <c r="AD24" s="62"/>
      <c r="AJ24" s="94"/>
      <c r="AK24" s="94"/>
      <c r="AM24" s="94"/>
      <c r="AN24" s="94"/>
    </row>
    <row r="25" spans="2:40" ht="14.25" customHeight="1" thickBot="1" x14ac:dyDescent="0.25">
      <c r="B25" s="195" t="s">
        <v>8</v>
      </c>
      <c r="C25" s="46"/>
      <c r="D25" s="47"/>
      <c r="E25" s="52"/>
      <c r="F25" s="8"/>
      <c r="G25" s="10"/>
      <c r="H25" s="13" t="s">
        <v>43</v>
      </c>
      <c r="I25" s="30">
        <v>18456</v>
      </c>
      <c r="J25" s="30">
        <v>18963</v>
      </c>
      <c r="K25" s="30">
        <v>19521</v>
      </c>
      <c r="L25" s="2">
        <v>20097</v>
      </c>
      <c r="M25" s="30">
        <v>20595</v>
      </c>
      <c r="N25" s="30">
        <v>21162</v>
      </c>
      <c r="O25" s="31">
        <v>21375</v>
      </c>
      <c r="P25" s="31"/>
      <c r="Q25" s="31">
        <v>21588</v>
      </c>
      <c r="R25" s="31">
        <v>22062</v>
      </c>
      <c r="S25" s="32">
        <v>100</v>
      </c>
      <c r="T25" s="32">
        <v>0</v>
      </c>
      <c r="U25" s="38">
        <v>22284</v>
      </c>
      <c r="V25" s="57">
        <v>22506</v>
      </c>
      <c r="W25" s="101">
        <v>22956</v>
      </c>
      <c r="X25" s="110"/>
      <c r="AC25" s="98"/>
      <c r="AD25" s="62"/>
    </row>
    <row r="26" spans="2:40" x14ac:dyDescent="0.2">
      <c r="B26" s="196"/>
      <c r="C26" s="46"/>
      <c r="D26" s="47"/>
      <c r="E26" s="52"/>
      <c r="F26" s="198" t="s">
        <v>28</v>
      </c>
      <c r="G26" s="10"/>
      <c r="H26" s="13">
        <v>23</v>
      </c>
      <c r="I26" s="30">
        <v>18954</v>
      </c>
      <c r="J26" s="30">
        <v>19476</v>
      </c>
      <c r="K26" s="30">
        <v>20052</v>
      </c>
      <c r="L26" s="2">
        <v>20643</v>
      </c>
      <c r="M26" s="30">
        <v>21153</v>
      </c>
      <c r="N26" s="30">
        <v>21735</v>
      </c>
      <c r="O26" s="31">
        <v>21951</v>
      </c>
      <c r="P26" s="31"/>
      <c r="Q26" s="31">
        <v>22170</v>
      </c>
      <c r="R26" s="31">
        <v>22659</v>
      </c>
      <c r="S26" s="32">
        <v>100</v>
      </c>
      <c r="T26" s="32">
        <v>0</v>
      </c>
      <c r="U26" s="38">
        <v>22887</v>
      </c>
      <c r="V26" s="57">
        <v>23115</v>
      </c>
      <c r="W26" s="32">
        <v>23577</v>
      </c>
      <c r="X26" s="63"/>
      <c r="AC26" s="97"/>
      <c r="AD26" s="62"/>
    </row>
    <row r="27" spans="2:40" x14ac:dyDescent="0.2">
      <c r="B27" s="196"/>
      <c r="C27" s="46"/>
      <c r="D27" s="47"/>
      <c r="E27" s="52"/>
      <c r="F27" s="199"/>
      <c r="G27" s="10"/>
      <c r="H27" s="13">
        <v>24</v>
      </c>
      <c r="I27" s="30">
        <v>19521</v>
      </c>
      <c r="J27" s="30">
        <v>20058</v>
      </c>
      <c r="K27" s="30">
        <v>20649</v>
      </c>
      <c r="L27" s="2">
        <v>21258</v>
      </c>
      <c r="M27" s="30">
        <v>21783</v>
      </c>
      <c r="N27" s="30">
        <v>22383</v>
      </c>
      <c r="O27" s="31">
        <v>22608</v>
      </c>
      <c r="P27" s="31"/>
      <c r="Q27" s="31">
        <v>22833</v>
      </c>
      <c r="R27" s="31">
        <v>23334</v>
      </c>
      <c r="S27" s="32">
        <v>100</v>
      </c>
      <c r="T27" s="32">
        <v>3</v>
      </c>
      <c r="U27" s="38">
        <v>23568</v>
      </c>
      <c r="V27" s="57">
        <v>23802</v>
      </c>
      <c r="W27" s="32">
        <v>24279</v>
      </c>
      <c r="X27" s="63"/>
      <c r="AC27" s="97"/>
      <c r="AD27" s="62"/>
    </row>
    <row r="28" spans="2:40" ht="13.5" thickBot="1" x14ac:dyDescent="0.25">
      <c r="B28" s="197"/>
      <c r="C28" s="46"/>
      <c r="D28" s="47"/>
      <c r="E28" s="52"/>
      <c r="F28" s="200"/>
      <c r="G28" s="12"/>
      <c r="H28" s="13">
        <v>25</v>
      </c>
      <c r="I28" s="30">
        <v>20097</v>
      </c>
      <c r="J28" s="30">
        <v>20649</v>
      </c>
      <c r="K28" s="30">
        <v>21258</v>
      </c>
      <c r="L28" s="2">
        <v>21885</v>
      </c>
      <c r="M28" s="30">
        <v>22428</v>
      </c>
      <c r="N28" s="30">
        <v>23046</v>
      </c>
      <c r="O28" s="31">
        <v>23277</v>
      </c>
      <c r="P28" s="31"/>
      <c r="Q28" s="31">
        <v>23511</v>
      </c>
      <c r="R28" s="31">
        <v>24027</v>
      </c>
      <c r="S28" s="32">
        <v>100</v>
      </c>
      <c r="T28" s="32">
        <v>6</v>
      </c>
      <c r="U28" s="38">
        <v>24267</v>
      </c>
      <c r="V28" s="57">
        <v>24510</v>
      </c>
      <c r="W28" s="32">
        <v>24999</v>
      </c>
      <c r="X28" s="63"/>
      <c r="AC28" s="97"/>
      <c r="AD28" s="62"/>
    </row>
    <row r="29" spans="2:40" ht="14.25" customHeight="1" x14ac:dyDescent="0.2">
      <c r="B29" s="43"/>
      <c r="C29" s="44"/>
      <c r="D29" s="204" t="s">
        <v>9</v>
      </c>
      <c r="E29" s="52"/>
      <c r="F29" s="7"/>
      <c r="G29" s="201" t="s">
        <v>29</v>
      </c>
      <c r="H29" s="13">
        <v>26</v>
      </c>
      <c r="I29" s="30">
        <v>20697</v>
      </c>
      <c r="J29" s="30">
        <v>21267</v>
      </c>
      <c r="K29" s="30">
        <v>21894</v>
      </c>
      <c r="L29" s="2">
        <v>22539</v>
      </c>
      <c r="M29" s="30">
        <v>23097</v>
      </c>
      <c r="N29" s="30">
        <v>23733</v>
      </c>
      <c r="O29" s="31">
        <v>23970</v>
      </c>
      <c r="P29" s="31"/>
      <c r="Q29" s="31">
        <v>24210</v>
      </c>
      <c r="R29" s="31">
        <v>24744</v>
      </c>
      <c r="S29" s="32">
        <v>100</v>
      </c>
      <c r="T29" s="32">
        <v>11.348000000000013</v>
      </c>
      <c r="U29" s="38">
        <v>24990</v>
      </c>
      <c r="V29" s="57">
        <v>25242</v>
      </c>
      <c r="W29" s="32">
        <v>25746</v>
      </c>
      <c r="X29" s="63"/>
      <c r="AC29" s="98"/>
      <c r="AD29" s="62"/>
    </row>
    <row r="30" spans="2:40" x14ac:dyDescent="0.2">
      <c r="B30" s="43"/>
      <c r="C30" s="44"/>
      <c r="D30" s="205"/>
      <c r="E30" s="52"/>
      <c r="F30" s="7"/>
      <c r="G30" s="202"/>
      <c r="H30" s="13">
        <v>27</v>
      </c>
      <c r="I30" s="30">
        <v>21333</v>
      </c>
      <c r="J30" s="30">
        <v>21921</v>
      </c>
      <c r="K30" s="30">
        <v>22569</v>
      </c>
      <c r="L30" s="2">
        <v>23235</v>
      </c>
      <c r="M30" s="30">
        <v>23811</v>
      </c>
      <c r="N30" s="30">
        <v>24465</v>
      </c>
      <c r="O30" s="31">
        <v>24711</v>
      </c>
      <c r="P30" s="31"/>
      <c r="Q30" s="31">
        <v>24957</v>
      </c>
      <c r="R30" s="31">
        <v>25506</v>
      </c>
      <c r="S30" s="32">
        <v>100</v>
      </c>
      <c r="T30" s="32">
        <v>14.777000000000015</v>
      </c>
      <c r="U30" s="38">
        <v>25761</v>
      </c>
      <c r="V30" s="57">
        <v>26019</v>
      </c>
      <c r="W30" s="32">
        <v>26538</v>
      </c>
      <c r="X30" s="63"/>
      <c r="AC30" s="98"/>
      <c r="AD30" s="62"/>
    </row>
    <row r="31" spans="2:40" ht="13.5" thickBot="1" x14ac:dyDescent="0.25">
      <c r="B31" s="43"/>
      <c r="C31" s="44"/>
      <c r="D31" s="210"/>
      <c r="E31" s="52"/>
      <c r="F31" s="6"/>
      <c r="G31" s="203"/>
      <c r="H31" s="13">
        <v>28</v>
      </c>
      <c r="I31" s="30">
        <v>21981</v>
      </c>
      <c r="J31" s="30">
        <v>22584</v>
      </c>
      <c r="K31" s="30">
        <v>23250</v>
      </c>
      <c r="L31" s="2">
        <v>23937</v>
      </c>
      <c r="M31" s="30">
        <v>24528</v>
      </c>
      <c r="N31" s="30">
        <v>25203</v>
      </c>
      <c r="O31" s="31">
        <v>25455</v>
      </c>
      <c r="P31" s="31"/>
      <c r="Q31" s="31">
        <v>25710</v>
      </c>
      <c r="R31" s="31">
        <v>26277</v>
      </c>
      <c r="S31" s="32">
        <v>100</v>
      </c>
      <c r="T31" s="32">
        <v>18.246500000000012</v>
      </c>
      <c r="U31" s="38">
        <v>26541</v>
      </c>
      <c r="V31" s="57">
        <v>26805</v>
      </c>
      <c r="W31" s="32">
        <v>27342</v>
      </c>
      <c r="X31" s="63"/>
      <c r="AC31" s="97"/>
      <c r="AD31" s="62"/>
    </row>
    <row r="32" spans="2:40" x14ac:dyDescent="0.2">
      <c r="B32" s="195" t="s">
        <v>10</v>
      </c>
      <c r="C32" s="46"/>
      <c r="D32" s="47"/>
      <c r="E32" s="52"/>
      <c r="F32" s="198" t="s">
        <v>30</v>
      </c>
      <c r="G32" s="10"/>
      <c r="H32" s="13">
        <v>29</v>
      </c>
      <c r="I32" s="30">
        <v>22797</v>
      </c>
      <c r="J32" s="30">
        <v>23424</v>
      </c>
      <c r="K32" s="30">
        <v>24114</v>
      </c>
      <c r="L32" s="2">
        <v>24825</v>
      </c>
      <c r="M32" s="30">
        <v>25440</v>
      </c>
      <c r="N32" s="30">
        <v>26139</v>
      </c>
      <c r="O32" s="31">
        <v>26400</v>
      </c>
      <c r="P32" s="31"/>
      <c r="Q32" s="31">
        <v>26664</v>
      </c>
      <c r="R32" s="31">
        <v>27252</v>
      </c>
      <c r="S32" s="32">
        <v>100</v>
      </c>
      <c r="T32" s="32">
        <v>22.634000000000015</v>
      </c>
      <c r="U32" s="38">
        <v>27525</v>
      </c>
      <c r="V32" s="57">
        <v>27801</v>
      </c>
      <c r="W32" s="32">
        <v>28356</v>
      </c>
      <c r="X32" s="63"/>
      <c r="AC32" s="97"/>
      <c r="AD32" s="62"/>
    </row>
    <row r="33" spans="2:30" ht="15" customHeight="1" x14ac:dyDescent="0.2">
      <c r="B33" s="196"/>
      <c r="C33" s="46"/>
      <c r="D33" s="47"/>
      <c r="E33" s="52"/>
      <c r="F33" s="199"/>
      <c r="G33" s="10"/>
      <c r="H33" s="13">
        <v>30</v>
      </c>
      <c r="I33" s="30">
        <v>23508</v>
      </c>
      <c r="J33" s="30">
        <v>24153</v>
      </c>
      <c r="K33" s="30">
        <v>24867</v>
      </c>
      <c r="L33" s="2">
        <v>25602</v>
      </c>
      <c r="M33" s="30">
        <v>26235</v>
      </c>
      <c r="N33" s="30">
        <v>26955</v>
      </c>
      <c r="O33" s="31">
        <v>27225</v>
      </c>
      <c r="P33" s="31"/>
      <c r="Q33" s="31">
        <v>27498</v>
      </c>
      <c r="R33" s="31">
        <v>28104</v>
      </c>
      <c r="S33" s="32">
        <v>100</v>
      </c>
      <c r="T33" s="32">
        <v>26.468000000000018</v>
      </c>
      <c r="U33" s="38">
        <v>28386</v>
      </c>
      <c r="V33" s="57">
        <v>28668</v>
      </c>
      <c r="W33" s="32">
        <v>29241</v>
      </c>
      <c r="X33" s="63"/>
      <c r="AC33" s="97"/>
      <c r="AD33" s="62"/>
    </row>
    <row r="34" spans="2:30" ht="15.75" customHeight="1" thickBot="1" x14ac:dyDescent="0.25">
      <c r="B34" s="197"/>
      <c r="C34" s="46"/>
      <c r="D34" s="47"/>
      <c r="E34" s="52"/>
      <c r="F34" s="200"/>
      <c r="G34" s="11"/>
      <c r="H34" s="13">
        <v>31</v>
      </c>
      <c r="I34" s="30">
        <v>24201</v>
      </c>
      <c r="J34" s="30">
        <v>24867</v>
      </c>
      <c r="K34" s="30">
        <v>25602</v>
      </c>
      <c r="L34" s="2">
        <v>26358</v>
      </c>
      <c r="M34" s="30">
        <v>27009</v>
      </c>
      <c r="N34" s="30">
        <v>27753</v>
      </c>
      <c r="O34" s="31">
        <v>28032</v>
      </c>
      <c r="P34" s="31"/>
      <c r="Q34" s="31">
        <v>28311</v>
      </c>
      <c r="R34" s="31">
        <v>28935</v>
      </c>
      <c r="S34" s="32">
        <v>100</v>
      </c>
      <c r="T34" s="32">
        <v>30.20750000000001</v>
      </c>
      <c r="U34" s="38">
        <v>29223</v>
      </c>
      <c r="V34" s="57">
        <v>29517</v>
      </c>
      <c r="W34" s="32">
        <v>30108</v>
      </c>
      <c r="X34" s="63"/>
      <c r="AC34" s="97"/>
      <c r="AD34" s="62"/>
    </row>
    <row r="35" spans="2:30" ht="15.75" customHeight="1" thickBot="1" x14ac:dyDescent="0.25">
      <c r="B35" s="43"/>
      <c r="C35" s="46"/>
      <c r="D35" s="204" t="s">
        <v>11</v>
      </c>
      <c r="E35" s="52"/>
      <c r="F35" s="7"/>
      <c r="G35" s="207" t="s">
        <v>31</v>
      </c>
      <c r="H35" s="13">
        <v>32</v>
      </c>
      <c r="I35" s="30">
        <v>24870</v>
      </c>
      <c r="J35" s="30">
        <v>25554</v>
      </c>
      <c r="K35" s="30">
        <v>26307</v>
      </c>
      <c r="L35" s="2">
        <v>27084</v>
      </c>
      <c r="M35" s="30">
        <v>27753</v>
      </c>
      <c r="N35" s="30">
        <v>28515</v>
      </c>
      <c r="O35" s="31">
        <v>28800</v>
      </c>
      <c r="P35" s="31"/>
      <c r="Q35" s="31">
        <v>29088</v>
      </c>
      <c r="R35" s="31">
        <v>29727</v>
      </c>
      <c r="S35" s="32">
        <v>100</v>
      </c>
      <c r="T35" s="32">
        <v>33.771500000000003</v>
      </c>
      <c r="U35" s="38">
        <v>30024</v>
      </c>
      <c r="V35" s="57">
        <v>30324</v>
      </c>
      <c r="W35" s="32">
        <v>30930</v>
      </c>
      <c r="X35" s="63"/>
      <c r="AC35" s="97"/>
      <c r="AD35" s="62"/>
    </row>
    <row r="36" spans="2:30" ht="15.75" customHeight="1" thickBot="1" x14ac:dyDescent="0.25">
      <c r="B36" s="195" t="s">
        <v>12</v>
      </c>
      <c r="C36" s="46"/>
      <c r="D36" s="205"/>
      <c r="E36" s="52"/>
      <c r="F36" s="6"/>
      <c r="G36" s="208"/>
      <c r="H36" s="13">
        <v>33</v>
      </c>
      <c r="I36" s="30">
        <v>25560</v>
      </c>
      <c r="J36" s="30">
        <v>26262</v>
      </c>
      <c r="K36" s="30">
        <v>27036</v>
      </c>
      <c r="L36" s="2">
        <v>27834</v>
      </c>
      <c r="M36" s="30">
        <v>28524</v>
      </c>
      <c r="N36" s="30">
        <v>29307</v>
      </c>
      <c r="O36" s="31">
        <v>29601</v>
      </c>
      <c r="P36" s="31"/>
      <c r="Q36" s="31">
        <v>29898</v>
      </c>
      <c r="R36" s="31">
        <v>30555</v>
      </c>
      <c r="S36" s="32">
        <v>100</v>
      </c>
      <c r="T36" s="32">
        <v>37.497500000000002</v>
      </c>
      <c r="U36" s="38">
        <v>30861</v>
      </c>
      <c r="V36" s="57">
        <v>31170</v>
      </c>
      <c r="W36" s="32">
        <v>31794</v>
      </c>
      <c r="X36" s="63"/>
      <c r="AC36" s="97"/>
      <c r="AD36" s="62"/>
    </row>
    <row r="37" spans="2:30" ht="15.75" customHeight="1" thickBot="1" x14ac:dyDescent="0.25">
      <c r="B37" s="196"/>
      <c r="C37" s="46"/>
      <c r="D37" s="210"/>
      <c r="E37" s="52"/>
      <c r="F37" s="198" t="s">
        <v>32</v>
      </c>
      <c r="G37" s="211"/>
      <c r="H37" s="13">
        <v>34</v>
      </c>
      <c r="I37" s="30">
        <v>26241</v>
      </c>
      <c r="J37" s="30">
        <v>26964</v>
      </c>
      <c r="K37" s="30">
        <v>27759</v>
      </c>
      <c r="L37" s="2">
        <v>28578</v>
      </c>
      <c r="M37" s="30">
        <v>29286</v>
      </c>
      <c r="N37" s="30">
        <v>30090</v>
      </c>
      <c r="O37" s="31">
        <v>30390</v>
      </c>
      <c r="P37" s="31"/>
      <c r="Q37" s="31">
        <v>30693</v>
      </c>
      <c r="R37" s="31">
        <v>31368</v>
      </c>
      <c r="S37" s="32">
        <v>100</v>
      </c>
      <c r="T37" s="32">
        <v>41.156000000000006</v>
      </c>
      <c r="U37" s="38">
        <v>31683</v>
      </c>
      <c r="V37" s="57">
        <v>31998</v>
      </c>
      <c r="W37" s="32">
        <v>32637</v>
      </c>
      <c r="X37" s="63"/>
      <c r="AC37" s="97"/>
      <c r="AD37" s="62"/>
    </row>
    <row r="38" spans="2:30" ht="13.5" thickBot="1" x14ac:dyDescent="0.25">
      <c r="B38" s="196"/>
      <c r="C38" s="46"/>
      <c r="D38" s="204" t="s">
        <v>13</v>
      </c>
      <c r="E38" s="52"/>
      <c r="F38" s="199"/>
      <c r="G38" s="11"/>
      <c r="H38" s="13">
        <v>35</v>
      </c>
      <c r="I38" s="30">
        <v>26760</v>
      </c>
      <c r="J38" s="30">
        <v>27495</v>
      </c>
      <c r="K38" s="30">
        <v>28305</v>
      </c>
      <c r="L38" s="2">
        <v>29139</v>
      </c>
      <c r="M38" s="30">
        <v>29859</v>
      </c>
      <c r="N38" s="30">
        <v>30681</v>
      </c>
      <c r="O38" s="31">
        <v>30987</v>
      </c>
      <c r="P38" s="31"/>
      <c r="Q38" s="31">
        <v>31296</v>
      </c>
      <c r="R38" s="31">
        <v>31986</v>
      </c>
      <c r="S38" s="32">
        <v>100</v>
      </c>
      <c r="T38" s="32">
        <v>43.937000000000012</v>
      </c>
      <c r="U38" s="38">
        <v>32307</v>
      </c>
      <c r="V38" s="57">
        <v>32628</v>
      </c>
      <c r="W38" s="32">
        <v>33282</v>
      </c>
      <c r="X38" s="63"/>
      <c r="AC38" s="97"/>
      <c r="AD38" s="62"/>
    </row>
    <row r="39" spans="2:30" ht="15.75" customHeight="1" thickBot="1" x14ac:dyDescent="0.25">
      <c r="B39" s="197"/>
      <c r="C39" s="46"/>
      <c r="D39" s="205"/>
      <c r="E39" s="52"/>
      <c r="F39" s="200"/>
      <c r="G39" s="207" t="s">
        <v>33</v>
      </c>
      <c r="H39" s="13">
        <v>36</v>
      </c>
      <c r="I39" s="30">
        <v>27426</v>
      </c>
      <c r="J39" s="30">
        <v>28179</v>
      </c>
      <c r="K39" s="30">
        <v>29010</v>
      </c>
      <c r="L39" s="2">
        <v>29865</v>
      </c>
      <c r="M39" s="30">
        <v>30603</v>
      </c>
      <c r="N39" s="30">
        <v>31446</v>
      </c>
      <c r="O39" s="31">
        <v>31761</v>
      </c>
      <c r="P39" s="31"/>
      <c r="Q39" s="31">
        <v>32079</v>
      </c>
      <c r="R39" s="31">
        <v>32784</v>
      </c>
      <c r="S39" s="32">
        <v>100</v>
      </c>
      <c r="T39" s="32">
        <v>47.52800000000002</v>
      </c>
      <c r="U39" s="38">
        <v>33111</v>
      </c>
      <c r="V39" s="57">
        <v>33444</v>
      </c>
      <c r="W39" s="32">
        <v>34113</v>
      </c>
      <c r="X39" s="63"/>
      <c r="AC39" s="97"/>
      <c r="AD39" s="62"/>
    </row>
    <row r="40" spans="2:30" ht="13.5" thickBot="1" x14ac:dyDescent="0.25">
      <c r="B40" s="43"/>
      <c r="C40" s="46"/>
      <c r="D40" s="205"/>
      <c r="E40" s="52"/>
      <c r="F40" s="7"/>
      <c r="G40" s="208"/>
      <c r="H40" s="13">
        <v>37</v>
      </c>
      <c r="I40" s="30">
        <v>28155</v>
      </c>
      <c r="J40" s="30">
        <v>28929</v>
      </c>
      <c r="K40" s="30">
        <v>29781</v>
      </c>
      <c r="L40" s="2">
        <v>30660</v>
      </c>
      <c r="M40" s="30">
        <v>31419</v>
      </c>
      <c r="N40" s="30">
        <v>32283</v>
      </c>
      <c r="O40" s="31">
        <v>32607</v>
      </c>
      <c r="P40" s="31"/>
      <c r="Q40" s="31">
        <v>32934</v>
      </c>
      <c r="R40" s="31">
        <v>33660</v>
      </c>
      <c r="S40" s="32">
        <v>100</v>
      </c>
      <c r="T40" s="32">
        <v>51.470000000000027</v>
      </c>
      <c r="U40" s="38">
        <v>33996</v>
      </c>
      <c r="V40" s="57">
        <v>34338</v>
      </c>
      <c r="W40" s="32">
        <v>35025</v>
      </c>
      <c r="X40" s="63"/>
      <c r="AC40" s="97"/>
      <c r="AD40" s="62"/>
    </row>
    <row r="41" spans="2:30" ht="15.75" customHeight="1" thickBot="1" x14ac:dyDescent="0.25">
      <c r="B41" s="195" t="s">
        <v>14</v>
      </c>
      <c r="C41" s="46"/>
      <c r="D41" s="210"/>
      <c r="E41" s="52"/>
      <c r="F41" s="8"/>
      <c r="G41" s="211"/>
      <c r="H41" s="13">
        <v>38</v>
      </c>
      <c r="I41" s="30">
        <v>28935</v>
      </c>
      <c r="J41" s="30">
        <v>29730</v>
      </c>
      <c r="K41" s="30">
        <v>30606</v>
      </c>
      <c r="L41" s="2">
        <v>31509</v>
      </c>
      <c r="M41" s="30">
        <v>32289</v>
      </c>
      <c r="N41" s="30">
        <v>33177</v>
      </c>
      <c r="O41" s="31">
        <v>33510</v>
      </c>
      <c r="P41" s="31"/>
      <c r="Q41" s="31">
        <v>33846</v>
      </c>
      <c r="R41" s="31">
        <v>34590</v>
      </c>
      <c r="S41" s="32">
        <v>100</v>
      </c>
      <c r="T41" s="32">
        <v>55.65500000000003</v>
      </c>
      <c r="U41" s="38">
        <v>34935</v>
      </c>
      <c r="V41" s="57">
        <v>35286</v>
      </c>
      <c r="W41" s="32">
        <v>35991</v>
      </c>
      <c r="X41" s="63"/>
      <c r="AC41" s="97"/>
      <c r="AD41" s="62"/>
    </row>
    <row r="42" spans="2:30" ht="15" customHeight="1" x14ac:dyDescent="0.2">
      <c r="B42" s="196"/>
      <c r="C42" s="46"/>
      <c r="D42" s="48"/>
      <c r="E42" s="52"/>
      <c r="F42" s="198" t="s">
        <v>34</v>
      </c>
      <c r="G42" s="10"/>
      <c r="H42" s="13">
        <v>39</v>
      </c>
      <c r="I42" s="30">
        <v>29829</v>
      </c>
      <c r="J42" s="30">
        <v>30648</v>
      </c>
      <c r="K42" s="30">
        <v>31551</v>
      </c>
      <c r="L42" s="2">
        <v>32481</v>
      </c>
      <c r="M42" s="30">
        <v>33285</v>
      </c>
      <c r="N42" s="30">
        <v>34200</v>
      </c>
      <c r="O42" s="31">
        <v>34542</v>
      </c>
      <c r="P42" s="31"/>
      <c r="Q42" s="31">
        <v>34887</v>
      </c>
      <c r="R42" s="31">
        <v>35655</v>
      </c>
      <c r="S42" s="32">
        <v>100</v>
      </c>
      <c r="T42" s="32">
        <v>60.447500000000019</v>
      </c>
      <c r="U42" s="38">
        <v>36012</v>
      </c>
      <c r="V42" s="57">
        <v>36372</v>
      </c>
      <c r="W42" s="32">
        <v>37098</v>
      </c>
      <c r="X42" s="63"/>
      <c r="AC42" s="97"/>
      <c r="AD42" s="62"/>
    </row>
    <row r="43" spans="2:30" ht="15.75" customHeight="1" thickBot="1" x14ac:dyDescent="0.25">
      <c r="B43" s="196"/>
      <c r="C43" s="46"/>
      <c r="D43" s="45"/>
      <c r="E43" s="52"/>
      <c r="F43" s="199"/>
      <c r="G43" s="10"/>
      <c r="H43" s="13">
        <v>40</v>
      </c>
      <c r="I43" s="30">
        <v>30582</v>
      </c>
      <c r="J43" s="30">
        <v>31422</v>
      </c>
      <c r="K43" s="30">
        <v>32349</v>
      </c>
      <c r="L43" s="2">
        <v>33303</v>
      </c>
      <c r="M43" s="30">
        <v>34128</v>
      </c>
      <c r="N43" s="30">
        <v>35067</v>
      </c>
      <c r="O43" s="31">
        <v>35418</v>
      </c>
      <c r="P43" s="31"/>
      <c r="Q43" s="31">
        <v>35772</v>
      </c>
      <c r="R43" s="31">
        <v>36558</v>
      </c>
      <c r="S43" s="32">
        <v>100</v>
      </c>
      <c r="T43" s="32">
        <v>64.511000000000024</v>
      </c>
      <c r="U43" s="38">
        <v>36924</v>
      </c>
      <c r="V43" s="57">
        <v>37293</v>
      </c>
      <c r="W43" s="32">
        <v>38040</v>
      </c>
      <c r="X43" s="63"/>
      <c r="AC43" s="97"/>
      <c r="AD43" s="62"/>
    </row>
    <row r="44" spans="2:30" ht="17.25" customHeight="1" thickBot="1" x14ac:dyDescent="0.25">
      <c r="B44" s="197"/>
      <c r="C44" s="49"/>
      <c r="D44" s="204" t="s">
        <v>15</v>
      </c>
      <c r="E44" s="52"/>
      <c r="F44" s="200"/>
      <c r="G44" s="12"/>
      <c r="H44" s="13">
        <v>41</v>
      </c>
      <c r="I44" s="30">
        <v>31347</v>
      </c>
      <c r="J44" s="30">
        <v>32208</v>
      </c>
      <c r="K44" s="30">
        <v>33159</v>
      </c>
      <c r="L44" s="2">
        <v>34137</v>
      </c>
      <c r="M44" s="30">
        <v>34983</v>
      </c>
      <c r="N44" s="30">
        <v>35946</v>
      </c>
      <c r="O44" s="31">
        <v>36306</v>
      </c>
      <c r="P44" s="31"/>
      <c r="Q44" s="31">
        <v>36669</v>
      </c>
      <c r="R44" s="31">
        <v>37476</v>
      </c>
      <c r="S44" s="32">
        <v>100</v>
      </c>
      <c r="T44" s="32">
        <v>68.642000000000024</v>
      </c>
      <c r="U44" s="38">
        <v>37851</v>
      </c>
      <c r="V44" s="57">
        <v>38229</v>
      </c>
      <c r="W44" s="32">
        <v>38994</v>
      </c>
      <c r="X44" s="63"/>
      <c r="AC44" s="97"/>
      <c r="AD44" s="62"/>
    </row>
    <row r="45" spans="2:30" ht="15" customHeight="1" x14ac:dyDescent="0.2">
      <c r="B45" s="43"/>
      <c r="C45" s="49"/>
      <c r="D45" s="205"/>
      <c r="E45" s="52"/>
      <c r="F45" s="7"/>
      <c r="G45" s="207" t="s">
        <v>35</v>
      </c>
      <c r="H45" s="13">
        <v>42</v>
      </c>
      <c r="I45" s="30">
        <v>32106</v>
      </c>
      <c r="J45" s="30">
        <v>32988</v>
      </c>
      <c r="K45" s="30">
        <v>33960</v>
      </c>
      <c r="L45" s="2">
        <v>34962</v>
      </c>
      <c r="M45" s="30">
        <v>35826</v>
      </c>
      <c r="N45" s="30">
        <v>36810</v>
      </c>
      <c r="O45" s="31">
        <v>37179</v>
      </c>
      <c r="P45" s="31"/>
      <c r="Q45" s="31">
        <v>37551</v>
      </c>
      <c r="R45" s="31">
        <v>38376</v>
      </c>
      <c r="S45" s="32">
        <v>100</v>
      </c>
      <c r="T45" s="32">
        <v>72.692000000000007</v>
      </c>
      <c r="U45" s="38">
        <v>38760</v>
      </c>
      <c r="V45" s="57">
        <v>39147</v>
      </c>
      <c r="W45" s="32">
        <v>39930</v>
      </c>
      <c r="X45" s="63"/>
      <c r="AC45" s="97"/>
      <c r="AD45" s="62"/>
    </row>
    <row r="46" spans="2:30" ht="16.5" customHeight="1" thickBot="1" x14ac:dyDescent="0.25">
      <c r="B46" s="43"/>
      <c r="C46" s="49"/>
      <c r="D46" s="205"/>
      <c r="E46" s="52"/>
      <c r="F46" s="7"/>
      <c r="G46" s="208"/>
      <c r="H46" s="13">
        <v>43</v>
      </c>
      <c r="I46" s="30">
        <v>32874</v>
      </c>
      <c r="J46" s="30">
        <v>33777</v>
      </c>
      <c r="K46" s="30">
        <v>34773</v>
      </c>
      <c r="L46" s="2">
        <v>35799</v>
      </c>
      <c r="M46" s="30">
        <v>36684</v>
      </c>
      <c r="N46" s="30">
        <v>37692</v>
      </c>
      <c r="O46" s="31">
        <v>38070</v>
      </c>
      <c r="P46" s="31"/>
      <c r="Q46" s="31">
        <v>38451</v>
      </c>
      <c r="R46" s="31">
        <v>39297</v>
      </c>
      <c r="S46" s="32">
        <v>100</v>
      </c>
      <c r="T46" s="32">
        <v>76.836500000000029</v>
      </c>
      <c r="U46" s="38">
        <v>39690</v>
      </c>
      <c r="V46" s="57">
        <v>40086</v>
      </c>
      <c r="W46" s="32">
        <v>40887</v>
      </c>
      <c r="X46" s="63"/>
      <c r="AC46" s="97"/>
      <c r="AD46" s="62"/>
    </row>
    <row r="47" spans="2:30" ht="13.5" thickBot="1" x14ac:dyDescent="0.25">
      <c r="B47" s="195" t="s">
        <v>16</v>
      </c>
      <c r="C47" s="46"/>
      <c r="D47" s="210"/>
      <c r="E47" s="52"/>
      <c r="F47" s="6"/>
      <c r="G47" s="211"/>
      <c r="H47" s="13">
        <v>44</v>
      </c>
      <c r="I47" s="30">
        <v>33642</v>
      </c>
      <c r="J47" s="30">
        <v>34566</v>
      </c>
      <c r="K47" s="30">
        <v>35586</v>
      </c>
      <c r="L47" s="2">
        <v>36636</v>
      </c>
      <c r="M47" s="30">
        <v>37542</v>
      </c>
      <c r="N47" s="30">
        <v>38574</v>
      </c>
      <c r="O47" s="31">
        <v>38961</v>
      </c>
      <c r="P47" s="31"/>
      <c r="Q47" s="31">
        <v>39351</v>
      </c>
      <c r="R47" s="31">
        <v>40218</v>
      </c>
      <c r="S47" s="32">
        <v>100</v>
      </c>
      <c r="T47" s="32">
        <v>80.981000000000023</v>
      </c>
      <c r="U47" s="38">
        <v>40620</v>
      </c>
      <c r="V47" s="57">
        <v>41025</v>
      </c>
      <c r="W47" s="32">
        <v>41847</v>
      </c>
      <c r="X47" s="63"/>
      <c r="AC47" s="97"/>
      <c r="AD47" s="62"/>
    </row>
    <row r="48" spans="2:30" ht="13.5" thickBot="1" x14ac:dyDescent="0.25">
      <c r="B48" s="196"/>
      <c r="C48" s="46"/>
      <c r="D48" s="45"/>
      <c r="E48" s="52"/>
      <c r="F48" s="198" t="s">
        <v>36</v>
      </c>
      <c r="G48" s="10"/>
      <c r="H48" s="13">
        <v>45</v>
      </c>
      <c r="I48" s="30">
        <v>34359</v>
      </c>
      <c r="J48" s="30">
        <v>35304</v>
      </c>
      <c r="K48" s="30">
        <v>36345</v>
      </c>
      <c r="L48" s="2">
        <v>37416</v>
      </c>
      <c r="M48" s="30">
        <v>38343</v>
      </c>
      <c r="N48" s="30">
        <v>39396</v>
      </c>
      <c r="O48" s="31">
        <v>39789</v>
      </c>
      <c r="P48" s="31"/>
      <c r="Q48" s="31">
        <v>40188</v>
      </c>
      <c r="R48" s="31">
        <v>41073</v>
      </c>
      <c r="S48" s="32">
        <v>100</v>
      </c>
      <c r="T48" s="32">
        <v>84.82850000000002</v>
      </c>
      <c r="U48" s="38">
        <v>41484</v>
      </c>
      <c r="V48" s="57">
        <v>41898</v>
      </c>
      <c r="W48" s="32">
        <v>42734</v>
      </c>
      <c r="X48" s="63"/>
      <c r="AC48" s="97"/>
      <c r="AD48" s="62"/>
    </row>
    <row r="49" spans="2:30" ht="13.5" thickBot="1" x14ac:dyDescent="0.25">
      <c r="B49" s="196"/>
      <c r="C49" s="46"/>
      <c r="D49" s="204" t="s">
        <v>17</v>
      </c>
      <c r="E49" s="52"/>
      <c r="F49" s="199"/>
      <c r="G49" s="11"/>
      <c r="H49" s="13">
        <v>46</v>
      </c>
      <c r="I49" s="30">
        <v>35157</v>
      </c>
      <c r="J49" s="30">
        <v>36123</v>
      </c>
      <c r="K49" s="30">
        <v>37188</v>
      </c>
      <c r="L49" s="2">
        <v>38286</v>
      </c>
      <c r="M49" s="30">
        <v>39234</v>
      </c>
      <c r="N49" s="30">
        <v>40314</v>
      </c>
      <c r="O49" s="31">
        <v>40716</v>
      </c>
      <c r="P49" s="31"/>
      <c r="Q49" s="31">
        <v>41124</v>
      </c>
      <c r="R49" s="31">
        <v>42030</v>
      </c>
      <c r="S49" s="32">
        <v>100</v>
      </c>
      <c r="T49" s="32">
        <v>89.135000000000019</v>
      </c>
      <c r="U49" s="38">
        <v>42450</v>
      </c>
      <c r="V49" s="57">
        <v>42876</v>
      </c>
      <c r="W49" s="32">
        <v>43734</v>
      </c>
      <c r="X49" s="63"/>
      <c r="AC49" s="97"/>
      <c r="AD49" s="62"/>
    </row>
    <row r="50" spans="2:30" ht="13.5" thickBot="1" x14ac:dyDescent="0.25">
      <c r="B50" s="197"/>
      <c r="C50" s="46"/>
      <c r="D50" s="205"/>
      <c r="E50" s="52"/>
      <c r="F50" s="200"/>
      <c r="G50" s="207" t="s">
        <v>37</v>
      </c>
      <c r="H50" s="13">
        <v>47</v>
      </c>
      <c r="I50" s="30">
        <v>35928</v>
      </c>
      <c r="J50" s="30">
        <v>36915</v>
      </c>
      <c r="K50" s="30">
        <v>38004</v>
      </c>
      <c r="L50" s="2">
        <v>39126</v>
      </c>
      <c r="M50" s="30">
        <v>40095</v>
      </c>
      <c r="N50" s="30">
        <v>41199</v>
      </c>
      <c r="O50" s="31">
        <v>41610</v>
      </c>
      <c r="P50" s="31"/>
      <c r="Q50" s="31">
        <v>42027</v>
      </c>
      <c r="R50" s="31">
        <v>42951</v>
      </c>
      <c r="S50" s="32">
        <v>100</v>
      </c>
      <c r="T50" s="32">
        <v>93.279500000000013</v>
      </c>
      <c r="U50" s="38">
        <v>43380</v>
      </c>
      <c r="V50" s="57">
        <v>43815</v>
      </c>
      <c r="W50" s="32">
        <v>44691</v>
      </c>
      <c r="X50" s="63"/>
      <c r="AC50" s="97"/>
      <c r="AD50" s="62"/>
    </row>
    <row r="51" spans="2:30" x14ac:dyDescent="0.2">
      <c r="B51" s="43"/>
      <c r="C51" s="44"/>
      <c r="D51" s="205"/>
      <c r="E51" s="52"/>
      <c r="F51" s="7"/>
      <c r="G51" s="208"/>
      <c r="H51" s="13">
        <v>48</v>
      </c>
      <c r="I51" s="30">
        <v>36696</v>
      </c>
      <c r="J51" s="30">
        <v>37704</v>
      </c>
      <c r="K51" s="30">
        <v>38817</v>
      </c>
      <c r="L51" s="2">
        <v>39963</v>
      </c>
      <c r="M51" s="30">
        <v>40953</v>
      </c>
      <c r="N51" s="30">
        <v>42078</v>
      </c>
      <c r="O51" s="31">
        <v>42498</v>
      </c>
      <c r="P51" s="31"/>
      <c r="Q51" s="31">
        <v>42924</v>
      </c>
      <c r="R51" s="31">
        <v>43869</v>
      </c>
      <c r="S51" s="32">
        <v>100</v>
      </c>
      <c r="T51" s="32">
        <v>97.410500000000013</v>
      </c>
      <c r="U51" s="38">
        <v>44307</v>
      </c>
      <c r="V51" s="57">
        <v>44751</v>
      </c>
      <c r="W51" s="32">
        <v>45645</v>
      </c>
      <c r="X51" s="63"/>
      <c r="AC51" s="97"/>
      <c r="AD51" s="62"/>
    </row>
    <row r="52" spans="2:30" ht="13.5" thickBot="1" x14ac:dyDescent="0.25">
      <c r="B52" s="43"/>
      <c r="C52" s="44"/>
      <c r="D52" s="210"/>
      <c r="E52" s="52"/>
      <c r="F52" s="7"/>
      <c r="G52" s="211"/>
      <c r="H52" s="13">
        <v>49</v>
      </c>
      <c r="I52" s="30">
        <v>37449</v>
      </c>
      <c r="J52" s="30">
        <v>38478</v>
      </c>
      <c r="K52" s="30">
        <v>39612</v>
      </c>
      <c r="L52" s="2">
        <v>40782</v>
      </c>
      <c r="M52" s="30">
        <v>41790</v>
      </c>
      <c r="N52" s="30">
        <v>42939</v>
      </c>
      <c r="O52" s="31">
        <v>43368</v>
      </c>
      <c r="P52" s="31"/>
      <c r="Q52" s="31">
        <v>43803</v>
      </c>
      <c r="R52" s="31">
        <v>44766</v>
      </c>
      <c r="S52" s="32">
        <v>100</v>
      </c>
      <c r="T52" s="32">
        <v>101.44700000000003</v>
      </c>
      <c r="U52" s="38">
        <v>45213</v>
      </c>
      <c r="V52" s="57">
        <v>45666</v>
      </c>
      <c r="W52" s="32">
        <v>46578</v>
      </c>
      <c r="X52" s="63"/>
      <c r="AC52" s="98"/>
      <c r="AD52" s="62"/>
    </row>
    <row r="53" spans="2:30" ht="13.5" thickBot="1" x14ac:dyDescent="0.25">
      <c r="B53" s="195" t="s">
        <v>18</v>
      </c>
      <c r="C53" s="46"/>
      <c r="D53" s="47"/>
      <c r="E53" s="52"/>
      <c r="F53" s="8"/>
      <c r="G53" s="10"/>
      <c r="H53" s="13" t="s">
        <v>44</v>
      </c>
      <c r="I53" s="30">
        <v>38988</v>
      </c>
      <c r="J53" s="30">
        <v>40059</v>
      </c>
      <c r="K53" s="30">
        <v>41241</v>
      </c>
      <c r="L53" s="2">
        <v>42459</v>
      </c>
      <c r="M53" s="30">
        <v>43509</v>
      </c>
      <c r="N53" s="30">
        <v>44706</v>
      </c>
      <c r="O53" s="31">
        <v>45153</v>
      </c>
      <c r="P53" s="31"/>
      <c r="Q53" s="31">
        <v>45606</v>
      </c>
      <c r="R53" s="31">
        <v>46608</v>
      </c>
      <c r="S53" s="32">
        <v>0</v>
      </c>
      <c r="T53" s="32">
        <v>0</v>
      </c>
      <c r="U53" s="38">
        <v>47073</v>
      </c>
      <c r="V53" s="57">
        <v>47544</v>
      </c>
      <c r="W53" s="101">
        <v>48495</v>
      </c>
      <c r="X53" s="110"/>
      <c r="AC53" s="98"/>
      <c r="AD53" s="62"/>
    </row>
    <row r="54" spans="2:30" x14ac:dyDescent="0.2">
      <c r="B54" s="196"/>
      <c r="C54" s="46"/>
      <c r="D54" s="47"/>
      <c r="E54" s="52"/>
      <c r="F54" s="198" t="s">
        <v>38</v>
      </c>
      <c r="G54" s="10"/>
      <c r="H54" s="13">
        <v>51</v>
      </c>
      <c r="I54" s="30">
        <v>39762</v>
      </c>
      <c r="J54" s="30">
        <v>40854</v>
      </c>
      <c r="K54" s="30">
        <v>42060</v>
      </c>
      <c r="L54" s="2">
        <v>43302</v>
      </c>
      <c r="M54" s="30">
        <v>44373</v>
      </c>
      <c r="N54" s="30">
        <v>45594</v>
      </c>
      <c r="O54" s="31">
        <v>46050</v>
      </c>
      <c r="P54" s="31"/>
      <c r="Q54" s="31">
        <v>46512</v>
      </c>
      <c r="R54" s="31">
        <v>47535</v>
      </c>
      <c r="S54" s="32">
        <v>0</v>
      </c>
      <c r="T54" s="32">
        <v>0</v>
      </c>
      <c r="U54" s="38">
        <v>48009</v>
      </c>
      <c r="V54" s="57">
        <v>48489</v>
      </c>
      <c r="W54" s="32">
        <v>49458</v>
      </c>
      <c r="X54" s="63"/>
      <c r="AC54" s="97"/>
      <c r="AD54" s="62"/>
    </row>
    <row r="55" spans="2:30" x14ac:dyDescent="0.2">
      <c r="B55" s="196"/>
      <c r="C55" s="46"/>
      <c r="D55" s="47"/>
      <c r="E55" s="52"/>
      <c r="F55" s="199"/>
      <c r="G55" s="10"/>
      <c r="H55" s="13">
        <v>52</v>
      </c>
      <c r="I55" s="30">
        <v>40548</v>
      </c>
      <c r="J55" s="30">
        <v>41664</v>
      </c>
      <c r="K55" s="30">
        <v>42894</v>
      </c>
      <c r="L55" s="2">
        <v>44160</v>
      </c>
      <c r="M55" s="30">
        <v>45252</v>
      </c>
      <c r="N55" s="30">
        <v>46497</v>
      </c>
      <c r="O55" s="31">
        <v>46962</v>
      </c>
      <c r="P55" s="31"/>
      <c r="Q55" s="31">
        <v>47433</v>
      </c>
      <c r="R55" s="31">
        <v>48477</v>
      </c>
      <c r="S55" s="32">
        <v>0</v>
      </c>
      <c r="T55" s="32">
        <v>0</v>
      </c>
      <c r="U55" s="38">
        <v>48963</v>
      </c>
      <c r="V55" s="57">
        <v>49452</v>
      </c>
      <c r="W55" s="32">
        <v>50442</v>
      </c>
      <c r="X55" s="63"/>
      <c r="AC55" s="97"/>
      <c r="AD55" s="62"/>
    </row>
    <row r="56" spans="2:30" ht="13.5" thickBot="1" x14ac:dyDescent="0.25">
      <c r="B56" s="197"/>
      <c r="C56" s="46"/>
      <c r="D56" s="47"/>
      <c r="E56" s="52"/>
      <c r="F56" s="200"/>
      <c r="G56" s="10"/>
      <c r="H56" s="13">
        <v>53</v>
      </c>
      <c r="I56" s="30">
        <v>41367</v>
      </c>
      <c r="J56" s="30">
        <v>42504</v>
      </c>
      <c r="K56" s="30">
        <v>43758</v>
      </c>
      <c r="L56" s="2">
        <v>45048</v>
      </c>
      <c r="M56" s="30">
        <v>46164</v>
      </c>
      <c r="N56" s="30">
        <v>47433</v>
      </c>
      <c r="O56" s="31">
        <v>47907</v>
      </c>
      <c r="P56" s="31"/>
      <c r="Q56" s="31">
        <v>48387</v>
      </c>
      <c r="R56" s="31">
        <v>49452</v>
      </c>
      <c r="S56" s="32">
        <v>0</v>
      </c>
      <c r="T56" s="32">
        <v>0</v>
      </c>
      <c r="U56" s="38">
        <v>49947</v>
      </c>
      <c r="V56" s="57">
        <v>50445</v>
      </c>
      <c r="W56" s="32">
        <v>51453</v>
      </c>
      <c r="X56" s="63"/>
      <c r="AC56" s="97"/>
      <c r="AD56" s="62"/>
    </row>
    <row r="57" spans="2:30" ht="13.5" thickBot="1" x14ac:dyDescent="0.25">
      <c r="B57" s="43"/>
      <c r="C57" s="44"/>
      <c r="D57" s="204" t="s">
        <v>19</v>
      </c>
      <c r="E57" s="52"/>
      <c r="F57" s="7"/>
      <c r="G57" s="11"/>
      <c r="H57" s="13" t="s">
        <v>45</v>
      </c>
      <c r="I57" s="30">
        <v>43032</v>
      </c>
      <c r="J57" s="30">
        <v>44214</v>
      </c>
      <c r="K57" s="30">
        <v>45519</v>
      </c>
      <c r="L57" s="2">
        <v>46863</v>
      </c>
      <c r="M57" s="30">
        <v>48024</v>
      </c>
      <c r="N57" s="30">
        <v>49344</v>
      </c>
      <c r="O57" s="31">
        <v>49836</v>
      </c>
      <c r="P57" s="31"/>
      <c r="Q57" s="31">
        <v>50334</v>
      </c>
      <c r="R57" s="31">
        <v>51441</v>
      </c>
      <c r="S57" s="32">
        <v>0</v>
      </c>
      <c r="T57" s="32">
        <v>0</v>
      </c>
      <c r="U57" s="38">
        <v>51954</v>
      </c>
      <c r="V57" s="57">
        <v>52476</v>
      </c>
      <c r="W57" s="101">
        <v>53525</v>
      </c>
      <c r="X57" s="110"/>
      <c r="AC57" s="98"/>
      <c r="AD57" s="62"/>
    </row>
    <row r="58" spans="2:30" x14ac:dyDescent="0.2">
      <c r="B58" s="43"/>
      <c r="C58" s="44"/>
      <c r="D58" s="205"/>
      <c r="E58" s="52"/>
      <c r="F58" s="7"/>
      <c r="G58" s="207" t="s">
        <v>39</v>
      </c>
      <c r="H58" s="13">
        <v>55</v>
      </c>
      <c r="I58" s="30">
        <v>43854</v>
      </c>
      <c r="J58" s="30">
        <v>45060</v>
      </c>
      <c r="K58" s="30">
        <v>46389</v>
      </c>
      <c r="L58" s="2">
        <v>47757</v>
      </c>
      <c r="M58" s="30">
        <v>48939</v>
      </c>
      <c r="N58" s="30">
        <v>50286</v>
      </c>
      <c r="O58" s="31">
        <v>50790</v>
      </c>
      <c r="P58" s="31"/>
      <c r="Q58" s="31">
        <v>51297</v>
      </c>
      <c r="R58" s="31">
        <v>52425</v>
      </c>
      <c r="S58" s="32">
        <v>0</v>
      </c>
      <c r="T58" s="32">
        <v>0</v>
      </c>
      <c r="U58" s="38">
        <v>52950</v>
      </c>
      <c r="V58" s="57">
        <v>53478</v>
      </c>
      <c r="W58" s="32">
        <v>54549</v>
      </c>
      <c r="X58" s="63"/>
      <c r="AC58" s="98"/>
      <c r="AD58" s="62"/>
    </row>
    <row r="59" spans="2:30" x14ac:dyDescent="0.2">
      <c r="B59" s="43"/>
      <c r="C59" s="44"/>
      <c r="D59" s="205"/>
      <c r="E59" s="52"/>
      <c r="F59" s="7"/>
      <c r="G59" s="208"/>
      <c r="H59" s="13">
        <v>56</v>
      </c>
      <c r="I59" s="30">
        <v>44676</v>
      </c>
      <c r="J59" s="30">
        <v>45906</v>
      </c>
      <c r="K59" s="30">
        <v>47259</v>
      </c>
      <c r="L59" s="2">
        <v>48654</v>
      </c>
      <c r="M59" s="30">
        <v>49857</v>
      </c>
      <c r="N59" s="30">
        <v>51228</v>
      </c>
      <c r="O59" s="31">
        <v>51741</v>
      </c>
      <c r="P59" s="31"/>
      <c r="Q59" s="31">
        <v>52257</v>
      </c>
      <c r="R59" s="31">
        <v>53406</v>
      </c>
      <c r="S59" s="33">
        <v>0</v>
      </c>
      <c r="T59" s="33">
        <v>0</v>
      </c>
      <c r="U59" s="38">
        <v>53940</v>
      </c>
      <c r="V59" s="57">
        <v>54480</v>
      </c>
      <c r="W59" s="32">
        <v>55569</v>
      </c>
      <c r="X59" s="63"/>
      <c r="AC59" s="59"/>
      <c r="AD59" s="62"/>
    </row>
    <row r="60" spans="2:30" ht="13.5" thickBot="1" x14ac:dyDescent="0.25">
      <c r="B60" s="50"/>
      <c r="C60" s="51"/>
      <c r="D60" s="206"/>
      <c r="E60" s="52"/>
      <c r="F60" s="9"/>
      <c r="G60" s="209"/>
      <c r="H60" s="14">
        <v>57</v>
      </c>
      <c r="I60" s="34">
        <v>45507</v>
      </c>
      <c r="J60" s="34">
        <v>46758</v>
      </c>
      <c r="K60" s="34">
        <v>48138</v>
      </c>
      <c r="L60" s="5">
        <v>49557</v>
      </c>
      <c r="M60" s="34">
        <v>50784</v>
      </c>
      <c r="N60" s="34">
        <v>52182</v>
      </c>
      <c r="O60" s="35">
        <v>52704</v>
      </c>
      <c r="P60" s="35"/>
      <c r="Q60" s="35">
        <v>53232</v>
      </c>
      <c r="R60" s="35">
        <v>54402</v>
      </c>
      <c r="S60" s="36">
        <v>0</v>
      </c>
      <c r="T60" s="36">
        <v>0</v>
      </c>
      <c r="U60" s="39">
        <v>54945</v>
      </c>
      <c r="V60" s="58">
        <v>55494</v>
      </c>
      <c r="W60" s="36">
        <v>56604</v>
      </c>
      <c r="X60" s="63"/>
      <c r="AC60" s="59"/>
      <c r="AD60" s="62"/>
    </row>
    <row r="61" spans="2:30" ht="15" x14ac:dyDescent="0.25">
      <c r="U61" s="21"/>
      <c r="V61" s="21"/>
      <c r="W61" s="19"/>
      <c r="X61" s="19"/>
      <c r="AC61" s="59"/>
      <c r="AD61" s="62"/>
    </row>
    <row r="62" spans="2:30" ht="15" x14ac:dyDescent="0.25">
      <c r="U62" s="21"/>
      <c r="V62" s="21"/>
      <c r="W62" s="19"/>
      <c r="X62" s="19"/>
      <c r="AA62" s="61"/>
      <c r="AB62" s="59"/>
      <c r="AC62" s="59"/>
    </row>
    <row r="63" spans="2:30" ht="15" x14ac:dyDescent="0.25">
      <c r="F63" s="92"/>
      <c r="U63" s="19"/>
      <c r="V63" s="19"/>
      <c r="W63" s="19"/>
      <c r="X63" s="19"/>
      <c r="Y63" s="92"/>
      <c r="AA63" s="61"/>
      <c r="AB63" s="59"/>
      <c r="AC63" s="59"/>
    </row>
    <row r="64" spans="2:30" ht="15" x14ac:dyDescent="0.25">
      <c r="U64" s="19"/>
      <c r="V64" s="19"/>
      <c r="W64" s="19"/>
      <c r="X64" s="19"/>
      <c r="AA64" s="61"/>
      <c r="AB64" s="59"/>
      <c r="AC64" s="59"/>
    </row>
    <row r="65" spans="21:29" ht="15" x14ac:dyDescent="0.25">
      <c r="U65" s="19"/>
      <c r="V65" s="19"/>
      <c r="W65" s="19"/>
      <c r="X65" s="19"/>
      <c r="AA65" s="61"/>
      <c r="AB65" s="59"/>
      <c r="AC65" s="59"/>
    </row>
    <row r="66" spans="21:29" ht="15" x14ac:dyDescent="0.25">
      <c r="U66" s="19"/>
      <c r="V66" s="19"/>
      <c r="W66" s="19"/>
      <c r="X66" s="19"/>
      <c r="AA66" s="61"/>
      <c r="AB66" s="59"/>
      <c r="AC66" s="59"/>
    </row>
    <row r="67" spans="21:29" ht="15" x14ac:dyDescent="0.25">
      <c r="U67" s="19"/>
      <c r="V67" s="19"/>
      <c r="W67" s="19"/>
      <c r="X67" s="19"/>
      <c r="AA67" s="61"/>
      <c r="AB67" s="59"/>
      <c r="AC67" s="59"/>
    </row>
    <row r="68" spans="21:29" ht="15" x14ac:dyDescent="0.25">
      <c r="U68" s="19"/>
      <c r="V68" s="19"/>
      <c r="W68" s="19"/>
      <c r="X68" s="19"/>
      <c r="AA68" s="61"/>
      <c r="AB68" s="59"/>
      <c r="AC68" s="59"/>
    </row>
    <row r="69" spans="21:29" ht="15" x14ac:dyDescent="0.25">
      <c r="U69" s="19"/>
      <c r="V69" s="19"/>
      <c r="W69" s="19"/>
      <c r="X69" s="19"/>
      <c r="AA69" s="61"/>
      <c r="AB69" s="59"/>
      <c r="AC69" s="59"/>
    </row>
    <row r="70" spans="21:29" ht="15" x14ac:dyDescent="0.25">
      <c r="U70" s="19"/>
      <c r="V70" s="19"/>
      <c r="W70" s="19"/>
      <c r="X70" s="19"/>
      <c r="AA70" s="61"/>
      <c r="AB70" s="59"/>
      <c r="AC70" s="59"/>
    </row>
    <row r="71" spans="21:29" ht="15" x14ac:dyDescent="0.25">
      <c r="U71" s="19"/>
      <c r="V71" s="19"/>
      <c r="W71" s="19"/>
      <c r="X71" s="19"/>
      <c r="AA71" s="61"/>
      <c r="AB71" s="59"/>
      <c r="AC71" s="59"/>
    </row>
    <row r="72" spans="21:29" ht="15" x14ac:dyDescent="0.25">
      <c r="U72" s="19"/>
      <c r="V72" s="19"/>
      <c r="W72" s="19"/>
      <c r="X72" s="19"/>
      <c r="AA72" s="61"/>
      <c r="AB72" s="59"/>
      <c r="AC72" s="59"/>
    </row>
    <row r="73" spans="21:29" ht="15" x14ac:dyDescent="0.25">
      <c r="U73" s="19"/>
      <c r="V73" s="19"/>
      <c r="W73" s="19"/>
      <c r="X73" s="19"/>
      <c r="AA73" s="61"/>
      <c r="AB73" s="59"/>
      <c r="AC73" s="59"/>
    </row>
  </sheetData>
  <mergeCells count="39">
    <mergeCell ref="F1:X1"/>
    <mergeCell ref="AJ5:AK5"/>
    <mergeCell ref="B6:D6"/>
    <mergeCell ref="F6:G6"/>
    <mergeCell ref="B7:B14"/>
    <mergeCell ref="F3:W5"/>
    <mergeCell ref="F8:F9"/>
    <mergeCell ref="G10:G11"/>
    <mergeCell ref="F12:F14"/>
    <mergeCell ref="D14:D16"/>
    <mergeCell ref="G14:G16"/>
    <mergeCell ref="D29:D31"/>
    <mergeCell ref="G29:G31"/>
    <mergeCell ref="B32:B34"/>
    <mergeCell ref="F32:F34"/>
    <mergeCell ref="B17:B20"/>
    <mergeCell ref="F18:F20"/>
    <mergeCell ref="B25:B28"/>
    <mergeCell ref="F26:F28"/>
    <mergeCell ref="D21:D24"/>
    <mergeCell ref="G22:G24"/>
    <mergeCell ref="D35:D37"/>
    <mergeCell ref="G39:G41"/>
    <mergeCell ref="B41:B44"/>
    <mergeCell ref="F42:F44"/>
    <mergeCell ref="G35:G37"/>
    <mergeCell ref="B36:B39"/>
    <mergeCell ref="F37:F39"/>
    <mergeCell ref="D38:D41"/>
    <mergeCell ref="D44:D47"/>
    <mergeCell ref="G45:G47"/>
    <mergeCell ref="B47:B50"/>
    <mergeCell ref="B53:B56"/>
    <mergeCell ref="F54:F56"/>
    <mergeCell ref="D57:D60"/>
    <mergeCell ref="G58:G60"/>
    <mergeCell ref="F48:F50"/>
    <mergeCell ref="D49:D52"/>
    <mergeCell ref="G50:G52"/>
  </mergeCells>
  <pageMargins left="0.25" right="0.25" top="0.75" bottom="0.75" header="0.3" footer="0.3"/>
  <pageSetup paperSize="9" scale="73" orientation="portrait" r:id="rId1"/>
  <headerFooter alignWithMargins="0"/>
  <rowBreaks count="1" manualBreakCount="1">
    <brk id="6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C39506-ACF0-424F-805F-F7DCACC26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A3993-81E3-4045-A33C-EAD0DC191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1BBDA5-A305-4771-8A85-9594811A37E2}">
  <ds:schemaRefs>
    <ds:schemaRef ds:uri="http://purl.org/dc/elements/1.1/"/>
    <ds:schemaRef ds:uri="http://schemas.microsoft.com/office/2006/metadata/properties"/>
    <ds:schemaRef ds:uri="bb4b3776-227c-44b8-8abd-6185cbcd15b9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dd83be0-b9e1-4c43-85aa-533234ca6860"/>
    <ds:schemaRef ds:uri="f2b78acb-a125-42ee-931d-35b42eaca4cf"/>
    <ds:schemaRef ds:uri="http://www.w3.org/XML/1998/namespace"/>
    <ds:schemaRef ds:uri="http://purl.org/dc/dcmitype/"/>
    <ds:schemaRef ds:uri="27b6ab44-fe52-4a75-9bf3-b8aba8e07b54"/>
    <ds:schemaRef ds:uri="2123b212-f6d2-4b84-ac86-3ed5015da7da"/>
    <ds:schemaRef ds:uri="9f2f73ca-e186-41ca-9b39-17400bef97b2"/>
    <ds:schemaRef ds:uri="05c74e94-00cb-4960-9681-9403ecb617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Main Pay Scales 2018-20</vt:lpstr>
      <vt:lpstr>Main Pay Scales 202526</vt:lpstr>
      <vt:lpstr>JNC 2021 - 2026</vt:lpstr>
      <vt:lpstr> Pay Scales 2021 -22</vt:lpstr>
      <vt:lpstr>Main Pay Scales 2020 -21</vt:lpstr>
      <vt:lpstr>Main Pay Scales 2019 -20</vt:lpstr>
      <vt:lpstr>Main Pay Scales 2018 - 19</vt:lpstr>
      <vt:lpstr>'Main Pay Scales 2018 - 19'!Print_Area</vt:lpstr>
      <vt:lpstr>'Main Pay Scales 2018-20'!Print_Area</vt:lpstr>
      <vt:lpstr>'Main Pay Scales 2019 -20'!Print_Area</vt:lpstr>
      <vt:lpstr>'Main Pay Scales 2020 -21'!Print_Area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 scales Updated to August 2019</dc:title>
  <dc:creator>Pay scales 2018-21</dc:creator>
  <cp:keywords/>
  <cp:lastModifiedBy>Olivia Eidsforth</cp:lastModifiedBy>
  <cp:lastPrinted>2020-09-28T15:14:40Z</cp:lastPrinted>
  <dcterms:created xsi:type="dcterms:W3CDTF">2005-05-03T13:47:48Z</dcterms:created>
  <dcterms:modified xsi:type="dcterms:W3CDTF">2026-02-09T12:14:29Z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TaxKeyword">
    <vt:lpwstr/>
  </property>
  <property fmtid="{D5CDD505-2E9C-101B-9397-08002B2CF9AE}" pid="4" name="OrganisationalUnit">
    <vt:lpwstr>1;#WCR|2ab9c07f-c744-4db2-a3fe-32655e4af0c6</vt:lpwstr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MediaServiceImageTags">
    <vt:lpwstr/>
  </property>
</Properties>
</file>