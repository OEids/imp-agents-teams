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ude\agent-teams\knowledge\S2\"/>
    </mc:Choice>
  </mc:AlternateContent>
  <xr:revisionPtr revIDLastSave="0" documentId="13_ncr:1_{FD1FDAB8-654A-4AF2-A337-60C0B6B8080A}" xr6:coauthVersionLast="47" xr6:coauthVersionMax="47" xr10:uidLastSave="{00000000-0000-0000-0000-000000000000}"/>
  <bookViews>
    <workbookView xWindow="-108" yWindow="-108" windowWidth="23256" windowHeight="12456" xr2:uid="{319A2655-1650-4907-9016-31542718F274}"/>
  </bookViews>
  <sheets>
    <sheet name="TTO %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F11" i="1"/>
  <c r="L10" i="1"/>
  <c r="F10" i="1"/>
  <c r="L9" i="1"/>
  <c r="F9" i="1"/>
  <c r="L8" i="1"/>
  <c r="F8" i="1"/>
  <c r="L7" i="1"/>
  <c r="F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Doherty, Marie (BEL) Staff</author>
  </authors>
  <commentList>
    <comment ref="D7" authorId="0" shapeId="0" xr:uid="{E2A32B37-ED92-4D42-815E-379CF9FEC05F}">
      <text>
        <r>
          <rPr>
            <b/>
            <sz val="9"/>
            <color indexed="81"/>
            <rFont val="Tahoma"/>
            <family val="2"/>
          </rPr>
          <t>Doherty, Marie (BEL) Staff:</t>
        </r>
        <r>
          <rPr>
            <sz val="9"/>
            <color indexed="81"/>
            <rFont val="Tahoma"/>
            <family val="2"/>
          </rPr>
          <t xml:space="preserve">
260 -8 -30 = 222 working days</t>
        </r>
      </text>
    </comment>
    <comment ref="J7" authorId="0" shapeId="0" xr:uid="{68686C4F-D87F-4E55-BFF6-B14819B3BBB6}">
      <text>
        <r>
          <rPr>
            <b/>
            <sz val="9"/>
            <color indexed="81"/>
            <rFont val="Tahoma"/>
            <family val="2"/>
          </rPr>
          <t>Doherty, Marie (BEL) Staff:</t>
        </r>
        <r>
          <rPr>
            <sz val="9"/>
            <color indexed="81"/>
            <rFont val="Tahoma"/>
            <family val="2"/>
          </rPr>
          <t xml:space="preserve">
260 - 8-25 = 227</t>
        </r>
      </text>
    </comment>
  </commentList>
</comments>
</file>

<file path=xl/sharedStrings.xml><?xml version="1.0" encoding="utf-8"?>
<sst xmlns="http://schemas.openxmlformats.org/spreadsheetml/2006/main" count="19" uniqueCount="16">
  <si>
    <t>FTE %s</t>
  </si>
  <si>
    <t>Support staff paid on AT Support Staff pay scale</t>
  </si>
  <si>
    <t>Support Staff paid on scale based on RLW</t>
  </si>
  <si>
    <t>176 school days</t>
  </si>
  <si>
    <t>Days worked</t>
  </si>
  <si>
    <t>Possible days</t>
  </si>
  <si>
    <t>fte %</t>
  </si>
  <si>
    <t>TT only</t>
  </si>
  <si>
    <t>TT+5</t>
  </si>
  <si>
    <t>TT+10</t>
  </si>
  <si>
    <t>TT+15</t>
  </si>
  <si>
    <t>TT+20</t>
  </si>
  <si>
    <t>260-30 AL- 8 BH</t>
  </si>
  <si>
    <t>52 X 5 days per week</t>
  </si>
  <si>
    <t xml:space="preserve">Doherty, Marie (BEL) Staff: 00:00 </t>
  </si>
  <si>
    <t xml:space="preserve"> But for our cleaners staff it's 227 because their entitlement to annual leave is 25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</si>
</sst>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DF7AA-B80C-47FE-9D26-460AB6BADE0F}">
  <dimension ref="A1:P15"/>
  <sheetViews>
    <sheetView tabSelected="1" zoomScale="120" zoomScaleNormal="120" workbookViewId="0">
      <selection activeCell="D18" sqref="D18"/>
    </sheetView>
  </sheetViews>
  <sheetFormatPr defaultRowHeight="14.4" x14ac:dyDescent="0.3"/>
  <cols>
    <col min="1" max="1" width="49.77734375" customWidth="1"/>
    <col min="4" max="4" width="67.21875" customWidth="1"/>
    <col min="5" max="5" width="18.6640625" customWidth="1"/>
    <col min="6" max="6" width="13.5546875" customWidth="1"/>
    <col min="9" max="9" width="37.33203125" customWidth="1"/>
    <col min="10" max="10" width="82.44140625" customWidth="1"/>
    <col min="16" max="16" width="28.88671875" customWidth="1"/>
  </cols>
  <sheetData>
    <row r="1" spans="1:16" x14ac:dyDescent="0.3">
      <c r="A1" s="1" t="s">
        <v>0</v>
      </c>
    </row>
    <row r="3" spans="1:16" x14ac:dyDescent="0.3">
      <c r="B3" s="1" t="s">
        <v>1</v>
      </c>
      <c r="I3" s="1" t="s">
        <v>2</v>
      </c>
      <c r="P3" t="s">
        <v>3</v>
      </c>
    </row>
    <row r="6" spans="1:16" x14ac:dyDescent="0.3">
      <c r="B6" t="s">
        <v>4</v>
      </c>
      <c r="D6" t="s">
        <v>5</v>
      </c>
      <c r="F6" t="s">
        <v>6</v>
      </c>
      <c r="I6" t="s">
        <v>4</v>
      </c>
      <c r="J6" t="s">
        <v>5</v>
      </c>
      <c r="L6" t="s">
        <v>6</v>
      </c>
    </row>
    <row r="7" spans="1:16" x14ac:dyDescent="0.3">
      <c r="A7" t="s">
        <v>7</v>
      </c>
      <c r="B7">
        <v>176</v>
      </c>
      <c r="D7">
        <v>222</v>
      </c>
      <c r="F7" s="2">
        <f>B7/D7</f>
        <v>0.7927927927927928</v>
      </c>
      <c r="I7">
        <v>176</v>
      </c>
      <c r="J7">
        <v>227</v>
      </c>
      <c r="L7" s="2">
        <f>I7/J7</f>
        <v>0.77533039647577096</v>
      </c>
    </row>
    <row r="8" spans="1:16" x14ac:dyDescent="0.3">
      <c r="A8" t="s">
        <v>8</v>
      </c>
      <c r="B8">
        <v>181</v>
      </c>
      <c r="D8">
        <v>222</v>
      </c>
      <c r="F8" s="2">
        <f>B8/D8</f>
        <v>0.81531531531531531</v>
      </c>
      <c r="I8">
        <v>181</v>
      </c>
      <c r="J8">
        <v>227</v>
      </c>
      <c r="L8" s="2">
        <f t="shared" ref="L8:L11" si="0">I8/J8</f>
        <v>0.79735682819383258</v>
      </c>
    </row>
    <row r="9" spans="1:16" x14ac:dyDescent="0.3">
      <c r="A9" t="s">
        <v>9</v>
      </c>
      <c r="B9">
        <v>186</v>
      </c>
      <c r="D9">
        <v>222</v>
      </c>
      <c r="F9" s="2">
        <f t="shared" ref="F9:F11" si="1">B9/D9</f>
        <v>0.83783783783783783</v>
      </c>
      <c r="I9">
        <v>186</v>
      </c>
      <c r="J9">
        <v>227</v>
      </c>
      <c r="L9" s="2">
        <f t="shared" si="0"/>
        <v>0.81938325991189431</v>
      </c>
    </row>
    <row r="10" spans="1:16" x14ac:dyDescent="0.3">
      <c r="A10" t="s">
        <v>10</v>
      </c>
      <c r="B10">
        <v>191</v>
      </c>
      <c r="D10">
        <v>222</v>
      </c>
      <c r="F10" s="2">
        <f t="shared" si="1"/>
        <v>0.86036036036036034</v>
      </c>
      <c r="I10">
        <v>191</v>
      </c>
      <c r="J10">
        <v>227</v>
      </c>
      <c r="L10" s="2">
        <f t="shared" si="0"/>
        <v>0.84140969162995594</v>
      </c>
    </row>
    <row r="11" spans="1:16" x14ac:dyDescent="0.3">
      <c r="A11" t="s">
        <v>11</v>
      </c>
      <c r="B11">
        <v>196</v>
      </c>
      <c r="D11">
        <v>222</v>
      </c>
      <c r="F11" s="2">
        <f t="shared" si="1"/>
        <v>0.88288288288288286</v>
      </c>
      <c r="I11">
        <v>196</v>
      </c>
      <c r="J11">
        <v>227</v>
      </c>
      <c r="L11" s="2">
        <f t="shared" si="0"/>
        <v>0.86343612334801767</v>
      </c>
    </row>
    <row r="13" spans="1:16" x14ac:dyDescent="0.3">
      <c r="J13" t="s">
        <v>14</v>
      </c>
    </row>
    <row r="14" spans="1:16" x14ac:dyDescent="0.3">
      <c r="D14" t="s">
        <v>13</v>
      </c>
      <c r="J14" t="s">
        <v>15</v>
      </c>
    </row>
    <row r="15" spans="1:16" x14ac:dyDescent="0.3">
      <c r="D15" t="s">
        <v>12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TTO %s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Eidsforth</dc:creator>
  <cp:lastModifiedBy>Olivia Eidsforth</cp:lastModifiedBy>
  <dcterms:created xsi:type="dcterms:W3CDTF">2026-02-08T18:58:26Z</dcterms:created>
  <dcterms:modified xsi:type="dcterms:W3CDTF">2026-02-08T19:08:57Z</dcterms:modified>
</cp:coreProperties>
</file>